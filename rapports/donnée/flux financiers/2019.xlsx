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apports\donnée\flux financiers\"/>
    </mc:Choice>
  </mc:AlternateContent>
  <xr:revisionPtr revIDLastSave="0" documentId="13_ncr:1_{BDCD665C-7757-48BA-8243-D4C9AB0D429E}" xr6:coauthVersionLast="47" xr6:coauthVersionMax="47" xr10:uidLastSave="{00000000-0000-0000-0000-000000000000}"/>
  <bookViews>
    <workbookView xWindow="-110" yWindow="-110" windowWidth="19420" windowHeight="10300" firstSheet="28" activeTab="32" xr2:uid="{1156F5D9-6B67-410A-9270-3FFFDB49670B}"/>
  </bookViews>
  <sheets>
    <sheet name="Annexe 12" sheetId="1" r:id="rId1"/>
    <sheet name="Annexe 12-(1)" sheetId="2" r:id="rId2"/>
    <sheet name="Annexe 12-(2)" sheetId="3" r:id="rId3"/>
    <sheet name="Annexe 12-(3)" sheetId="4" r:id="rId4"/>
    <sheet name="Annexe 12-(4)" sheetId="5" r:id="rId5"/>
    <sheet name="Annexe 12-(5)" sheetId="6" r:id="rId6"/>
    <sheet name="Annexe 12-(6)" sheetId="7" r:id="rId7"/>
    <sheet name="Annexe 12-(7)" sheetId="8" r:id="rId8"/>
    <sheet name="Annexe 12-(8)" sheetId="9" r:id="rId9"/>
    <sheet name="Annexe 12-(9)" sheetId="10" r:id="rId10"/>
    <sheet name="Annexe 12-(10)" sheetId="11" r:id="rId11"/>
    <sheet name="Annexe 12-(11)" sheetId="12" r:id="rId12"/>
    <sheet name="Annexe 12-(12)" sheetId="13" r:id="rId13"/>
    <sheet name="Annexe 12-(13)" sheetId="14" r:id="rId14"/>
    <sheet name="Annexe 12-(14)" sheetId="15" r:id="rId15"/>
    <sheet name="Annexe 12-(15)" sheetId="16" r:id="rId16"/>
    <sheet name="Annexe 12-(16)" sheetId="17" r:id="rId17"/>
    <sheet name="Annexe 12-(17)" sheetId="18" r:id="rId18"/>
    <sheet name="Annexe 12-(18)" sheetId="19" r:id="rId19"/>
    <sheet name="Annexe 12-(19)" sheetId="20" r:id="rId20"/>
    <sheet name="Annexe 12-(20)" sheetId="21" r:id="rId21"/>
    <sheet name="Annexe 12-(21)" sheetId="22" r:id="rId22"/>
    <sheet name="Annexe 12-(22)" sheetId="23" r:id="rId23"/>
    <sheet name="Annexe 12-(23)" sheetId="24" r:id="rId24"/>
    <sheet name="Annexe 12-(24)" sheetId="25" r:id="rId25"/>
    <sheet name="Annexe 12-(25)" sheetId="26" r:id="rId26"/>
    <sheet name="Annexe 12-(26)" sheetId="27" r:id="rId27"/>
    <sheet name="Annexe 13" sheetId="28" r:id="rId28"/>
    <sheet name="Annexe 14" sheetId="29" r:id="rId29"/>
    <sheet name="Annexe 15" sheetId="30" r:id="rId30"/>
    <sheet name="Annexe 16" sheetId="31" r:id="rId31"/>
    <sheet name="Annexe 17" sheetId="32" r:id="rId32"/>
    <sheet name="Annexe 18" sheetId="33" r:id="rId33"/>
  </sheets>
  <externalReferences>
    <externalReference r:id="rId34"/>
  </externalReferences>
  <definedNames>
    <definedName name="_xlnm._FilterDatabase" localSheetId="27" hidden="1">'Annexe 13'!$B$6:$E$137</definedName>
    <definedName name="_xlnm._FilterDatabase" localSheetId="28" hidden="1">'Annexe 14'!$B$6:$F$61</definedName>
    <definedName name="Compadjust">[1]Lists!$A$71:$A$79</definedName>
    <definedName name="Taxes">[1]Lists!$A$7:$A$49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2" i="31" l="1"/>
  <c r="E166" i="30"/>
  <c r="E61" i="29"/>
  <c r="E137" i="28"/>
  <c r="G603" i="27"/>
  <c r="J2" i="27"/>
  <c r="G603" i="26"/>
  <c r="J2" i="26"/>
  <c r="G603" i="25"/>
  <c r="J2" i="25"/>
  <c r="G603" i="24"/>
  <c r="J2" i="24"/>
  <c r="G603" i="23"/>
  <c r="J2" i="23"/>
  <c r="G603" i="22"/>
  <c r="J2" i="22"/>
  <c r="G603" i="21"/>
  <c r="J2" i="21"/>
  <c r="G603" i="20"/>
  <c r="J2" i="20"/>
  <c r="G603" i="19"/>
  <c r="J2" i="19"/>
  <c r="G603" i="18"/>
  <c r="J2" i="18"/>
  <c r="G603" i="17"/>
  <c r="J2" i="17"/>
  <c r="G603" i="16"/>
  <c r="J2" i="16"/>
  <c r="G603" i="15"/>
  <c r="J2" i="15"/>
  <c r="G603" i="14"/>
  <c r="J2" i="14"/>
  <c r="G603" i="13"/>
  <c r="J2" i="13"/>
  <c r="G603" i="12"/>
  <c r="J2" i="12"/>
  <c r="G603" i="11"/>
  <c r="J2" i="11"/>
  <c r="G603" i="10"/>
  <c r="J2" i="10"/>
  <c r="G603" i="9"/>
  <c r="J2" i="9"/>
  <c r="G603" i="8"/>
  <c r="J2" i="8"/>
  <c r="G603" i="7"/>
  <c r="J2" i="7"/>
  <c r="G603" i="6"/>
  <c r="J2" i="6"/>
  <c r="G603" i="5"/>
  <c r="J2" i="5"/>
  <c r="G603" i="4"/>
  <c r="J2" i="4"/>
  <c r="G603" i="3"/>
  <c r="J2" i="3"/>
  <c r="J2" i="2"/>
</calcChain>
</file>

<file path=xl/sharedStrings.xml><?xml version="1.0" encoding="utf-8"?>
<sst xmlns="http://schemas.openxmlformats.org/spreadsheetml/2006/main" count="6232" uniqueCount="355">
  <si>
    <t>Annexe 12 – Fiche de conciliation par société</t>
  </si>
  <si>
    <t>Annexe 12-(1)</t>
  </si>
  <si>
    <t xml:space="preserve"> La Société des Mines de Fer du Sénégal Oriental  </t>
  </si>
  <si>
    <t>Annexe 12-(2)</t>
  </si>
  <si>
    <t xml:space="preserve"> Société de Commercialisation du Ciment  </t>
  </si>
  <si>
    <t>Annexe 12-(3)</t>
  </si>
  <si>
    <t xml:space="preserve"> Sabodala Gold Operations  </t>
  </si>
  <si>
    <t>Annexe 12-(4)</t>
  </si>
  <si>
    <t xml:space="preserve"> Ciments du Sahel  </t>
  </si>
  <si>
    <t>Annexe 12-(5)</t>
  </si>
  <si>
    <t xml:space="preserve"> Grande Côte Opérations  </t>
  </si>
  <si>
    <t>Annexe 12-(6)</t>
  </si>
  <si>
    <t xml:space="preserve"> Société Sénégalaise des Phosphates de Thiès  </t>
  </si>
  <si>
    <t>Annexe 12-(7)</t>
  </si>
  <si>
    <t xml:space="preserve"> Industries Chimiques du Sénégal  </t>
  </si>
  <si>
    <t>Annexe 12-(8)</t>
  </si>
  <si>
    <t xml:space="preserve"> Dangote Industries Sénégal SA  </t>
  </si>
  <si>
    <t>Annexe 12-(9)</t>
  </si>
  <si>
    <t xml:space="preserve"> Petowal Mining Company SA </t>
  </si>
  <si>
    <t>Annexe 12-(10)</t>
  </si>
  <si>
    <t xml:space="preserve"> Société Minière de la Vallée du fleuve Sénégal  </t>
  </si>
  <si>
    <t>Annexe 12-(11)</t>
  </si>
  <si>
    <t xml:space="preserve"> Agem Sénégal Exploration SUARL  </t>
  </si>
  <si>
    <t>Annexe 12-(12)</t>
  </si>
  <si>
    <t xml:space="preserve"> Sabodala Mining Company  </t>
  </si>
  <si>
    <t>Annexe 12-(13)</t>
  </si>
  <si>
    <t xml:space="preserve"> Sephos Senegal SA  </t>
  </si>
  <si>
    <t>Annexe 12-(14)</t>
  </si>
  <si>
    <t xml:space="preserve"> G-PHOS SA </t>
  </si>
  <si>
    <t>Annexe 12-(15)</t>
  </si>
  <si>
    <t xml:space="preserve"> African Investment Group SA  </t>
  </si>
  <si>
    <t>Annexe 12-(16)</t>
  </si>
  <si>
    <t xml:space="preserve"> Compagnie Générale d'Exploitation de Carrière  </t>
  </si>
  <si>
    <t>Annexe 12-(17)</t>
  </si>
  <si>
    <t xml:space="preserve"> Gécamines  </t>
  </si>
  <si>
    <t>Annexe 12-(18)</t>
  </si>
  <si>
    <t xml:space="preserve"> Société pour le Développement de l'Industrie, du Tourisme et de l'Habitat au Sénégal  </t>
  </si>
  <si>
    <t>Annexe 12-(19)</t>
  </si>
  <si>
    <t xml:space="preserve"> Société des Pétroles du Sénégal (PETROSEN) </t>
  </si>
  <si>
    <t>Annexe 12-(20)</t>
  </si>
  <si>
    <t>Fortesa International Senegal</t>
  </si>
  <si>
    <t>Annexe 12-(21)</t>
  </si>
  <si>
    <t xml:space="preserve">Capricorn Senegal Limited </t>
  </si>
  <si>
    <t>Annexe 12-(22)</t>
  </si>
  <si>
    <t>Kosmos Energy Investments Senegal Limited</t>
  </si>
  <si>
    <t>Annexe 12-(23)</t>
  </si>
  <si>
    <t xml:space="preserve">Oranto Petroleum </t>
  </si>
  <si>
    <t>Annexe 12-(24)</t>
  </si>
  <si>
    <t xml:space="preserve">TOTAL E&amp;P Senegal </t>
  </si>
  <si>
    <t>Annexe 12-(25)</t>
  </si>
  <si>
    <t>BP SENEGAL INVESTMENTS LIMITED</t>
  </si>
  <si>
    <t>Annexe 12-(26)</t>
  </si>
  <si>
    <t xml:space="preserve">Woodside Energy Senegal </t>
  </si>
  <si>
    <t>Nom de la société</t>
  </si>
  <si>
    <t>La Société des Mines de Fer du Sénégal Oriental (MIFERSO)</t>
  </si>
  <si>
    <t>0023896 2G3</t>
  </si>
  <si>
    <t>Année</t>
  </si>
  <si>
    <t>Cours</t>
  </si>
  <si>
    <t>N°</t>
  </si>
  <si>
    <t>Nomenclature des flux</t>
  </si>
  <si>
    <t>Sociétés</t>
  </si>
  <si>
    <t>Gouvernement</t>
  </si>
  <si>
    <t>Différence Finale</t>
  </si>
  <si>
    <t>Initial</t>
  </si>
  <si>
    <t>Ajustements</t>
  </si>
  <si>
    <t>Final</t>
  </si>
  <si>
    <t>Paiements en nature</t>
  </si>
  <si>
    <t xml:space="preserve">Part de la production de l'État (Profit Oil État) </t>
  </si>
  <si>
    <t xml:space="preserve">Part de la production de PETROSEN (Profit Oil - Cost Oil PETROSEN) </t>
  </si>
  <si>
    <t>Paiements en numéraire</t>
  </si>
  <si>
    <t>DMG</t>
  </si>
  <si>
    <t xml:space="preserve">Redevance minière </t>
  </si>
  <si>
    <t>Appui institutionnel</t>
  </si>
  <si>
    <t>Droits d'entrée fixes</t>
  </si>
  <si>
    <t>Bonus (DMG)</t>
  </si>
  <si>
    <t>Redevance superficiaire</t>
  </si>
  <si>
    <t>PETROSEN</t>
  </si>
  <si>
    <t>Bonus (PETROSEN)</t>
  </si>
  <si>
    <t xml:space="preserve">Appui à la formation </t>
  </si>
  <si>
    <t>Appui à l'équipement</t>
  </si>
  <si>
    <t xml:space="preserve">Revenus issus de la commercialisation de la Part de la production de l'État </t>
  </si>
  <si>
    <t xml:space="preserve">Loyer superficiaire </t>
  </si>
  <si>
    <t>Pénalités versées à PETROSEN</t>
  </si>
  <si>
    <t>Redevance</t>
  </si>
  <si>
    <t>Achat de données sismiques</t>
  </si>
  <si>
    <t>DGCPT</t>
  </si>
  <si>
    <t>Patente</t>
  </si>
  <si>
    <t>Contribution foncière des propriétés bâties (CFPB)</t>
  </si>
  <si>
    <t>Contribution foncière des propriétés non bâties (CFPNB)</t>
  </si>
  <si>
    <t xml:space="preserve">Appui institutionnel aux collectivités locales </t>
  </si>
  <si>
    <t xml:space="preserve">Impôt du minimum fiscal </t>
  </si>
  <si>
    <t xml:space="preserve">Dividendes versés à l'Etat </t>
  </si>
  <si>
    <t>Frais d'inscription d'une concession minière ou d'un permis d'exploitation</t>
  </si>
  <si>
    <t>Bonus (DGCPT)</t>
  </si>
  <si>
    <t xml:space="preserve">Contribution économique locale (CEL VA et CEL VL) </t>
  </si>
  <si>
    <t>DGID</t>
  </si>
  <si>
    <t>Taxe sur la valeur ajoutée reversée</t>
  </si>
  <si>
    <t>Retenues à la source sur salaires (IR, TRIMF et CFCE)</t>
  </si>
  <si>
    <t>Redressements fiscaux</t>
  </si>
  <si>
    <t>29 - (a)</t>
  </si>
  <si>
    <t>Impôt sur les sociétés</t>
  </si>
  <si>
    <t>29 - (b)</t>
  </si>
  <si>
    <t>Impôt sur les sociétés (bénéfices non pétroliers/miniers )</t>
  </si>
  <si>
    <t>Retenues à la source sur bénéfice non commercial</t>
  </si>
  <si>
    <t>Contribution spéciale sur les produits des mines et des carrières (CSMC)</t>
  </si>
  <si>
    <t>Retenue à la source sur sommes versées à des tiers</t>
  </si>
  <si>
    <t>Taxe sur la valeur ajoutée précomptée</t>
  </si>
  <si>
    <t>Impôt minimum forfaitaire</t>
  </si>
  <si>
    <t>Bonus (DGID)</t>
  </si>
  <si>
    <t xml:space="preserve">Surtaxe foncière </t>
  </si>
  <si>
    <t>Impôt sur le revenu des valeurs mobilières</t>
  </si>
  <si>
    <t>Taxe spéciale sur le ciment</t>
  </si>
  <si>
    <t xml:space="preserve">Frais d'inscription d'une concession minière ou d'un permis d'exploitation </t>
  </si>
  <si>
    <t>DGD</t>
  </si>
  <si>
    <t xml:space="preserve">Taxe sur la valeur ajoutée </t>
  </si>
  <si>
    <t xml:space="preserve">Prélèvement communautaire solidaire UEMOA </t>
  </si>
  <si>
    <t>Redevance statistique UEMOA</t>
  </si>
  <si>
    <t>Droits de douane</t>
  </si>
  <si>
    <t xml:space="preserve">Prélèvement communautaire CEDEAO </t>
  </si>
  <si>
    <t xml:space="preserve">Prélèvement pour le Conseil Sénégalais des Chargeurs (COSEC) </t>
  </si>
  <si>
    <t xml:space="preserve">Taxe d'enregistrement des véhicules </t>
  </si>
  <si>
    <t>Amendes, pénalités et redressements douaniers</t>
  </si>
  <si>
    <t>DEEC</t>
  </si>
  <si>
    <t>Taxe superficiaire</t>
  </si>
  <si>
    <t>Taxe à la pollution</t>
  </si>
  <si>
    <t xml:space="preserve">Appui Institutionnel (Fonds d'appui au Mini. De l'Env) </t>
  </si>
  <si>
    <t>DEFC</t>
  </si>
  <si>
    <t>Taxes d'abattage</t>
  </si>
  <si>
    <t>CSS</t>
  </si>
  <si>
    <t xml:space="preserve">Cotisations sociales (y compris les pénalités) </t>
  </si>
  <si>
    <t>IPRES</t>
  </si>
  <si>
    <t>Cotisations sociales (y compris les pénalités)(IPRES)</t>
  </si>
  <si>
    <t>Autres</t>
  </si>
  <si>
    <t>Autres flux de paiements significatifs (&gt; 25 millions de  FCFA) (reconciliables)</t>
  </si>
  <si>
    <t>l</t>
  </si>
  <si>
    <t>Société de Commercialisation du Ciment (SOCOCIM)</t>
  </si>
  <si>
    <t>0016627 2G3</t>
  </si>
  <si>
    <t>Sabodala Gold Operations (SGO)</t>
  </si>
  <si>
    <t>2850023 2G3</t>
  </si>
  <si>
    <t>Ciments du Sahel (CDS)</t>
  </si>
  <si>
    <t>0325995 2G3</t>
  </si>
  <si>
    <t>Grande Côte Opérations (GCO)</t>
  </si>
  <si>
    <t>2849258 2G3</t>
  </si>
  <si>
    <t>Société Sénégalaise des Phosphates de Thiès (SSPT)</t>
  </si>
  <si>
    <t>0028797 2G3</t>
  </si>
  <si>
    <t>Industries Chimiques du Sénégal (ICS)</t>
  </si>
  <si>
    <t>0022955 2G3</t>
  </si>
  <si>
    <t>Dangote Industries Sénégal SA (DANGOTE)</t>
  </si>
  <si>
    <t>2707208 2G3</t>
  </si>
  <si>
    <t>Petowal Mining Company (PMC) SA</t>
  </si>
  <si>
    <t>005844700</t>
  </si>
  <si>
    <t>Société Minière de la Vallée du fleuve Sénégal (SOMIVA)</t>
  </si>
  <si>
    <t>4475142 2G3</t>
  </si>
  <si>
    <t>Agem Sénégal Exploration SUARL (AGEM)</t>
  </si>
  <si>
    <t>4151750 2Y2</t>
  </si>
  <si>
    <t>Sabodala Mining Company (SMC)</t>
  </si>
  <si>
    <t>2464410 0G2</t>
  </si>
  <si>
    <t>Sephos Senegal SA (SEPHOS)</t>
  </si>
  <si>
    <t>4013041 2G3</t>
  </si>
  <si>
    <t>G-PHOS SA</t>
  </si>
  <si>
    <t>004716033</t>
  </si>
  <si>
    <t>African Investment Group SA (AIG)</t>
  </si>
  <si>
    <t>4507995 2G3</t>
  </si>
  <si>
    <t>Compagnie Générale d'Exploitation de Carrière (COGECA)</t>
  </si>
  <si>
    <t>0196784</t>
  </si>
  <si>
    <t>Gécamines (GECAMINES)</t>
  </si>
  <si>
    <t>2292168 2G3</t>
  </si>
  <si>
    <t>Société pour le Développement de l'Industrie, du Tourisme et de l'Habitat au Sénégal (SODEVIT)</t>
  </si>
  <si>
    <t>0000025850</t>
  </si>
  <si>
    <t>Société des Pétroles du Sénégal (PETROSEN)</t>
  </si>
  <si>
    <t>0224498 2G3</t>
  </si>
  <si>
    <t>0415770 2G3</t>
  </si>
  <si>
    <t xml:space="preserve"> 4888056 2G2 </t>
  </si>
  <si>
    <t xml:space="preserve">Kosmos Energy Senegal </t>
  </si>
  <si>
    <t xml:space="preserve"> 005251822 2G2 </t>
  </si>
  <si>
    <t>N/A</t>
  </si>
  <si>
    <t xml:space="preserve"> TOTAL E&amp;P Senegal </t>
  </si>
  <si>
    <t xml:space="preserve">006420509 2A2 </t>
  </si>
  <si>
    <t>Annexe 13 – Détail des revenus budgétaires par société extractive</t>
  </si>
  <si>
    <r>
      <t>R :</t>
    </r>
    <r>
      <rPr>
        <sz val="9"/>
        <color rgb="FF3B3838"/>
        <rFont val="Trebuchet MS"/>
        <family val="2"/>
      </rPr>
      <t xml:space="preserve"> Société retenue dans le périmètre de conciliation.</t>
    </r>
  </si>
  <si>
    <r>
      <t>U :</t>
    </r>
    <r>
      <rPr>
        <sz val="9"/>
        <color rgb="FF3B3838"/>
        <rFont val="Trebuchet MS"/>
        <family val="2"/>
      </rPr>
      <t xml:space="preserve"> société retenue pour une déclaration Unilatérale de l’Etat.</t>
    </r>
  </si>
  <si>
    <t>Périmètre</t>
  </si>
  <si>
    <t>Société</t>
  </si>
  <si>
    <t>Secteur</t>
  </si>
  <si>
    <t>Montant en Millions de FCFA</t>
  </si>
  <si>
    <t>R</t>
  </si>
  <si>
    <t>Minier</t>
  </si>
  <si>
    <t>Hydrocarbures</t>
  </si>
  <si>
    <t>U</t>
  </si>
  <si>
    <t xml:space="preserve">AFRICAN MINING SERVICES-SENEGAL-SUARL </t>
  </si>
  <si>
    <t>Baobab Mining and Chemical Corp SA</t>
  </si>
  <si>
    <t>ENTREPRISE MAPATHE NDIOUCK</t>
  </si>
  <si>
    <t>Compagnie Sahelienne d'Entreprise (100%)</t>
  </si>
  <si>
    <t>GADD BISSIK PHOSPHATES OPERATION SUARL</t>
  </si>
  <si>
    <t>NOUVELLE SOCIETE DES MINES ET DES TRAVAUX PUBLICS</t>
  </si>
  <si>
    <t>WEST AFRICAN TRADING INVESTMENT AND CONSTRUCTION SARL</t>
  </si>
  <si>
    <t>SENEGAL MINES S.A</t>
  </si>
  <si>
    <t>GRAVITA SENEGAL SAU</t>
  </si>
  <si>
    <t>MAKABINGUI GOLD OPERATION - SA</t>
  </si>
  <si>
    <t>COMPAGNIE DE PRODUITS CHIMIQUES ET MATERIAUX (PROCHIMAT)</t>
  </si>
  <si>
    <t xml:space="preserve">GLOBAL AFRICINVEST - SARL </t>
  </si>
  <si>
    <t>BOYA - SA</t>
  </si>
  <si>
    <t>Amafrique Senegal</t>
  </si>
  <si>
    <t>AREZKI S.A</t>
  </si>
  <si>
    <t>MINEREX SENEGAL SARL</t>
  </si>
  <si>
    <t>SOCIETE DE RECHERCHE ET DE DEVELOPPEMENT DES MINES SA</t>
  </si>
  <si>
    <t>SERIGNE SALIOU MBACKE SARL</t>
  </si>
  <si>
    <t xml:space="preserve">SOREDMINES  </t>
  </si>
  <si>
    <t>ECOMINES SA</t>
  </si>
  <si>
    <t>GBO SUARL</t>
  </si>
  <si>
    <t xml:space="preserve">TETA CAR </t>
  </si>
  <si>
    <t>HENAN CHINE</t>
  </si>
  <si>
    <t>SOCIETE DE CONCASSAGE ET DE BETON SARL</t>
  </si>
  <si>
    <t>KANEL RESSOURCES</t>
  </si>
  <si>
    <t>MANDINGA RESSOURCE SARL</t>
  </si>
  <si>
    <t>ADAMA DIOP</t>
  </si>
  <si>
    <t>DIENG &amp; CO ENGINEERING SAS</t>
  </si>
  <si>
    <t>INCA SARL</t>
  </si>
  <si>
    <t>NABADJI MINERAL</t>
  </si>
  <si>
    <t>NSMTP ROUTE MONTAGNE ROUTE DE GARAGE TOUBA     LOUGA</t>
  </si>
  <si>
    <t>GRANDE ENTREPRISE ROUTIERE</t>
  </si>
  <si>
    <t>ENERGY AND MINING CORPORATION (EMC)</t>
  </si>
  <si>
    <t>STE TWYFORD</t>
  </si>
  <si>
    <t>AFRICAN PETROLEUM SENEGAL LIMITED -SAU</t>
  </si>
  <si>
    <t>SOCIETE D'EQUIPEMENT ET DE CONSTRUCTION (SOECO)</t>
  </si>
  <si>
    <t>MINING RESEARCH COMPAGNY</t>
  </si>
  <si>
    <t>SOCIETE SODEMINES</t>
  </si>
  <si>
    <t>DG SCATY INDUSTRIES</t>
  </si>
  <si>
    <t>CHEF SERV MINE</t>
  </si>
  <si>
    <t>STE NEW ENERGY INVESTMENT</t>
  </si>
  <si>
    <t>SOCIETE AMAR CONSULTING</t>
  </si>
  <si>
    <t>BARRICK GOLD SENEGAL EX RANGOLD RESOURCES SENEGAL</t>
  </si>
  <si>
    <t>DG SENEGINDIA</t>
  </si>
  <si>
    <t>GERANT INTERNATIONAL TRADING CIE</t>
  </si>
  <si>
    <t>GIE CARECIM</t>
  </si>
  <si>
    <t>MADIODIO MBOUP SENIP</t>
  </si>
  <si>
    <t>SOCIETE SESMAM GOLD</t>
  </si>
  <si>
    <t>IBRAHIMA BA</t>
  </si>
  <si>
    <t>STE CONSULTING BUSINESS</t>
  </si>
  <si>
    <t>STE JIWANA RESOURCES</t>
  </si>
  <si>
    <t>DIVERS</t>
  </si>
  <si>
    <t>G.H. MINING SARL</t>
  </si>
  <si>
    <t>KWAMBE KUSI</t>
  </si>
  <si>
    <t>STE IMPROVE SENEGAL</t>
  </si>
  <si>
    <t>INSTITUT GEOSCIENCES DE DAKAR</t>
  </si>
  <si>
    <t>SERV REG MINES ET GEOL DE SL</t>
  </si>
  <si>
    <t>TENDER OIL AND GAS CASAMANCE SARL</t>
  </si>
  <si>
    <t>PDT GIE DJIGUI</t>
  </si>
  <si>
    <t>WORLDWIDE SA ISLE  MONTAGNE ROUTE DE GARAGE TOUBA     LOUGA</t>
  </si>
  <si>
    <t>REIMP CHQ SCANNE A LA TG</t>
  </si>
  <si>
    <t>DG ARDIMINES</t>
  </si>
  <si>
    <t>DG STE INTER MINING</t>
  </si>
  <si>
    <t>GIE BOUSSANKO GOLD</t>
  </si>
  <si>
    <t>SINTRAM HOUAR</t>
  </si>
  <si>
    <t>SOYA GOLD</t>
  </si>
  <si>
    <t>STE DAKAR GUEYE SENEGAL</t>
  </si>
  <si>
    <t>STE MINING COMPAGNY</t>
  </si>
  <si>
    <t>ECOTRA</t>
  </si>
  <si>
    <t>IBRA SECK-SERVICE REGIONAL MINES ET GEOLOGIE DE SL</t>
  </si>
  <si>
    <t>DG SOCOPA</t>
  </si>
  <si>
    <t>SESAM GOLD</t>
  </si>
  <si>
    <t>SOSETER</t>
  </si>
  <si>
    <t>CDE</t>
  </si>
  <si>
    <t>CSE GRANULATS</t>
  </si>
  <si>
    <t>STE ABBA GROUP</t>
  </si>
  <si>
    <t>SOCIETE SENEGALAISE DE NEGOCE INTERNATIONAL SARL</t>
  </si>
  <si>
    <t>STE INT MINING COMPANY</t>
  </si>
  <si>
    <t>COMPLEXE SERIGNE SALIOU MBACKE SARL</t>
  </si>
  <si>
    <t>CAD LOGISTICS - SARL</t>
  </si>
  <si>
    <t>TSG MINING</t>
  </si>
  <si>
    <t>E.E.E.M.S SARL</t>
  </si>
  <si>
    <t>ERIN SENEGAL SAU</t>
  </si>
  <si>
    <t>SENTHRAS SUARL</t>
  </si>
  <si>
    <t>SOCETRA</t>
  </si>
  <si>
    <t>ZHONGSAI MINING SA</t>
  </si>
  <si>
    <t>LOWRE INDUSTRIES SARL</t>
  </si>
  <si>
    <t>DG BOYA SAU</t>
  </si>
  <si>
    <t>CGC</t>
  </si>
  <si>
    <t>STC</t>
  </si>
  <si>
    <t>STE SONK ET FILS</t>
  </si>
  <si>
    <t>TRYANGS INTERNATIONAL MINING SA</t>
  </si>
  <si>
    <t>RC CONSTRUCOES</t>
  </si>
  <si>
    <t>SOTRACOM</t>
  </si>
  <si>
    <t>ABOU BASSOUM</t>
  </si>
  <si>
    <t>AMADOU THIAM</t>
  </si>
  <si>
    <t>CHEIKH NDIAYE</t>
  </si>
  <si>
    <t>IBRAHIMA MBENGUE</t>
  </si>
  <si>
    <t>SEYDINA BA</t>
  </si>
  <si>
    <t>SIRADJI SYLLA</t>
  </si>
  <si>
    <t>ABDOULAYE DIALLO</t>
  </si>
  <si>
    <t>AMADOU BA</t>
  </si>
  <si>
    <t>ELHADJI MALICK DIALLO</t>
  </si>
  <si>
    <t>SAMBA DIALLO</t>
  </si>
  <si>
    <t xml:space="preserve"> Total </t>
  </si>
  <si>
    <t>Annexe 14 – Détail des revenus budgétaires par flux de paiement</t>
  </si>
  <si>
    <r>
      <t>R :</t>
    </r>
    <r>
      <rPr>
        <sz val="8"/>
        <color rgb="FF3B3838"/>
        <rFont val="Trebuchet MS"/>
        <family val="2"/>
      </rPr>
      <t xml:space="preserve"> Flux déclaré par des sociétés retenues dans le périmètre de conciliation.</t>
    </r>
  </si>
  <si>
    <r>
      <t>U :</t>
    </r>
    <r>
      <rPr>
        <sz val="8"/>
        <color rgb="FF3B3838"/>
        <rFont val="Trebuchet MS"/>
        <family val="2"/>
      </rPr>
      <t xml:space="preserve"> Flux déclaré par des sociétés retenues pour une déclaration Unilatérale de l’Etat.</t>
    </r>
  </si>
  <si>
    <t>Flux</t>
  </si>
  <si>
    <t>Redevance minière</t>
  </si>
  <si>
    <t>Taxe d'extraction</t>
  </si>
  <si>
    <t>TAXE SUPERFICIAIRE</t>
  </si>
  <si>
    <t>Droit de douane</t>
  </si>
  <si>
    <t>TVA TAXE SUSPENDUE</t>
  </si>
  <si>
    <t>Taxe d'acompte Bic</t>
  </si>
  <si>
    <t>Droits d'accises sur les vehicules</t>
  </si>
  <si>
    <t>Locations verbales</t>
  </si>
  <si>
    <t>Annexe 15 – Détail des paiements des entreprises par société extractive</t>
  </si>
  <si>
    <r>
      <t>R :</t>
    </r>
    <r>
      <rPr>
        <sz val="8"/>
        <color rgb="FF3B3838"/>
        <rFont val="Trebuchet MS"/>
        <family val="2"/>
      </rPr>
      <t xml:space="preserve"> Société retenue dans le périmètre de conciliation.</t>
    </r>
  </si>
  <si>
    <r>
      <t>U :</t>
    </r>
    <r>
      <rPr>
        <sz val="8"/>
        <color rgb="FF3B3838"/>
        <rFont val="Trebuchet MS"/>
        <family val="2"/>
      </rPr>
      <t xml:space="preserve"> société retenue pour une déclaration Unilatérale de l’Etat.</t>
    </r>
  </si>
  <si>
    <t>TETACAR</t>
  </si>
  <si>
    <t>Transports Ahmed Djouma Gazal</t>
  </si>
  <si>
    <t>ROYAL SENEGAL MINES ET EQUIPEMENTS</t>
  </si>
  <si>
    <t>Societe de Concassage et de Beton (SO.CO.BE) (100%)</t>
  </si>
  <si>
    <t>GAZAL CARRIERRES</t>
  </si>
  <si>
    <t>leAgence de Gestion et de Cooperation entre le Senegal et la Guinee-Bissau (AGC)</t>
  </si>
  <si>
    <t>Societe Miniere du Diobasse SA</t>
  </si>
  <si>
    <t>HARMONY GROUP SARL</t>
  </si>
  <si>
    <t>Kansala Resources</t>
  </si>
  <si>
    <t>ALBINA SENEGAL</t>
  </si>
  <si>
    <t>LES MINIERES DU DIOBASS SA</t>
  </si>
  <si>
    <t>SOFAMAC</t>
  </si>
  <si>
    <t>Sonko et Fils SARL</t>
  </si>
  <si>
    <t>VAPROM AFRICA SA</t>
  </si>
  <si>
    <t>SAREQ GROUP   SARL</t>
  </si>
  <si>
    <t>Far</t>
  </si>
  <si>
    <t>GIE DJIGUI</t>
  </si>
  <si>
    <t>SERIGNE ISSAKHA MBACKE</t>
  </si>
  <si>
    <t>Serigne Saliou Mines</t>
  </si>
  <si>
    <t>BOYA ERIN</t>
  </si>
  <si>
    <t>SYPROM SA</t>
  </si>
  <si>
    <t>SNEPAC International SARL</t>
  </si>
  <si>
    <t>SODEVCO</t>
  </si>
  <si>
    <t>INTERNATIONAL COMPANY OF TRADE AND SERVICES SA (ICTS)</t>
  </si>
  <si>
    <t>MRL International Industries SARL</t>
  </si>
  <si>
    <t>GENITEC</t>
  </si>
  <si>
    <t>ALCATRAS IBNEINTERNATIONAL BUILDING SENEGAL</t>
  </si>
  <si>
    <t>MAKO EXPLORATION C OMPANY SA       DAKAR</t>
  </si>
  <si>
    <t>AFRIGOLD SUARL RUE MONTAGNE ROUTE DE GARAGE TOUBA     LOUGA</t>
  </si>
  <si>
    <t>Annexe 16 – Détail des paiements des entreprises par flux de paiement</t>
  </si>
  <si>
    <t xml:space="preserve"> Montant en Millions de FCFA </t>
  </si>
  <si>
    <t>Dépenses sociales</t>
  </si>
  <si>
    <t>Autres dépenses environnementales</t>
  </si>
  <si>
    <t>R </t>
  </si>
  <si>
    <t>Cotisation sociales</t>
  </si>
  <si>
    <t>Taxe d'abattage</t>
  </si>
  <si>
    <t>Annexe 17 – Détail de la déclaration Unilatérale de l’Etat</t>
  </si>
  <si>
    <t>Régies</t>
  </si>
  <si>
    <t>Raison sociale partie versante</t>
  </si>
  <si>
    <t>Total général</t>
  </si>
  <si>
    <t>l’Agence de Gestion et de Cooperation entre le Senegal et la Guinée-Bissau (AGC)</t>
  </si>
  <si>
    <t>-</t>
  </si>
  <si>
    <t>Secteur des hydrocarbures</t>
  </si>
  <si>
    <t>Societe de Concassage et de Béton (SO.CO.BE) (100%)</t>
  </si>
  <si>
    <t>Societe Minière du Diobasse SA</t>
  </si>
  <si>
    <t>Annexe 18 – Formulaire de déclaration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</si>
</sst>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_);\(&quot;&quot;#,##0\);_-* &quot;-&quot;??_-;_-@_-"/>
    <numFmt numFmtId="165" formatCode="#,##0_ ;[Red]\-#,##0\ "/>
    <numFmt numFmtId="166" formatCode="[$-40C]mmm\-yy;@"/>
    <numFmt numFmtId="167" formatCode="_-* #,##0.00\ _€_-;\-* #,##0.00\ _€_-;_-* &quot;-&quot;??\ _€_-;_-@_-"/>
    <numFmt numFmtId="168" formatCode="_-* #,##0\ _€_-;\-* #,##0\ _€_-;_-* &quot;-&quot;??\ _€_-;_-@_-"/>
    <numFmt numFmtId="169" formatCode="_-* #,##0.0\ _€_-;\-* #,##0.0\ _€_-;_-* &quot;-&quot;??\ _€_-;_-@_-"/>
    <numFmt numFmtId="170" formatCode="#,##0.0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9"/>
      <color theme="1"/>
      <name val="Trebuchet MS"/>
      <family val="2"/>
    </font>
    <font>
      <u/>
      <sz val="11"/>
      <color theme="10"/>
      <name val="Trebuchet MS"/>
      <family val="2"/>
    </font>
    <font>
      <i/>
      <sz val="11"/>
      <color theme="1"/>
      <name val="Trebuchet MS"/>
      <family val="2"/>
    </font>
    <font>
      <sz val="8"/>
      <name val="Calibri Light"/>
      <family val="2"/>
      <scheme val="major"/>
    </font>
    <font>
      <b/>
      <sz val="8"/>
      <name val="Calibri Light"/>
      <family val="2"/>
      <scheme val="major"/>
    </font>
    <font>
      <sz val="8"/>
      <color theme="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b/>
      <sz val="8"/>
      <color rgb="FFFFFFFF"/>
      <name val="Calibri Light"/>
      <family val="2"/>
      <scheme val="major"/>
    </font>
    <font>
      <sz val="11"/>
      <color rgb="FF000000"/>
      <name val="Calibri"/>
      <family val="2"/>
    </font>
    <font>
      <sz val="10"/>
      <name val="Arial"/>
      <family val="2"/>
    </font>
    <font>
      <sz val="8"/>
      <color theme="1"/>
      <name val="Calibri Light"/>
      <family val="2"/>
      <scheme val="major"/>
    </font>
    <font>
      <b/>
      <u/>
      <sz val="8"/>
      <name val="Calibri Light"/>
      <family val="2"/>
      <scheme val="major"/>
    </font>
    <font>
      <b/>
      <u val="singleAccounting"/>
      <sz val="8"/>
      <name val="Calibri Light"/>
      <family val="2"/>
      <scheme val="major"/>
    </font>
    <font>
      <b/>
      <sz val="9"/>
      <color rgb="FF3B3838"/>
      <name val="Trebuchet MS"/>
      <family val="2"/>
    </font>
    <font>
      <sz val="9"/>
      <color rgb="FF3B3838"/>
      <name val="Trebuchet MS"/>
      <family val="2"/>
    </font>
    <font>
      <b/>
      <sz val="9"/>
      <color rgb="FFFFFFFF"/>
      <name val="Trebuchet MS"/>
      <family val="2"/>
    </font>
    <font>
      <sz val="9"/>
      <name val="Trebuchet MS"/>
      <family val="2"/>
    </font>
    <font>
      <b/>
      <sz val="8"/>
      <color rgb="FF3B3838"/>
      <name val="Trebuchet MS"/>
      <family val="2"/>
    </font>
    <font>
      <sz val="8"/>
      <color rgb="FF3B3838"/>
      <name val="Trebuchet MS"/>
      <family val="2"/>
    </font>
    <font>
      <sz val="12"/>
      <color theme="1"/>
      <name val="Calibri"/>
      <family val="2"/>
      <scheme val="minor"/>
    </font>
    <font>
      <b/>
      <sz val="8.5"/>
      <color rgb="FFFFFFFF"/>
      <name val="Trebuchet MS"/>
      <family val="2"/>
    </font>
    <font>
      <sz val="8.5"/>
      <color rgb="FF171717"/>
      <name val="Trebuchet MS"/>
      <family val="2"/>
    </font>
    <font>
      <b/>
      <sz val="8.5"/>
      <color rgb="FF171717"/>
      <name val="Trebuchet MS"/>
      <family val="2"/>
    </font>
    <font>
      <b/>
      <i/>
      <u/>
      <sz val="11"/>
      <color theme="1"/>
      <name val="Trebuchet MS"/>
      <family val="2"/>
    </font>
  </fonts>
  <fills count="11">
    <fill>
      <patternFill patternType="none"/>
    </fill>
    <fill>
      <patternFill patternType="gray125"/>
    </fill>
    <fill>
      <patternFill patternType="solid">
        <fgColor rgb="FF657C9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9ECE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2847C"/>
        <bgColor indexed="64"/>
      </patternFill>
    </fill>
    <fill>
      <patternFill patternType="solid">
        <fgColor rgb="FFA3E7E1"/>
        <bgColor indexed="64"/>
      </patternFill>
    </fill>
    <fill>
      <patternFill patternType="solid">
        <fgColor rgb="FFDCCFC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rgb="FFFF0000"/>
      </bottom>
      <diagonal/>
    </border>
    <border>
      <left/>
      <right/>
      <top/>
      <bottom style="medium">
        <color rgb="FFFFFFFF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/>
  </cellStyleXfs>
  <cellXfs count="8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2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 wrapText="1"/>
    </xf>
    <xf numFmtId="164" fontId="12" fillId="3" borderId="0" xfId="0" applyNumberFormat="1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164" fontId="8" fillId="4" borderId="0" xfId="3" applyNumberFormat="1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64" fontId="8" fillId="0" borderId="0" xfId="3" applyNumberFormat="1" applyFont="1" applyAlignment="1">
      <alignment vertical="center"/>
    </xf>
    <xf numFmtId="0" fontId="9" fillId="5" borderId="0" xfId="0" applyFont="1" applyFill="1" applyAlignment="1">
      <alignment vertical="center"/>
    </xf>
    <xf numFmtId="0" fontId="9" fillId="5" borderId="0" xfId="0" applyFont="1" applyFill="1" applyAlignment="1">
      <alignment vertical="center" wrapText="1"/>
    </xf>
    <xf numFmtId="164" fontId="9" fillId="5" borderId="0" xfId="0" applyNumberFormat="1" applyFont="1" applyFill="1" applyAlignment="1">
      <alignment vertical="center"/>
    </xf>
    <xf numFmtId="165" fontId="8" fillId="4" borderId="0" xfId="4" applyNumberFormat="1" applyFont="1" applyFill="1" applyAlignment="1">
      <alignment horizontal="left" vertical="center" wrapText="1"/>
    </xf>
    <xf numFmtId="165" fontId="8" fillId="0" borderId="0" xfId="4" applyNumberFormat="1" applyFont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3" fontId="15" fillId="0" borderId="0" xfId="5" applyNumberFormat="1" applyFont="1" applyAlignment="1">
      <alignment horizontal="right" vertical="center"/>
    </xf>
    <xf numFmtId="166" fontId="15" fillId="0" borderId="0" xfId="0" applyNumberFormat="1" applyFont="1"/>
    <xf numFmtId="0" fontId="9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horizontal="right" vertical="center"/>
    </xf>
    <xf numFmtId="164" fontId="17" fillId="6" borderId="0" xfId="0" applyNumberFormat="1" applyFont="1" applyFill="1" applyAlignment="1">
      <alignment vertical="center"/>
    </xf>
    <xf numFmtId="168" fontId="5" fillId="0" borderId="0" xfId="1" applyNumberFormat="1" applyFont="1"/>
    <xf numFmtId="0" fontId="18" fillId="0" borderId="0" xfId="0" applyFont="1" applyAlignment="1">
      <alignment vertical="center"/>
    </xf>
    <xf numFmtId="0" fontId="20" fillId="2" borderId="2" xfId="0" applyFont="1" applyFill="1" applyBorder="1" applyAlignment="1">
      <alignment horizontal="center" vertical="center"/>
    </xf>
    <xf numFmtId="168" fontId="20" fillId="2" borderId="2" xfId="1" applyNumberFormat="1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left" vertical="center"/>
    </xf>
    <xf numFmtId="168" fontId="21" fillId="4" borderId="0" xfId="1" applyNumberFormat="1" applyFont="1" applyFill="1" applyBorder="1" applyAlignment="1">
      <alignment vertical="center"/>
    </xf>
    <xf numFmtId="169" fontId="5" fillId="0" borderId="0" xfId="0" applyNumberFormat="1" applyFont="1"/>
    <xf numFmtId="0" fontId="21" fillId="7" borderId="0" xfId="0" applyFont="1" applyFill="1" applyAlignment="1">
      <alignment horizontal="left" vertical="center"/>
    </xf>
    <xf numFmtId="168" fontId="5" fillId="7" borderId="0" xfId="1" applyNumberFormat="1" applyFont="1" applyFill="1"/>
    <xf numFmtId="0" fontId="19" fillId="4" borderId="0" xfId="0" applyFont="1" applyFill="1" applyAlignment="1">
      <alignment vertical="center"/>
    </xf>
    <xf numFmtId="168" fontId="19" fillId="4" borderId="0" xfId="1" applyNumberFormat="1" applyFont="1" applyFill="1" applyAlignment="1">
      <alignment horizontal="right" vertical="center"/>
    </xf>
    <xf numFmtId="0" fontId="19" fillId="0" borderId="0" xfId="0" applyFont="1" applyAlignment="1">
      <alignment vertical="center"/>
    </xf>
    <xf numFmtId="168" fontId="19" fillId="0" borderId="0" xfId="1" applyNumberFormat="1" applyFont="1" applyAlignment="1">
      <alignment horizontal="right" vertical="center"/>
    </xf>
    <xf numFmtId="0" fontId="20" fillId="8" borderId="0" xfId="0" applyFont="1" applyFill="1" applyAlignment="1">
      <alignment vertical="center"/>
    </xf>
    <xf numFmtId="168" fontId="20" fillId="8" borderId="0" xfId="1" applyNumberFormat="1" applyFont="1" applyFill="1" applyAlignment="1">
      <alignment horizontal="right" vertical="center"/>
    </xf>
    <xf numFmtId="170" fontId="5" fillId="0" borderId="0" xfId="0" applyNumberFormat="1" applyFont="1"/>
    <xf numFmtId="4" fontId="5" fillId="0" borderId="0" xfId="0" applyNumberFormat="1" applyFont="1"/>
    <xf numFmtId="0" fontId="22" fillId="0" borderId="0" xfId="0" applyFont="1" applyAlignment="1">
      <alignment vertical="center"/>
    </xf>
    <xf numFmtId="0" fontId="20" fillId="2" borderId="2" xfId="0" applyFont="1" applyFill="1" applyBorder="1" applyAlignment="1">
      <alignment vertical="center"/>
    </xf>
    <xf numFmtId="0" fontId="24" fillId="8" borderId="0" xfId="0" applyFont="1" applyFill="1" applyAlignment="1">
      <alignment vertical="center"/>
    </xf>
    <xf numFmtId="0" fontId="20" fillId="2" borderId="2" xfId="0" applyFont="1" applyFill="1" applyBorder="1" applyAlignment="1">
      <alignment horizontal="right" vertical="center" wrapText="1"/>
    </xf>
    <xf numFmtId="167" fontId="5" fillId="0" borderId="0" xfId="0" applyNumberFormat="1" applyFont="1"/>
    <xf numFmtId="0" fontId="18" fillId="8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vertical="center"/>
    </xf>
    <xf numFmtId="0" fontId="25" fillId="2" borderId="2" xfId="0" applyFont="1" applyFill="1" applyBorder="1" applyAlignment="1">
      <alignment horizontal="right" vertical="center"/>
    </xf>
    <xf numFmtId="0" fontId="26" fillId="9" borderId="0" xfId="0" applyFont="1" applyFill="1" applyAlignment="1">
      <alignment vertical="center"/>
    </xf>
    <xf numFmtId="167" fontId="26" fillId="9" borderId="0" xfId="1" applyFont="1" applyFill="1" applyAlignment="1">
      <alignment horizontal="right" vertical="center"/>
    </xf>
    <xf numFmtId="0" fontId="26" fillId="0" borderId="0" xfId="0" applyFont="1" applyAlignment="1">
      <alignment vertical="center"/>
    </xf>
    <xf numFmtId="167" fontId="26" fillId="0" borderId="0" xfId="1" applyFont="1" applyAlignment="1">
      <alignment horizontal="right" vertical="center"/>
    </xf>
    <xf numFmtId="0" fontId="27" fillId="10" borderId="0" xfId="0" applyFont="1" applyFill="1" applyAlignment="1">
      <alignment vertical="center"/>
    </xf>
    <xf numFmtId="0" fontId="26" fillId="10" borderId="0" xfId="0" applyFont="1" applyFill="1" applyAlignment="1">
      <alignment vertical="center"/>
    </xf>
    <xf numFmtId="167" fontId="27" fillId="10" borderId="0" xfId="1" applyFont="1" applyFill="1" applyAlignment="1">
      <alignment horizontal="right" vertical="center"/>
    </xf>
    <xf numFmtId="0" fontId="25" fillId="8" borderId="0" xfId="0" applyFont="1" applyFill="1" applyAlignment="1">
      <alignment vertical="center"/>
    </xf>
    <xf numFmtId="167" fontId="25" fillId="8" borderId="0" xfId="1" applyFont="1" applyFill="1" applyAlignment="1">
      <alignment horizontal="right" vertical="center"/>
    </xf>
    <xf numFmtId="0" fontId="28" fillId="0" borderId="0" xfId="0" applyFont="1"/>
  </cellXfs>
  <cellStyles count="6">
    <cellStyle name="Lien hypertexte" xfId="2" builtinId="8"/>
    <cellStyle name="Milliers" xfId="1" builtinId="3"/>
    <cellStyle name="Normal" xfId="0" builtinId="0"/>
    <cellStyle name="Normal 2" xfId="5" xr:uid="{1961488E-88E5-4DC6-A9BE-32AB227677DA}"/>
    <cellStyle name="Normal 2 5" xfId="4" xr:uid="{D26AB0E3-AA01-45FF-919F-C4C101A22BE8}"/>
    <cellStyle name="Normal 5" xfId="3" xr:uid="{FB50FD30-042B-42E7-951B-D28C4AF433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342900</xdr:colOff>
          <xdr:row>2</xdr:row>
          <xdr:rowOff>190500</xdr:rowOff>
        </xdr:from>
        <xdr:to>
          <xdr:col>2</xdr:col>
          <xdr:colOff>336550</xdr:colOff>
          <xdr:row>7</xdr:row>
          <xdr:rowOff>114300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E7A5D182-77F3-4146-96C6-13BFD3F0AD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mabrouk/Desktop/R&#233;pertoire/BDO%20Consulting/Work/9.%20EITI%20Senegal/03.%20Reporting/05.Pr&#233;final%20rapport/Database_ITIE%20S&#233;n&#233;gal_2019_%20(Pr&#233;-fina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Follow-up"/>
      <sheetName val="Taxes"/>
      <sheetName val="Govt Ag"/>
      <sheetName val="Lists"/>
      <sheetName val="Cours"/>
      <sheetName val="C (1)"/>
      <sheetName val="Minerals &amp; Products"/>
      <sheetName val="Companies info"/>
      <sheetName val="Profil des société"/>
      <sheetName val="Paiements Sociaux"/>
      <sheetName val="Tableau des effectifs"/>
      <sheetName val="Audit "/>
      <sheetName val="Production"/>
      <sheetName val="Exportation"/>
      <sheetName val="Mail"/>
      <sheetName val="Titre Minier"/>
      <sheetName val="C (2)"/>
      <sheetName val="Sheet1"/>
      <sheetName val="C (3)"/>
      <sheetName val="C (4)"/>
      <sheetName val="C (5)"/>
      <sheetName val="C (6)"/>
      <sheetName val="C (7)"/>
      <sheetName val="C (8)"/>
      <sheetName val="C (9)"/>
      <sheetName val="C (10)"/>
      <sheetName val="c"/>
      <sheetName val="cv"/>
      <sheetName val="C (11)"/>
      <sheetName val="C (12)"/>
      <sheetName val="C (13)"/>
      <sheetName val="ccc"/>
      <sheetName val="C (14)"/>
      <sheetName val="C (15)"/>
      <sheetName val="C (16)"/>
      <sheetName val="C (17)"/>
      <sheetName val="C (18)"/>
      <sheetName val="C (19)"/>
      <sheetName val="C (20) nat"/>
      <sheetName val="C (20)"/>
      <sheetName val="C (21)"/>
      <sheetName val="C (22)"/>
      <sheetName val="C (23)"/>
      <sheetName val="C (24)"/>
      <sheetName val="C (25)"/>
      <sheetName val="C (26)"/>
      <sheetName val="Section 1-1"/>
      <sheetName val="Paiement Sociaux"/>
      <sheetName val="Tableau 4"/>
      <sheetName val="Annex 9 2018 (2)"/>
      <sheetName val="5.3"/>
      <sheetName val="5.4"/>
      <sheetName val="Section 1"/>
      <sheetName val="6.1.1"/>
      <sheetName val="6.1.2 Pétrolier"/>
      <sheetName val="6.1.2 minier"/>
      <sheetName val="6.2"/>
      <sheetName val="6.1.3"/>
      <sheetName val="6.4"/>
      <sheetName val="Results All (In cash)"/>
      <sheetName val="Results All (In Kind)"/>
      <sheetName val="difference end breakdown all"/>
      <sheetName val="Reporting by tax All (Cash)"/>
      <sheetName val="Reporting by Comp All (Cash)"/>
      <sheetName val="Reporting by tax kind (Pétrole)"/>
      <sheetName val="Feuil2"/>
      <sheetName val="Reporting byComp kind (Pétrole)"/>
      <sheetName val="Reporting by Comp cash(Pétrole)"/>
      <sheetName val="Reporting by tax cash (Pétrole)"/>
      <sheetName val="Reporting by Comp (Mines)"/>
      <sheetName val="Reporting by tax (Mines)"/>
      <sheetName val="Total Ajust (2)"/>
      <sheetName val="Total Ajust"/>
      <sheetName val="Ajust par Comp (C)"/>
      <sheetName val="Ajust par Taxe (C)"/>
      <sheetName val="Ajust par Comp (Gov)"/>
      <sheetName val="Ajust par Taxe (Gov)"/>
      <sheetName val="Results Pétrole"/>
      <sheetName val="Results Mine"/>
      <sheetName val="Secteur Extractif"/>
      <sheetName val="Paiement 2012"/>
      <sheetName val="Secteur Extractif en Million"/>
      <sheetName val="Reporting by Comp Mandat"/>
      <sheetName val="COTCO"/>
      <sheetName val="Contextuel"/>
      <sheetName val="Production Rapport"/>
      <sheetName val="Paiement Sociaux (Rapp)"/>
      <sheetName val="Transferts Infra"/>
      <sheetName val="Contextual"/>
      <sheetName val="Etat permis d'exploitation"/>
      <sheetName val="Etat permis de recherche"/>
      <sheetName val="Unrec diff Tax vs Comp"/>
      <sheetName val="Unrec diff Comp"/>
      <sheetName val="Unrec diff Tax"/>
      <sheetName val="Annexes 1-2"/>
      <sheetName val="Annexes 3-4"/>
      <sheetName val="Annexes 5-6"/>
      <sheetName val="Annexes Fsseurs"/>
      <sheetName val="Annexes 7-8"/>
      <sheetName val="Feuil1"/>
      <sheetName val="Annexe 9 2017"/>
      <sheetName val="Déclaration unilatérale"/>
      <sheetName val="Annexe 10"/>
      <sheetName val="Section 1,1"/>
      <sheetName val="Budget de l'ETAT "/>
      <sheetName val="Annexe 10 (2)"/>
      <sheetName val="Annexes 11-12"/>
      <sheetName val="Annexe 14"/>
      <sheetName val="Annexe 15"/>
      <sheetName val="Annexe 17"/>
      <sheetName val="Annexe 18"/>
      <sheetName val="Octroi"/>
      <sheetName val="Annexes parties 6"/>
      <sheetName val="Unrec diff Comp vs Tax"/>
      <sheetName val="Nbr Comp per activity"/>
      <sheetName val="Recommendations"/>
      <sheetName val="Recomm"/>
      <sheetName val="News"/>
    </sheetNames>
    <sheetDataSet>
      <sheetData sheetId="0"/>
      <sheetData sheetId="1"/>
      <sheetData sheetId="2"/>
      <sheetData sheetId="3"/>
      <sheetData sheetId="4">
        <row r="7">
          <cell r="A7" t="str">
            <v xml:space="preserve">1- Part de la production de l'État (Profit Oil État) </v>
          </cell>
        </row>
        <row r="8">
          <cell r="A8" t="str">
            <v xml:space="preserve">2- Part de la production de PETROSEN (Profit Oil - Cost Oil PETROSEN) </v>
          </cell>
        </row>
        <row r="9">
          <cell r="A9" t="str">
            <v xml:space="preserve">3- Redevance minière </v>
          </cell>
        </row>
        <row r="10">
          <cell r="A10" t="str">
            <v>4- Appui institutionnel</v>
          </cell>
        </row>
        <row r="11">
          <cell r="A11" t="str">
            <v>5- Droits d'entrée fixes</v>
          </cell>
        </row>
        <row r="12">
          <cell r="A12" t="str">
            <v>6- Bonus (DMG)</v>
          </cell>
        </row>
        <row r="13">
          <cell r="A13" t="str">
            <v>7- Redevance superficiaire</v>
          </cell>
        </row>
        <row r="14">
          <cell r="A14" t="str">
            <v>8- Bonus (PETROSEN)</v>
          </cell>
        </row>
        <row r="15">
          <cell r="A15" t="str">
            <v xml:space="preserve">9- Appui à la formation </v>
          </cell>
        </row>
        <row r="16">
          <cell r="A16" t="str">
            <v>10- Appui à l'équipement</v>
          </cell>
        </row>
        <row r="17">
          <cell r="A17" t="str">
            <v xml:space="preserve">11- Revenus issus de la commercialisation de la Part de la production de l'État </v>
          </cell>
        </row>
        <row r="18">
          <cell r="A18" t="str">
            <v xml:space="preserve">12- Loyer superficiaire </v>
          </cell>
        </row>
        <row r="19">
          <cell r="A19" t="str">
            <v>13- Pénalités versées à PETROSEN</v>
          </cell>
        </row>
        <row r="20">
          <cell r="A20" t="str">
            <v>14- Redevance</v>
          </cell>
        </row>
        <row r="21">
          <cell r="A21" t="str">
            <v>15- Achat de données sismiques</v>
          </cell>
        </row>
        <row r="22">
          <cell r="A22" t="str">
            <v xml:space="preserve">16- Revenus issus de la commercialisation de la Part de la production de l'État </v>
          </cell>
        </row>
        <row r="23">
          <cell r="A23" t="str">
            <v>17- Patente</v>
          </cell>
        </row>
        <row r="24">
          <cell r="A24" t="str">
            <v>18- Contribution foncière des propriétés bâties (CFPB)</v>
          </cell>
        </row>
        <row r="25">
          <cell r="A25" t="str">
            <v>19- Contribution foncière des propriétés non bâties (CFPNB)</v>
          </cell>
        </row>
        <row r="26">
          <cell r="A26" t="str">
            <v xml:space="preserve">20- Appui institutionnel aux collectivités locales </v>
          </cell>
        </row>
        <row r="27">
          <cell r="A27" t="str">
            <v xml:space="preserve">21- Impôt du minimum fiscal </v>
          </cell>
        </row>
        <row r="28">
          <cell r="A28" t="str">
            <v xml:space="preserve">22- Dividendes versés à l'Etat </v>
          </cell>
        </row>
        <row r="29">
          <cell r="A29" t="str">
            <v>23- Frais d'inscription d'une concession minière ou d'un permis d'exploitation</v>
          </cell>
        </row>
        <row r="30">
          <cell r="A30" t="str">
            <v>24- Bonus (DGCPT)</v>
          </cell>
        </row>
        <row r="31">
          <cell r="A31" t="str">
            <v xml:space="preserve">25- Contribution économique locale (CEL VA et CEL VL) </v>
          </cell>
        </row>
        <row r="32">
          <cell r="A32" t="str">
            <v>26- Taxe sur la valeur ajoutée reversée</v>
          </cell>
        </row>
        <row r="33">
          <cell r="A33" t="str">
            <v>27- Retenues à la source sur salaires (IR, TRIMF et CFCE)</v>
          </cell>
        </row>
        <row r="34">
          <cell r="A34" t="str">
            <v>28- Redressements fiscaux</v>
          </cell>
        </row>
        <row r="35">
          <cell r="A35" t="str">
            <v>29 - (a)- Impôt sur les sociétés</v>
          </cell>
        </row>
        <row r="36">
          <cell r="A36" t="str">
            <v>29 - (b)- Impôt sur les sociétés (bénéfices non pétroliers/miniers )</v>
          </cell>
        </row>
        <row r="37">
          <cell r="A37" t="str">
            <v>30- Retenues à la source sur bénéfice non commercial</v>
          </cell>
        </row>
        <row r="38">
          <cell r="A38" t="str">
            <v>31- Contribution spéciale sur les produits des mines et des carrières (CSMC)</v>
          </cell>
        </row>
        <row r="39">
          <cell r="A39" t="str">
            <v>32- Retenue à la source sur sommes versées à des tiers</v>
          </cell>
        </row>
        <row r="40">
          <cell r="A40" t="str">
            <v>33- Taxe sur la valeur ajoutée précomptée</v>
          </cell>
        </row>
        <row r="41">
          <cell r="A41" t="str">
            <v>34- Impôt minimum forfaitaire</v>
          </cell>
        </row>
        <row r="42">
          <cell r="A42" t="str">
            <v>35- Bonus (DGID)</v>
          </cell>
        </row>
        <row r="43">
          <cell r="A43" t="str">
            <v xml:space="preserve">36- Surtaxe foncière </v>
          </cell>
        </row>
        <row r="44">
          <cell r="A44" t="str">
            <v>37- Impôt sur le revenu des valeurs mobilières</v>
          </cell>
        </row>
        <row r="45">
          <cell r="A45" t="str">
            <v>38- Taxe spéciale sur le ciment</v>
          </cell>
        </row>
        <row r="46">
          <cell r="A46" t="str">
            <v xml:space="preserve">39- Frais d'inscription d'une concession minière ou d'un permis d'exploitation </v>
          </cell>
        </row>
        <row r="47">
          <cell r="A47" t="str">
            <v xml:space="preserve">40- Taxe sur la valeur ajoutée </v>
          </cell>
        </row>
        <row r="48">
          <cell r="A48" t="str">
            <v xml:space="preserve">41- Prélèvement communautaire solidaire UEMOA </v>
          </cell>
        </row>
        <row r="49">
          <cell r="A49" t="str">
            <v>42- Redevance statistique UEMOA</v>
          </cell>
        </row>
        <row r="71">
          <cell r="A71" t="str">
            <v>Taxes payées non reportées</v>
          </cell>
        </row>
        <row r="72">
          <cell r="A72" t="str">
            <v>Taxes payées hors période de réconciliation</v>
          </cell>
        </row>
        <row r="73">
          <cell r="A73" t="str">
            <v>Taxes hors périmètre de réconciliation</v>
          </cell>
        </row>
        <row r="74">
          <cell r="A74" t="str">
            <v>Erreur de reporting (montant et détail)</v>
          </cell>
        </row>
        <row r="75">
          <cell r="A75" t="str">
            <v>Taxes reportées non payées</v>
          </cell>
        </row>
        <row r="76">
          <cell r="A76" t="str">
            <v>Montant doublement déclaré</v>
          </cell>
        </row>
        <row r="77">
          <cell r="A77" t="str">
            <v>Erreur de classification</v>
          </cell>
        </row>
        <row r="78">
          <cell r="A78" t="str">
            <v>Taxes payées sous un autre UFI</v>
          </cell>
        </row>
        <row r="79">
          <cell r="A79" t="str">
            <v>Différence de change</v>
          </cell>
        </row>
      </sheetData>
      <sheetData sheetId="5">
        <row r="4">
          <cell r="E4">
            <v>585.96749999999997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762E-BD63-4AF0-B7D2-C76CF4123B1F}">
  <dimension ref="B2:C29"/>
  <sheetViews>
    <sheetView showGridLines="0" zoomScale="80" zoomScaleNormal="80" workbookViewId="0">
      <selection activeCell="K7" sqref="K7"/>
    </sheetView>
  </sheetViews>
  <sheetFormatPr baseColWidth="10" defaultColWidth="11.453125" defaultRowHeight="14.5" x14ac:dyDescent="0.35"/>
  <cols>
    <col min="1" max="1" width="6.453125" style="2" customWidth="1"/>
    <col min="2" max="2" width="18.08984375" style="2" customWidth="1"/>
    <col min="3" max="16384" width="11.453125" style="2"/>
  </cols>
  <sheetData>
    <row r="2" spans="2:3" ht="19" x14ac:dyDescent="0.45">
      <c r="B2" s="1" t="s">
        <v>0</v>
      </c>
    </row>
    <row r="3" spans="2:3" x14ac:dyDescent="0.35">
      <c r="B3" s="3"/>
    </row>
    <row r="4" spans="2:3" x14ac:dyDescent="0.35">
      <c r="B4" s="4" t="s">
        <v>1</v>
      </c>
      <c r="C4" s="5" t="s">
        <v>2</v>
      </c>
    </row>
    <row r="5" spans="2:3" x14ac:dyDescent="0.35">
      <c r="B5" s="4" t="s">
        <v>3</v>
      </c>
      <c r="C5" s="5" t="s">
        <v>4</v>
      </c>
    </row>
    <row r="6" spans="2:3" x14ac:dyDescent="0.35">
      <c r="B6" s="4" t="s">
        <v>5</v>
      </c>
      <c r="C6" s="5" t="s">
        <v>6</v>
      </c>
    </row>
    <row r="7" spans="2:3" x14ac:dyDescent="0.35">
      <c r="B7" s="4" t="s">
        <v>7</v>
      </c>
      <c r="C7" s="5" t="s">
        <v>8</v>
      </c>
    </row>
    <row r="8" spans="2:3" x14ac:dyDescent="0.35">
      <c r="B8" s="4" t="s">
        <v>9</v>
      </c>
      <c r="C8" s="5" t="s">
        <v>10</v>
      </c>
    </row>
    <row r="9" spans="2:3" x14ac:dyDescent="0.35">
      <c r="B9" s="4" t="s">
        <v>11</v>
      </c>
      <c r="C9" s="5" t="s">
        <v>12</v>
      </c>
    </row>
    <row r="10" spans="2:3" x14ac:dyDescent="0.35">
      <c r="B10" s="4" t="s">
        <v>13</v>
      </c>
      <c r="C10" s="5" t="s">
        <v>14</v>
      </c>
    </row>
    <row r="11" spans="2:3" x14ac:dyDescent="0.35">
      <c r="B11" s="4" t="s">
        <v>15</v>
      </c>
      <c r="C11" s="5" t="s">
        <v>16</v>
      </c>
    </row>
    <row r="12" spans="2:3" x14ac:dyDescent="0.35">
      <c r="B12" s="4" t="s">
        <v>17</v>
      </c>
      <c r="C12" s="5" t="s">
        <v>18</v>
      </c>
    </row>
    <row r="13" spans="2:3" x14ac:dyDescent="0.35">
      <c r="B13" s="4" t="s">
        <v>19</v>
      </c>
      <c r="C13" s="5" t="s">
        <v>20</v>
      </c>
    </row>
    <row r="14" spans="2:3" x14ac:dyDescent="0.35">
      <c r="B14" s="4" t="s">
        <v>21</v>
      </c>
      <c r="C14" s="5" t="s">
        <v>22</v>
      </c>
    </row>
    <row r="15" spans="2:3" x14ac:dyDescent="0.35">
      <c r="B15" s="4" t="s">
        <v>23</v>
      </c>
      <c r="C15" s="5" t="s">
        <v>24</v>
      </c>
    </row>
    <row r="16" spans="2:3" x14ac:dyDescent="0.35">
      <c r="B16" s="4" t="s">
        <v>25</v>
      </c>
      <c r="C16" s="5" t="s">
        <v>26</v>
      </c>
    </row>
    <row r="17" spans="2:3" x14ac:dyDescent="0.35">
      <c r="B17" s="4" t="s">
        <v>27</v>
      </c>
      <c r="C17" s="5" t="s">
        <v>28</v>
      </c>
    </row>
    <row r="18" spans="2:3" x14ac:dyDescent="0.35">
      <c r="B18" s="4" t="s">
        <v>29</v>
      </c>
      <c r="C18" s="5" t="s">
        <v>30</v>
      </c>
    </row>
    <row r="19" spans="2:3" x14ac:dyDescent="0.35">
      <c r="B19" s="4" t="s">
        <v>31</v>
      </c>
      <c r="C19" s="5" t="s">
        <v>32</v>
      </c>
    </row>
    <row r="20" spans="2:3" x14ac:dyDescent="0.35">
      <c r="B20" s="4" t="s">
        <v>33</v>
      </c>
      <c r="C20" s="5" t="s">
        <v>34</v>
      </c>
    </row>
    <row r="21" spans="2:3" x14ac:dyDescent="0.35">
      <c r="B21" s="4" t="s">
        <v>35</v>
      </c>
      <c r="C21" s="5" t="s">
        <v>36</v>
      </c>
    </row>
    <row r="22" spans="2:3" x14ac:dyDescent="0.35">
      <c r="B22" s="4" t="s">
        <v>37</v>
      </c>
      <c r="C22" s="5" t="s">
        <v>38</v>
      </c>
    </row>
    <row r="23" spans="2:3" x14ac:dyDescent="0.35">
      <c r="B23" s="4" t="s">
        <v>39</v>
      </c>
      <c r="C23" s="5" t="s">
        <v>40</v>
      </c>
    </row>
    <row r="24" spans="2:3" x14ac:dyDescent="0.35">
      <c r="B24" s="4" t="s">
        <v>41</v>
      </c>
      <c r="C24" s="5" t="s">
        <v>42</v>
      </c>
    </row>
    <row r="25" spans="2:3" x14ac:dyDescent="0.35">
      <c r="B25" s="4" t="s">
        <v>43</v>
      </c>
      <c r="C25" s="5" t="s">
        <v>44</v>
      </c>
    </row>
    <row r="26" spans="2:3" x14ac:dyDescent="0.35">
      <c r="B26" s="4" t="s">
        <v>45</v>
      </c>
      <c r="C26" s="5" t="s">
        <v>46</v>
      </c>
    </row>
    <row r="27" spans="2:3" x14ac:dyDescent="0.35">
      <c r="B27" s="4" t="s">
        <v>47</v>
      </c>
      <c r="C27" s="5" t="s">
        <v>48</v>
      </c>
    </row>
    <row r="28" spans="2:3" x14ac:dyDescent="0.35">
      <c r="B28" s="4" t="s">
        <v>49</v>
      </c>
      <c r="C28" s="5" t="s">
        <v>50</v>
      </c>
    </row>
    <row r="29" spans="2:3" x14ac:dyDescent="0.35">
      <c r="B29" s="4" t="s">
        <v>51</v>
      </c>
      <c r="C29" s="5" t="s">
        <v>52</v>
      </c>
    </row>
  </sheetData>
  <hyperlinks>
    <hyperlink ref="B4" location="'Annexe 12-(1)'!A1" display="Annexe 12-(1)" xr:uid="{2B980465-E3B0-4EB8-ACC3-8E27E786C255}"/>
    <hyperlink ref="B5" location="'Annexe 12-(2)'!A1" display="Annexe 12-(2)" xr:uid="{457334E6-2B11-4813-91C4-D72A3DEA3A04}"/>
    <hyperlink ref="B6" location="'Annexe 12-(3)'!A1" display="Annexe 12-(3)" xr:uid="{B4315660-6723-4242-A804-04B2FEAD9990}"/>
    <hyperlink ref="B7" location="'Annexe 12-(4)'!A1" display="Annexe 12-(4)" xr:uid="{6385F7C1-44F2-4C3B-A620-09F295E35C52}"/>
    <hyperlink ref="B8" location="'Annexe 12-(5)'!A1" display="Annexe 12-(5)" xr:uid="{4FAFE7D4-01D7-4CF6-91A2-1FA1CA5DD3A5}"/>
    <hyperlink ref="B9" location="'Annexe 12-(6)'!A1" display="Annexe 12-(6)" xr:uid="{DB9E10B9-BDA9-4816-B7F8-6A7ED5B5DE33}"/>
    <hyperlink ref="B10" location="'Annexe 12-(7)'!A1" display="Annexe 12-(7)" xr:uid="{ADA0BF5A-41D8-47BA-A843-582D0A95DDC6}"/>
    <hyperlink ref="B11" location="'Annexe 12-(8)'!A1" display="Annexe 12-(8)" xr:uid="{CC5626C6-05F7-49FB-A0F6-5A9E0C349AD3}"/>
    <hyperlink ref="B12" location="'Annexe 12-(9)'!A1" display="Annexe 12-(9)" xr:uid="{90BE913A-F3F9-4B3C-BF5B-8D7149C05244}"/>
    <hyperlink ref="B13" location="'Annexe 12-(10)'!A1" display="Annexe 12-(10)" xr:uid="{390D8BA1-F1F6-4F33-AE3B-89CEA6BEF920}"/>
    <hyperlink ref="B14" location="'Annexe 12-(11)'!A1" display="Annexe 12-(11)" xr:uid="{04F4F923-696B-481C-8BA2-3C54A5BB0517}"/>
    <hyperlink ref="B15" location="'Annexe 12-(12)'!A1" display="Annexe 12-(12)" xr:uid="{0E516D7F-CF2B-4706-8F87-A364136672B5}"/>
    <hyperlink ref="B16" location="'Annexe 12-(13)'!A1" display="Annexe 12-(13)" xr:uid="{62937B7C-52A7-4A87-8AC9-B64F10310D4E}"/>
    <hyperlink ref="B17" location="'Annexe 12-(14)'!A1" display="Annexe 12-(14)" xr:uid="{1E129475-341A-4FA1-94B4-58B949E6B800}"/>
    <hyperlink ref="B18" location="'Annexe 12-(15)'!A1" display="Annexe 12-(15)" xr:uid="{B8EC04E4-279E-4E66-BC33-AC8E31EAF530}"/>
    <hyperlink ref="B19" location="'Annexe 12-(16)'!A1" display="Annexe 12-(16)" xr:uid="{0BC35374-5D52-40D7-9ADE-873E85940AA1}"/>
    <hyperlink ref="B20" location="'Annexe 12-(17)'!A1" display="Annexe 12-(17)" xr:uid="{B56E7732-D358-4AC4-AE15-59451BE2290F}"/>
    <hyperlink ref="B21" location="'Annexe 12-(18)'!A1" display="Annexe 12-(18)" xr:uid="{26267707-6538-4319-B3DA-135E593303C4}"/>
    <hyperlink ref="B22" location="'Annexe 12-(19)'!A1" display="Annexe 12-(19)" xr:uid="{D7144215-C439-4541-ACE6-0A520A063288}"/>
    <hyperlink ref="B23" location="'Annexe 12-(20)'!A1" display="Annexe 12-(20)" xr:uid="{0D4D295B-22D2-42C2-8738-A5E2AE3BB03B}"/>
    <hyperlink ref="B24" location="'Annexe 12-(21)'!A1" display="Annexe 12-(21)" xr:uid="{A535783F-0CD0-4890-97C6-94C712DE720C}"/>
    <hyperlink ref="B25" location="'Annexe 12-(22)'!A1" display="Annexe 12-(22)" xr:uid="{128244A8-0AB9-4F93-8170-96020C32510E}"/>
    <hyperlink ref="B26" location="'Annexe 12-(23)'!A1" display="Annexe 12-(23)" xr:uid="{1388ECC0-12BA-4818-BA6D-8BB29F369528}"/>
    <hyperlink ref="B27" location="'Annexe 12-(24)'!A1" display="Annexe 12-(24)" xr:uid="{F3761619-4010-47CE-A083-72FE75CADBC6}"/>
    <hyperlink ref="B28" location="'Annexe 12-(25)'!A1" display="Annexe 12-(25)" xr:uid="{48C22966-51E4-4F27-BC7F-49F2EAA5315B}"/>
    <hyperlink ref="B29" location="'Annexe 12-(26)'!A1" display="Annexe 12-(26)" xr:uid="{4DB1452B-0EB0-4265-A248-B96200D930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40E7-B360-4393-938E-67BB533A40ED}">
  <dimension ref="A1:M74"/>
  <sheetViews>
    <sheetView showGridLines="0" zoomScale="80" zoomScaleNormal="80" workbookViewId="0">
      <selection activeCell="B15" sqref="B15"/>
    </sheetView>
  </sheetViews>
  <sheetFormatPr baseColWidth="10" defaultColWidth="11.453125" defaultRowHeight="12" x14ac:dyDescent="0.3"/>
  <cols>
    <col min="1" max="1" width="6.36328125" style="3" customWidth="1"/>
    <col min="2" max="2" width="6.08984375" style="6" bestFit="1" customWidth="1"/>
    <col min="3" max="3" width="57" style="38" bestFit="1" customWidth="1"/>
    <col min="4" max="4" width="0.90625" style="8" customWidth="1"/>
    <col min="5" max="5" width="15.54296875" style="8" customWidth="1"/>
    <col min="6" max="6" width="13.6328125" style="6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2.453125" style="8" customWidth="1"/>
    <col min="11" max="11" width="15.36328125" style="8" bestFit="1" customWidth="1"/>
    <col min="12" max="12" width="0.90625" style="8" customWidth="1"/>
    <col min="13" max="13" width="14.90625" style="8" customWidth="1"/>
    <col min="14" max="16384" width="11.453125" style="3"/>
  </cols>
  <sheetData>
    <row r="1" spans="2:13" ht="31.5" x14ac:dyDescent="0.3">
      <c r="C1" s="7" t="s">
        <v>53</v>
      </c>
      <c r="E1" s="9" t="s">
        <v>54</v>
      </c>
      <c r="F1" s="9" t="s">
        <v>55</v>
      </c>
      <c r="G1" s="10"/>
      <c r="J1" s="10" t="s">
        <v>56</v>
      </c>
      <c r="K1" s="10">
        <v>2019</v>
      </c>
    </row>
    <row r="2" spans="2:13" x14ac:dyDescent="0.3">
      <c r="C2" s="11"/>
      <c r="F2" s="8"/>
      <c r="I2" s="12" t="s">
        <v>57</v>
      </c>
      <c r="J2" s="12">
        <f>[1]Cours!$E$4</f>
        <v>585.96749999999997</v>
      </c>
    </row>
    <row r="3" spans="2:13" x14ac:dyDescent="0.3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">
      <c r="B8" s="18" t="s">
        <v>69</v>
      </c>
      <c r="C8" s="19"/>
      <c r="E8" s="20">
        <v>22727969</v>
      </c>
      <c r="F8" s="20">
        <v>9505464</v>
      </c>
      <c r="G8" s="20">
        <v>32233433</v>
      </c>
      <c r="I8" s="20">
        <v>32501813</v>
      </c>
      <c r="J8" s="20">
        <v>0</v>
      </c>
      <c r="K8" s="20">
        <v>32501813</v>
      </c>
      <c r="M8" s="20">
        <v>-268380</v>
      </c>
    </row>
    <row r="9" spans="2:13" x14ac:dyDescent="0.3">
      <c r="B9" s="26"/>
      <c r="C9" s="27" t="s">
        <v>70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">
      <c r="B10" s="21">
        <v>3</v>
      </c>
      <c r="C10" s="29" t="s">
        <v>71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">
      <c r="B35" s="26"/>
      <c r="C35" s="27" t="s">
        <v>95</v>
      </c>
      <c r="E35" s="28">
        <v>19821592</v>
      </c>
      <c r="F35" s="28">
        <v>5599482</v>
      </c>
      <c r="G35" s="28">
        <v>25421074</v>
      </c>
      <c r="I35" s="28">
        <v>25421074</v>
      </c>
      <c r="J35" s="28">
        <v>0</v>
      </c>
      <c r="K35" s="28">
        <v>25421074</v>
      </c>
      <c r="M35" s="28">
        <v>0</v>
      </c>
    </row>
    <row r="36" spans="2:13" x14ac:dyDescent="0.3">
      <c r="B36" s="31">
        <v>26</v>
      </c>
      <c r="C36" s="29" t="s">
        <v>96</v>
      </c>
      <c r="E36" s="23">
        <v>0</v>
      </c>
      <c r="F36" s="23">
        <v>0</v>
      </c>
      <c r="G36" s="23">
        <v>0</v>
      </c>
      <c r="I36" s="23">
        <v>0</v>
      </c>
      <c r="J36" s="23">
        <v>0</v>
      </c>
      <c r="K36" s="23">
        <v>0</v>
      </c>
      <c r="M36" s="23">
        <v>0</v>
      </c>
    </row>
    <row r="37" spans="2:13" x14ac:dyDescent="0.3">
      <c r="B37" s="32">
        <v>27</v>
      </c>
      <c r="C37" s="30" t="s">
        <v>97</v>
      </c>
      <c r="E37" s="25">
        <v>19644229</v>
      </c>
      <c r="F37" s="25">
        <v>4986297</v>
      </c>
      <c r="G37" s="25">
        <v>24630526</v>
      </c>
      <c r="I37" s="25">
        <v>24630526</v>
      </c>
      <c r="J37" s="25">
        <v>0</v>
      </c>
      <c r="K37" s="25">
        <v>24630526</v>
      </c>
      <c r="M37" s="25">
        <v>0</v>
      </c>
    </row>
    <row r="38" spans="2:13" x14ac:dyDescent="0.3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">
      <c r="B40" s="31" t="s">
        <v>101</v>
      </c>
      <c r="C40" s="29" t="s">
        <v>102</v>
      </c>
      <c r="E40" s="23">
        <v>0</v>
      </c>
      <c r="F40" s="23">
        <v>542274</v>
      </c>
      <c r="G40" s="23">
        <v>542274</v>
      </c>
      <c r="I40" s="23">
        <v>542274</v>
      </c>
      <c r="J40" s="23">
        <v>0</v>
      </c>
      <c r="K40" s="23">
        <v>542274</v>
      </c>
      <c r="M40" s="23">
        <v>0</v>
      </c>
    </row>
    <row r="41" spans="2:13" x14ac:dyDescent="0.3">
      <c r="B41" s="32">
        <v>30</v>
      </c>
      <c r="C41" s="30" t="s">
        <v>103</v>
      </c>
      <c r="E41" s="25">
        <v>0</v>
      </c>
      <c r="F41" s="25">
        <v>0</v>
      </c>
      <c r="G41" s="25">
        <v>0</v>
      </c>
      <c r="I41" s="25">
        <v>0</v>
      </c>
      <c r="J41" s="25">
        <v>0</v>
      </c>
      <c r="K41" s="25">
        <v>0</v>
      </c>
      <c r="M41" s="25">
        <v>0</v>
      </c>
    </row>
    <row r="42" spans="2:13" x14ac:dyDescent="0.3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">
      <c r="B43" s="32">
        <v>32</v>
      </c>
      <c r="C43" s="30" t="s">
        <v>105</v>
      </c>
      <c r="E43" s="25">
        <v>177363</v>
      </c>
      <c r="F43" s="25">
        <v>70911</v>
      </c>
      <c r="G43" s="25">
        <v>248274</v>
      </c>
      <c r="I43" s="25">
        <v>248274</v>
      </c>
      <c r="J43" s="25">
        <v>0</v>
      </c>
      <c r="K43" s="25">
        <v>248274</v>
      </c>
      <c r="M43" s="25">
        <v>0</v>
      </c>
    </row>
    <row r="44" spans="2:13" x14ac:dyDescent="0.3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">
      <c r="B48" s="31">
        <v>37</v>
      </c>
      <c r="C48" s="29" t="s">
        <v>110</v>
      </c>
      <c r="E48" s="23">
        <v>0</v>
      </c>
      <c r="F48" s="23">
        <v>0</v>
      </c>
      <c r="G48" s="23">
        <v>0</v>
      </c>
      <c r="I48" s="23">
        <v>0</v>
      </c>
      <c r="J48" s="23">
        <v>0</v>
      </c>
      <c r="K48" s="23">
        <v>0</v>
      </c>
      <c r="M48" s="23">
        <v>0</v>
      </c>
    </row>
    <row r="49" spans="2:13" x14ac:dyDescent="0.3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">
      <c r="B51" s="26"/>
      <c r="C51" s="27" t="s">
        <v>113</v>
      </c>
      <c r="E51" s="28">
        <v>0</v>
      </c>
      <c r="F51" s="28">
        <v>0</v>
      </c>
      <c r="G51" s="28">
        <v>0</v>
      </c>
      <c r="I51" s="28">
        <v>268380</v>
      </c>
      <c r="J51" s="28">
        <v>0</v>
      </c>
      <c r="K51" s="28">
        <v>268380</v>
      </c>
      <c r="M51" s="28">
        <v>-268380</v>
      </c>
    </row>
    <row r="52" spans="2:13" x14ac:dyDescent="0.3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0</v>
      </c>
      <c r="J52" s="23">
        <v>0</v>
      </c>
      <c r="K52" s="23">
        <v>0</v>
      </c>
      <c r="M52" s="23">
        <v>0</v>
      </c>
    </row>
    <row r="53" spans="2:13" x14ac:dyDescent="0.3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0</v>
      </c>
      <c r="J53" s="25">
        <v>0</v>
      </c>
      <c r="K53" s="25">
        <v>0</v>
      </c>
      <c r="M53" s="25">
        <v>0</v>
      </c>
    </row>
    <row r="54" spans="2:13" x14ac:dyDescent="0.3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">
      <c r="B55" s="32">
        <v>43</v>
      </c>
      <c r="C55" s="30" t="s">
        <v>117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268380</v>
      </c>
      <c r="J57" s="25">
        <v>0</v>
      </c>
      <c r="K57" s="25">
        <v>268380</v>
      </c>
      <c r="M57" s="25">
        <v>-268380</v>
      </c>
    </row>
    <row r="58" spans="2:13" x14ac:dyDescent="0.3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1:13" x14ac:dyDescent="0.3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1:13" x14ac:dyDescent="0.3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1:13" x14ac:dyDescent="0.3">
      <c r="B67" s="26"/>
      <c r="C67" s="27" t="s">
        <v>128</v>
      </c>
      <c r="E67" s="28">
        <v>1013040</v>
      </c>
      <c r="F67" s="28">
        <v>0</v>
      </c>
      <c r="G67" s="28">
        <v>1013040</v>
      </c>
      <c r="I67" s="28">
        <v>1013040</v>
      </c>
      <c r="J67" s="28">
        <v>0</v>
      </c>
      <c r="K67" s="28">
        <v>1013040</v>
      </c>
      <c r="M67" s="28">
        <v>0</v>
      </c>
    </row>
    <row r="68" spans="1:13" x14ac:dyDescent="0.3">
      <c r="B68" s="31">
        <v>53</v>
      </c>
      <c r="C68" s="29" t="s">
        <v>129</v>
      </c>
      <c r="E68" s="23">
        <v>1013040</v>
      </c>
      <c r="F68" s="23">
        <v>0</v>
      </c>
      <c r="G68" s="23">
        <v>1013040</v>
      </c>
      <c r="I68" s="23">
        <v>1013040</v>
      </c>
      <c r="J68" s="23">
        <v>0</v>
      </c>
      <c r="K68" s="23">
        <v>1013040</v>
      </c>
      <c r="M68" s="23">
        <v>0</v>
      </c>
    </row>
    <row r="69" spans="1:13" x14ac:dyDescent="0.3">
      <c r="B69" s="26"/>
      <c r="C69" s="27" t="s">
        <v>130</v>
      </c>
      <c r="E69" s="28">
        <v>1893337</v>
      </c>
      <c r="F69" s="28">
        <v>3905982</v>
      </c>
      <c r="G69" s="28">
        <v>5799319</v>
      </c>
      <c r="I69" s="28">
        <v>5799319</v>
      </c>
      <c r="J69" s="28">
        <v>0</v>
      </c>
      <c r="K69" s="28">
        <v>5799319</v>
      </c>
      <c r="M69" s="28">
        <v>0</v>
      </c>
    </row>
    <row r="70" spans="1:13" x14ac:dyDescent="0.3">
      <c r="B70" s="32">
        <v>54</v>
      </c>
      <c r="C70" s="30" t="s">
        <v>131</v>
      </c>
      <c r="E70" s="25">
        <v>1893337</v>
      </c>
      <c r="F70" s="25">
        <v>3905982</v>
      </c>
      <c r="G70" s="25">
        <v>5799319</v>
      </c>
      <c r="I70" s="25">
        <v>5799319</v>
      </c>
      <c r="J70" s="25">
        <v>0</v>
      </c>
      <c r="K70" s="25">
        <v>5799319</v>
      </c>
      <c r="M70" s="25">
        <v>0</v>
      </c>
    </row>
    <row r="71" spans="1:13" x14ac:dyDescent="0.3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1:13" ht="24.75" customHeight="1" x14ac:dyDescent="0.3">
      <c r="B72" s="31">
        <v>55</v>
      </c>
      <c r="C72" s="29" t="s">
        <v>133</v>
      </c>
      <c r="E72" s="23"/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1:13" x14ac:dyDescent="0.3">
      <c r="B73" s="34"/>
      <c r="C73" s="35"/>
      <c r="D73" s="10"/>
      <c r="E73" s="36"/>
      <c r="F73" s="36"/>
      <c r="G73" s="36"/>
      <c r="H73" s="37"/>
      <c r="I73" s="36"/>
      <c r="J73" s="36"/>
      <c r="K73" s="36"/>
      <c r="L73" s="37"/>
      <c r="M73" s="36"/>
    </row>
    <row r="74" spans="1:13" x14ac:dyDescent="0.3">
      <c r="A74" s="3" t="s">
        <v>134</v>
      </c>
    </row>
  </sheetData>
  <mergeCells count="5">
    <mergeCell ref="B3:B4"/>
    <mergeCell ref="C3:C4"/>
    <mergeCell ref="E3:G3"/>
    <mergeCell ref="I3:K3"/>
    <mergeCell ref="M3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5FDE-C74C-4772-9935-B5885C7BF24C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3.6328125" style="6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42" x14ac:dyDescent="0.35">
      <c r="C1" s="7" t="s">
        <v>53</v>
      </c>
      <c r="E1" s="9" t="s">
        <v>135</v>
      </c>
      <c r="F1" s="9" t="s">
        <v>136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27928395524</v>
      </c>
      <c r="F8" s="20">
        <v>37692443</v>
      </c>
      <c r="G8" s="20">
        <v>27966087967</v>
      </c>
      <c r="I8" s="20">
        <v>24444853431</v>
      </c>
      <c r="J8" s="20">
        <v>2672530659</v>
      </c>
      <c r="K8" s="20">
        <v>27117384090</v>
      </c>
      <c r="M8" s="20">
        <v>848703877</v>
      </c>
    </row>
    <row r="9" spans="2:13" x14ac:dyDescent="0.35">
      <c r="B9" s="26"/>
      <c r="C9" s="27" t="s">
        <v>70</v>
      </c>
      <c r="E9" s="28">
        <v>232784386</v>
      </c>
      <c r="F9" s="28">
        <v>0</v>
      </c>
      <c r="G9" s="28">
        <v>232784386</v>
      </c>
      <c r="I9" s="28">
        <v>233751958</v>
      </c>
      <c r="J9" s="28">
        <v>-967572</v>
      </c>
      <c r="K9" s="28">
        <v>232784386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198099386</v>
      </c>
      <c r="F10" s="23">
        <v>0</v>
      </c>
      <c r="G10" s="23">
        <v>198099386</v>
      </c>
      <c r="I10" s="23">
        <v>116875979</v>
      </c>
      <c r="J10" s="23">
        <v>81223407</v>
      </c>
      <c r="K10" s="23">
        <v>198099386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20060000</v>
      </c>
      <c r="F11" s="25">
        <v>0</v>
      </c>
      <c r="G11" s="25">
        <v>20060000</v>
      </c>
      <c r="I11" s="25">
        <v>116875979</v>
      </c>
      <c r="J11" s="25">
        <v>-96815979</v>
      </c>
      <c r="K11" s="25">
        <v>20060000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14625000</v>
      </c>
      <c r="F12" s="23">
        <v>0</v>
      </c>
      <c r="G12" s="23">
        <v>14625000</v>
      </c>
      <c r="I12" s="23">
        <v>0</v>
      </c>
      <c r="J12" s="23">
        <v>14625000</v>
      </c>
      <c r="K12" s="23">
        <v>14625000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1308000000</v>
      </c>
      <c r="F24" s="28">
        <v>0</v>
      </c>
      <c r="G24" s="28">
        <v>1308000000</v>
      </c>
      <c r="I24" s="28">
        <v>1308000000</v>
      </c>
      <c r="J24" s="28">
        <v>0</v>
      </c>
      <c r="K24" s="28">
        <v>1308000000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1308000000</v>
      </c>
      <c r="F26" s="25">
        <v>0</v>
      </c>
      <c r="G26" s="25">
        <v>1308000000</v>
      </c>
      <c r="I26" s="25">
        <v>1308000000</v>
      </c>
      <c r="J26" s="25">
        <v>0</v>
      </c>
      <c r="K26" s="25">
        <v>1308000000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24320288212</v>
      </c>
      <c r="F35" s="28">
        <v>37692443</v>
      </c>
      <c r="G35" s="28">
        <v>24357980655</v>
      </c>
      <c r="I35" s="28">
        <v>21645071212</v>
      </c>
      <c r="J35" s="28">
        <v>2673498231</v>
      </c>
      <c r="K35" s="28">
        <v>24318569443</v>
      </c>
      <c r="M35" s="28">
        <v>39411212</v>
      </c>
    </row>
    <row r="36" spans="2:13" x14ac:dyDescent="0.35">
      <c r="B36" s="31">
        <v>26</v>
      </c>
      <c r="C36" s="29" t="s">
        <v>96</v>
      </c>
      <c r="E36" s="23">
        <v>15749725217</v>
      </c>
      <c r="F36" s="23">
        <v>0</v>
      </c>
      <c r="G36" s="23">
        <v>15749725217</v>
      </c>
      <c r="I36" s="23">
        <v>13076226986</v>
      </c>
      <c r="J36" s="23">
        <v>2673498231</v>
      </c>
      <c r="K36" s="23">
        <v>15749725217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1563029223</v>
      </c>
      <c r="F37" s="25">
        <v>0</v>
      </c>
      <c r="G37" s="25">
        <v>1563029223</v>
      </c>
      <c r="I37" s="25">
        <v>1519490223</v>
      </c>
      <c r="J37" s="25">
        <v>0</v>
      </c>
      <c r="K37" s="25">
        <v>1519490223</v>
      </c>
      <c r="M37" s="25">
        <v>43539000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4127788</v>
      </c>
      <c r="J38" s="23">
        <v>0</v>
      </c>
      <c r="K38" s="23">
        <v>4127788</v>
      </c>
      <c r="M38" s="23">
        <v>-4127788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4127788</v>
      </c>
      <c r="F40" s="23">
        <v>0</v>
      </c>
      <c r="G40" s="23">
        <v>4127788</v>
      </c>
      <c r="I40" s="23">
        <v>4127788</v>
      </c>
      <c r="J40" s="23">
        <v>0</v>
      </c>
      <c r="K40" s="23">
        <v>4127788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0</v>
      </c>
      <c r="F41" s="25">
        <v>0</v>
      </c>
      <c r="G41" s="25">
        <v>0</v>
      </c>
      <c r="I41" s="25">
        <v>0</v>
      </c>
      <c r="J41" s="25">
        <v>0</v>
      </c>
      <c r="K41" s="25">
        <v>0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59561960</v>
      </c>
      <c r="F43" s="25">
        <v>0</v>
      </c>
      <c r="G43" s="25">
        <v>59561960</v>
      </c>
      <c r="I43" s="25">
        <v>59561960</v>
      </c>
      <c r="J43" s="25">
        <v>0</v>
      </c>
      <c r="K43" s="25">
        <v>59561960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248131204</v>
      </c>
      <c r="F44" s="23">
        <v>37692443</v>
      </c>
      <c r="G44" s="23">
        <v>285823647</v>
      </c>
      <c r="I44" s="23">
        <v>285823647</v>
      </c>
      <c r="J44" s="23">
        <v>0</v>
      </c>
      <c r="K44" s="23">
        <v>285823647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6815140</v>
      </c>
      <c r="F48" s="23">
        <v>0</v>
      </c>
      <c r="G48" s="23">
        <v>6815140</v>
      </c>
      <c r="I48" s="23">
        <v>6815140</v>
      </c>
      <c r="J48" s="23">
        <v>0</v>
      </c>
      <c r="K48" s="23">
        <v>6815140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6688897680</v>
      </c>
      <c r="F49" s="25">
        <v>0</v>
      </c>
      <c r="G49" s="25">
        <v>6688897680</v>
      </c>
      <c r="I49" s="25">
        <v>6688897680</v>
      </c>
      <c r="J49" s="25">
        <v>0</v>
      </c>
      <c r="K49" s="25">
        <v>6688897680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1764690744</v>
      </c>
      <c r="F51" s="28">
        <v>0</v>
      </c>
      <c r="G51" s="28">
        <v>1764690744</v>
      </c>
      <c r="I51" s="28">
        <v>955398079</v>
      </c>
      <c r="J51" s="28">
        <v>0</v>
      </c>
      <c r="K51" s="28">
        <v>955398079</v>
      </c>
      <c r="M51" s="28">
        <v>809292665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380488153</v>
      </c>
      <c r="J52" s="23">
        <v>0</v>
      </c>
      <c r="K52" s="23">
        <v>380488153</v>
      </c>
      <c r="M52" s="23">
        <v>-380488153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136082428</v>
      </c>
      <c r="J53" s="25">
        <v>0</v>
      </c>
      <c r="K53" s="25">
        <v>136082428</v>
      </c>
      <c r="M53" s="25">
        <v>-136082428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170096129</v>
      </c>
      <c r="J54" s="23">
        <v>0</v>
      </c>
      <c r="K54" s="23">
        <v>170096129</v>
      </c>
      <c r="M54" s="23">
        <v>-170096129</v>
      </c>
    </row>
    <row r="55" spans="2:13" x14ac:dyDescent="0.35">
      <c r="B55" s="32">
        <v>43</v>
      </c>
      <c r="C55" s="30" t="s">
        <v>117</v>
      </c>
      <c r="E55" s="25">
        <v>1764690744</v>
      </c>
      <c r="F55" s="25">
        <v>0</v>
      </c>
      <c r="G55" s="25">
        <v>1764690744</v>
      </c>
      <c r="I55" s="25">
        <v>178068189</v>
      </c>
      <c r="J55" s="25">
        <v>0</v>
      </c>
      <c r="K55" s="25">
        <v>178068189</v>
      </c>
      <c r="M55" s="25">
        <v>1586622555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85051501</v>
      </c>
      <c r="J56" s="23">
        <v>0</v>
      </c>
      <c r="K56" s="23">
        <v>85051501</v>
      </c>
      <c r="M56" s="23">
        <v>-85051501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5611679</v>
      </c>
      <c r="J57" s="25">
        <v>0</v>
      </c>
      <c r="K57" s="25">
        <v>5611679</v>
      </c>
      <c r="M57" s="25">
        <v>-5611679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9413650</v>
      </c>
      <c r="F60" s="28">
        <v>0</v>
      </c>
      <c r="G60" s="28">
        <v>9413650</v>
      </c>
      <c r="I60" s="28">
        <v>9413650</v>
      </c>
      <c r="J60" s="28">
        <v>0</v>
      </c>
      <c r="K60" s="28">
        <v>9413650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9413650</v>
      </c>
      <c r="F61" s="23">
        <v>0</v>
      </c>
      <c r="G61" s="23">
        <v>9413650</v>
      </c>
      <c r="I61" s="23">
        <v>9413650</v>
      </c>
      <c r="J61" s="23">
        <v>0</v>
      </c>
      <c r="K61" s="23">
        <v>9413650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31098032</v>
      </c>
      <c r="F67" s="28">
        <v>0</v>
      </c>
      <c r="G67" s="28">
        <v>31098032</v>
      </c>
      <c r="I67" s="28">
        <v>31098032</v>
      </c>
      <c r="J67" s="28">
        <v>0</v>
      </c>
      <c r="K67" s="28">
        <v>31098032</v>
      </c>
      <c r="M67" s="28">
        <v>0</v>
      </c>
    </row>
    <row r="68" spans="2:13" x14ac:dyDescent="0.35">
      <c r="B68" s="31">
        <v>53</v>
      </c>
      <c r="C68" s="29" t="s">
        <v>129</v>
      </c>
      <c r="E68" s="23">
        <v>31098032</v>
      </c>
      <c r="F68" s="23">
        <v>0</v>
      </c>
      <c r="G68" s="23">
        <v>31098032</v>
      </c>
      <c r="I68" s="23">
        <v>31098032</v>
      </c>
      <c r="J68" s="23">
        <v>0</v>
      </c>
      <c r="K68" s="23">
        <v>31098032</v>
      </c>
      <c r="M68" s="23">
        <v>0</v>
      </c>
    </row>
    <row r="69" spans="2:13" x14ac:dyDescent="0.35">
      <c r="B69" s="26"/>
      <c r="C69" s="27" t="s">
        <v>130</v>
      </c>
      <c r="E69" s="28">
        <v>262120500</v>
      </c>
      <c r="F69" s="28">
        <v>0</v>
      </c>
      <c r="G69" s="28">
        <v>262120500</v>
      </c>
      <c r="I69" s="28">
        <v>262120500</v>
      </c>
      <c r="J69" s="28">
        <v>0</v>
      </c>
      <c r="K69" s="28">
        <v>262120500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262120500</v>
      </c>
      <c r="F70" s="25">
        <v>0</v>
      </c>
      <c r="G70" s="25">
        <v>262120500</v>
      </c>
      <c r="I70" s="25">
        <v>262120500</v>
      </c>
      <c r="J70" s="25">
        <v>0</v>
      </c>
      <c r="K70" s="25">
        <v>262120500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1:J598 K73:M598" xr:uid="{395EBC21-E2D6-47E2-95C9-2FD9CAE42FF3}">
      <formula1>Taxes</formula1>
    </dataValidation>
    <dataValidation type="list" allowBlank="1" showInputMessage="1" showErrorMessage="1" sqref="C73:C601" xr:uid="{22037C0E-2AAA-4532-AFA5-42340918A3B6}">
      <formula1>Compadjust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9DC4-FFB5-4091-8833-7C32CB067589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43.5" customHeight="1" x14ac:dyDescent="0.35">
      <c r="C1" s="7" t="s">
        <v>53</v>
      </c>
      <c r="E1" s="9" t="s">
        <v>137</v>
      </c>
      <c r="F1" s="9" t="s">
        <v>138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32941808327</v>
      </c>
      <c r="F8" s="20">
        <v>-4297604233</v>
      </c>
      <c r="G8" s="20">
        <v>28644204094</v>
      </c>
      <c r="I8" s="20">
        <v>29887529975</v>
      </c>
      <c r="J8" s="20">
        <v>-911864637</v>
      </c>
      <c r="K8" s="20">
        <v>28975665338</v>
      </c>
      <c r="M8" s="20">
        <v>-331461244</v>
      </c>
    </row>
    <row r="9" spans="2:13" x14ac:dyDescent="0.35">
      <c r="B9" s="26"/>
      <c r="C9" s="27" t="s">
        <v>70</v>
      </c>
      <c r="E9" s="28">
        <v>9618443191</v>
      </c>
      <c r="F9" s="28">
        <v>4000000</v>
      </c>
      <c r="G9" s="28">
        <v>9622443191</v>
      </c>
      <c r="I9" s="28">
        <v>9832435189</v>
      </c>
      <c r="J9" s="28">
        <v>0</v>
      </c>
      <c r="K9" s="28">
        <v>9832435189</v>
      </c>
      <c r="M9" s="28">
        <v>-209991998</v>
      </c>
    </row>
    <row r="10" spans="2:13" x14ac:dyDescent="0.35">
      <c r="B10" s="21">
        <v>3</v>
      </c>
      <c r="C10" s="29" t="s">
        <v>71</v>
      </c>
      <c r="E10" s="23">
        <v>9506170071</v>
      </c>
      <c r="F10" s="23">
        <v>3000000</v>
      </c>
      <c r="G10" s="23">
        <v>9509170071</v>
      </c>
      <c r="I10" s="23">
        <v>9509162069</v>
      </c>
      <c r="J10" s="23">
        <v>0</v>
      </c>
      <c r="K10" s="23">
        <v>9509162069</v>
      </c>
      <c r="M10" s="23">
        <v>8002</v>
      </c>
    </row>
    <row r="11" spans="2:13" x14ac:dyDescent="0.35">
      <c r="B11" s="6">
        <v>4</v>
      </c>
      <c r="C11" s="30" t="s">
        <v>72</v>
      </c>
      <c r="E11" s="25">
        <v>112273120</v>
      </c>
      <c r="F11" s="25">
        <v>0</v>
      </c>
      <c r="G11" s="25">
        <v>112273120</v>
      </c>
      <c r="I11" s="25">
        <v>322273120</v>
      </c>
      <c r="J11" s="25">
        <v>0</v>
      </c>
      <c r="K11" s="25">
        <v>322273120</v>
      </c>
      <c r="M11" s="25">
        <v>-210000000</v>
      </c>
    </row>
    <row r="12" spans="2:13" x14ac:dyDescent="0.35">
      <c r="B12" s="21">
        <v>5</v>
      </c>
      <c r="C12" s="29" t="s">
        <v>73</v>
      </c>
      <c r="E12" s="23"/>
      <c r="F12" s="23">
        <v>1000000</v>
      </c>
      <c r="G12" s="23">
        <v>1000000</v>
      </c>
      <c r="I12" s="23">
        <v>1000000</v>
      </c>
      <c r="J12" s="23">
        <v>0</v>
      </c>
      <c r="K12" s="23">
        <v>1000000</v>
      </c>
      <c r="M12" s="23">
        <v>0</v>
      </c>
    </row>
    <row r="13" spans="2:13" x14ac:dyDescent="0.35">
      <c r="B13" s="6">
        <v>6</v>
      </c>
      <c r="C13" s="30" t="s">
        <v>74</v>
      </c>
      <c r="E13" s="25"/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700420324</v>
      </c>
      <c r="F24" s="28">
        <v>0</v>
      </c>
      <c r="G24" s="28">
        <v>700420324</v>
      </c>
      <c r="I24" s="28">
        <v>700210162</v>
      </c>
      <c r="J24" s="28">
        <v>0</v>
      </c>
      <c r="K24" s="28">
        <v>700210162</v>
      </c>
      <c r="M24" s="28">
        <v>210162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700420324</v>
      </c>
      <c r="F26" s="25">
        <v>0</v>
      </c>
      <c r="G26" s="25">
        <v>700420324</v>
      </c>
      <c r="I26" s="25">
        <v>700210162</v>
      </c>
      <c r="J26" s="25">
        <v>0</v>
      </c>
      <c r="K26" s="25">
        <v>700210162</v>
      </c>
      <c r="M26" s="25">
        <v>210162</v>
      </c>
    </row>
    <row r="27" spans="2:13" x14ac:dyDescent="0.35">
      <c r="B27" s="31">
        <v>18</v>
      </c>
      <c r="C27" s="29" t="s">
        <v>87</v>
      </c>
      <c r="E27" s="23"/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/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/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16075901894</v>
      </c>
      <c r="F35" s="28">
        <v>0</v>
      </c>
      <c r="G35" s="28">
        <v>16075901894</v>
      </c>
      <c r="I35" s="28">
        <v>17075901892</v>
      </c>
      <c r="J35" s="28">
        <v>-1000000000</v>
      </c>
      <c r="K35" s="28">
        <v>16075901892</v>
      </c>
      <c r="M35" s="28">
        <v>2</v>
      </c>
    </row>
    <row r="36" spans="2:13" x14ac:dyDescent="0.35">
      <c r="B36" s="31">
        <v>26</v>
      </c>
      <c r="C36" s="29" t="s">
        <v>96</v>
      </c>
      <c r="E36" s="23">
        <v>832010864</v>
      </c>
      <c r="F36" s="23">
        <v>0</v>
      </c>
      <c r="G36" s="23">
        <v>832010864</v>
      </c>
      <c r="I36" s="23">
        <v>832010864</v>
      </c>
      <c r="J36" s="23">
        <v>0</v>
      </c>
      <c r="K36" s="23">
        <v>832010864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2484239231</v>
      </c>
      <c r="F37" s="25">
        <v>0</v>
      </c>
      <c r="G37" s="25">
        <v>2484239231</v>
      </c>
      <c r="I37" s="25">
        <v>2484239231</v>
      </c>
      <c r="J37" s="25">
        <v>0</v>
      </c>
      <c r="K37" s="25">
        <v>2484239231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5000070562</v>
      </c>
      <c r="F38" s="23">
        <v>0</v>
      </c>
      <c r="G38" s="23">
        <v>5000070562</v>
      </c>
      <c r="I38" s="23">
        <v>5000070562</v>
      </c>
      <c r="J38" s="23">
        <v>0</v>
      </c>
      <c r="K38" s="23">
        <v>5000070562</v>
      </c>
      <c r="M38" s="23">
        <v>0</v>
      </c>
    </row>
    <row r="39" spans="2:13" x14ac:dyDescent="0.35">
      <c r="B39" s="32" t="s">
        <v>99</v>
      </c>
      <c r="C39" s="30" t="s">
        <v>100</v>
      </c>
      <c r="E39" s="25"/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7298587337</v>
      </c>
      <c r="F40" s="23">
        <v>0</v>
      </c>
      <c r="G40" s="23">
        <v>7298587337</v>
      </c>
      <c r="I40" s="23">
        <v>8298587337</v>
      </c>
      <c r="J40" s="23">
        <v>-1000000000</v>
      </c>
      <c r="K40" s="23">
        <v>7298587337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393361415</v>
      </c>
      <c r="F41" s="25">
        <v>0</v>
      </c>
      <c r="G41" s="25">
        <v>393361415</v>
      </c>
      <c r="I41" s="25">
        <v>393361415</v>
      </c>
      <c r="J41" s="25">
        <v>0</v>
      </c>
      <c r="K41" s="25">
        <v>393361415</v>
      </c>
      <c r="M41" s="25">
        <v>0</v>
      </c>
    </row>
    <row r="42" spans="2:13" x14ac:dyDescent="0.35">
      <c r="B42" s="31">
        <v>31</v>
      </c>
      <c r="C42" s="29" t="s">
        <v>104</v>
      </c>
      <c r="E42" s="23"/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19995189</v>
      </c>
      <c r="F43" s="25">
        <v>0</v>
      </c>
      <c r="G43" s="25">
        <v>19995189</v>
      </c>
      <c r="I43" s="25">
        <v>19995187</v>
      </c>
      <c r="J43" s="25">
        <v>0</v>
      </c>
      <c r="K43" s="25">
        <v>19995187</v>
      </c>
      <c r="M43" s="25">
        <v>2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47637296</v>
      </c>
      <c r="F48" s="23">
        <v>0</v>
      </c>
      <c r="G48" s="23">
        <v>47637296</v>
      </c>
      <c r="I48" s="23">
        <v>47637296</v>
      </c>
      <c r="J48" s="23">
        <v>0</v>
      </c>
      <c r="K48" s="23">
        <v>47637296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2581917267</v>
      </c>
      <c r="F51" s="28">
        <v>-1083119188</v>
      </c>
      <c r="G51" s="28">
        <v>1498798079</v>
      </c>
      <c r="I51" s="28">
        <v>1704751166</v>
      </c>
      <c r="J51" s="28">
        <v>0</v>
      </c>
      <c r="K51" s="28">
        <v>1704751166</v>
      </c>
      <c r="M51" s="28">
        <v>-205953087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197063568</v>
      </c>
      <c r="J52" s="23">
        <v>0</v>
      </c>
      <c r="K52" s="23">
        <v>197063568</v>
      </c>
      <c r="M52" s="23">
        <v>-197063568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128076715</v>
      </c>
      <c r="G53" s="25">
        <v>128076715</v>
      </c>
      <c r="I53" s="25">
        <v>128405812</v>
      </c>
      <c r="J53" s="25">
        <v>0</v>
      </c>
      <c r="K53" s="25">
        <v>128405812</v>
      </c>
      <c r="M53" s="25">
        <v>-329097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160501755</v>
      </c>
      <c r="G54" s="23">
        <v>160501755</v>
      </c>
      <c r="I54" s="23">
        <v>160501755</v>
      </c>
      <c r="J54" s="23">
        <v>0</v>
      </c>
      <c r="K54" s="23">
        <v>160501755</v>
      </c>
      <c r="M54" s="23">
        <v>0</v>
      </c>
    </row>
    <row r="55" spans="2:13" x14ac:dyDescent="0.35">
      <c r="B55" s="32">
        <v>43</v>
      </c>
      <c r="C55" s="30" t="s">
        <v>117</v>
      </c>
      <c r="E55" s="25">
        <v>2581917267</v>
      </c>
      <c r="F55" s="25">
        <v>-1516489152</v>
      </c>
      <c r="G55" s="25">
        <v>1065428115</v>
      </c>
      <c r="I55" s="25">
        <v>1073636380</v>
      </c>
      <c r="J55" s="25">
        <v>0</v>
      </c>
      <c r="K55" s="25">
        <v>1073636380</v>
      </c>
      <c r="M55" s="25">
        <v>-8208265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80203586</v>
      </c>
      <c r="G56" s="23">
        <v>80203586</v>
      </c>
      <c r="I56" s="23">
        <v>80203586</v>
      </c>
      <c r="J56" s="23">
        <v>0</v>
      </c>
      <c r="K56" s="23">
        <v>80203586</v>
      </c>
      <c r="M56" s="23">
        <v>0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60533931</v>
      </c>
      <c r="G57" s="25">
        <v>60533931</v>
      </c>
      <c r="I57" s="25">
        <v>60533931</v>
      </c>
      <c r="J57" s="25">
        <v>0</v>
      </c>
      <c r="K57" s="25">
        <v>60533931</v>
      </c>
      <c r="M57" s="25">
        <v>0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4053977</v>
      </c>
      <c r="G58" s="23">
        <v>4053977</v>
      </c>
      <c r="I58" s="23">
        <v>4053977</v>
      </c>
      <c r="J58" s="23">
        <v>0</v>
      </c>
      <c r="K58" s="23">
        <v>4053977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352157</v>
      </c>
      <c r="J59" s="25">
        <v>0</v>
      </c>
      <c r="K59" s="25">
        <v>352157</v>
      </c>
      <c r="M59" s="25">
        <v>-352157</v>
      </c>
    </row>
    <row r="60" spans="2:13" x14ac:dyDescent="0.35">
      <c r="B60" s="26"/>
      <c r="C60" s="27" t="s">
        <v>122</v>
      </c>
      <c r="E60" s="28">
        <v>101670000</v>
      </c>
      <c r="F60" s="28">
        <v>0</v>
      </c>
      <c r="G60" s="28">
        <v>101670000</v>
      </c>
      <c r="I60" s="28">
        <v>101670000</v>
      </c>
      <c r="J60" s="28">
        <v>0</v>
      </c>
      <c r="K60" s="28">
        <v>101670000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101670000</v>
      </c>
      <c r="F61" s="23">
        <v>0</v>
      </c>
      <c r="G61" s="23">
        <v>101670000</v>
      </c>
      <c r="I61" s="23">
        <v>101670000</v>
      </c>
      <c r="J61" s="23">
        <v>0</v>
      </c>
      <c r="K61" s="23">
        <v>101670000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176714059</v>
      </c>
      <c r="F64" s="28">
        <v>0</v>
      </c>
      <c r="G64" s="28">
        <v>176714059</v>
      </c>
      <c r="I64" s="28">
        <v>176714059</v>
      </c>
      <c r="J64" s="28">
        <v>0</v>
      </c>
      <c r="K64" s="28">
        <v>176714059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176714059</v>
      </c>
      <c r="F66" s="25">
        <v>0</v>
      </c>
      <c r="G66" s="25">
        <v>176714059</v>
      </c>
      <c r="I66" s="25">
        <v>176714059</v>
      </c>
      <c r="J66" s="25">
        <v>0</v>
      </c>
      <c r="K66" s="25">
        <v>176714059</v>
      </c>
      <c r="M66" s="25">
        <v>0</v>
      </c>
    </row>
    <row r="67" spans="2:13" x14ac:dyDescent="0.35">
      <c r="B67" s="26"/>
      <c r="C67" s="27" t="s">
        <v>128</v>
      </c>
      <c r="E67" s="28">
        <v>27760320</v>
      </c>
      <c r="F67" s="28">
        <v>0</v>
      </c>
      <c r="G67" s="28">
        <v>27760320</v>
      </c>
      <c r="I67" s="28">
        <v>27760320</v>
      </c>
      <c r="J67" s="28">
        <v>0</v>
      </c>
      <c r="K67" s="28">
        <v>27760320</v>
      </c>
      <c r="M67" s="28">
        <v>0</v>
      </c>
    </row>
    <row r="68" spans="2:13" x14ac:dyDescent="0.35">
      <c r="B68" s="31">
        <v>53</v>
      </c>
      <c r="C68" s="29" t="s">
        <v>129</v>
      </c>
      <c r="E68" s="23">
        <v>27760320</v>
      </c>
      <c r="F68" s="23">
        <v>0</v>
      </c>
      <c r="G68" s="23">
        <v>27760320</v>
      </c>
      <c r="I68" s="23">
        <v>27760320</v>
      </c>
      <c r="J68" s="23">
        <v>0</v>
      </c>
      <c r="K68" s="23">
        <v>27760320</v>
      </c>
      <c r="M68" s="23">
        <v>0</v>
      </c>
    </row>
    <row r="69" spans="2:13" x14ac:dyDescent="0.35">
      <c r="B69" s="26"/>
      <c r="C69" s="27" t="s">
        <v>130</v>
      </c>
      <c r="E69" s="28">
        <v>267853395</v>
      </c>
      <c r="F69" s="28">
        <v>0</v>
      </c>
      <c r="G69" s="28">
        <v>267853395</v>
      </c>
      <c r="I69" s="28">
        <v>267853395</v>
      </c>
      <c r="J69" s="28">
        <v>0</v>
      </c>
      <c r="K69" s="28">
        <v>267853395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267853395</v>
      </c>
      <c r="F70" s="25">
        <v>0</v>
      </c>
      <c r="G70" s="25">
        <v>267853395</v>
      </c>
      <c r="I70" s="25">
        <v>267853395</v>
      </c>
      <c r="J70" s="25">
        <v>0</v>
      </c>
      <c r="K70" s="25">
        <v>267853395</v>
      </c>
      <c r="M70" s="25">
        <v>0</v>
      </c>
    </row>
    <row r="71" spans="2:13" x14ac:dyDescent="0.35">
      <c r="B71" s="26"/>
      <c r="C71" s="27" t="s">
        <v>132</v>
      </c>
      <c r="E71" s="28">
        <v>3391127877</v>
      </c>
      <c r="F71" s="28">
        <v>-3218485045</v>
      </c>
      <c r="G71" s="28">
        <v>172642832</v>
      </c>
      <c r="H71" s="33">
        <v>808920</v>
      </c>
      <c r="I71" s="28">
        <v>233792</v>
      </c>
      <c r="J71" s="28">
        <v>88135363</v>
      </c>
      <c r="K71" s="28">
        <v>88369155</v>
      </c>
      <c r="M71" s="28">
        <v>84273677</v>
      </c>
    </row>
    <row r="72" spans="2:13" x14ac:dyDescent="0.35">
      <c r="B72" s="31">
        <v>55</v>
      </c>
      <c r="C72" s="29" t="s">
        <v>133</v>
      </c>
      <c r="E72" s="23">
        <v>3391127877</v>
      </c>
      <c r="F72" s="23">
        <v>-3218485045</v>
      </c>
      <c r="G72" s="23">
        <v>172642832</v>
      </c>
      <c r="I72" s="23">
        <v>233792</v>
      </c>
      <c r="J72" s="23">
        <v>88135363</v>
      </c>
      <c r="K72" s="23">
        <v>88369155</v>
      </c>
      <c r="M72" s="23">
        <v>84273677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0C902BDA-37FD-41F9-848F-27B541309CB1}">
      <formula1>Compadjust</formula1>
    </dataValidation>
    <dataValidation type="list" allowBlank="1" showInputMessage="1" showErrorMessage="1" sqref="J201:J598 K73:M598" xr:uid="{7F15F317-3EB8-47AE-8FF5-738C7BC49CBA}">
      <formula1>Taxes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C3F9-CFC2-4E56-91B3-4B565B4EF929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33" customHeight="1" x14ac:dyDescent="0.35">
      <c r="C1" s="7" t="s">
        <v>53</v>
      </c>
      <c r="E1" s="9" t="s">
        <v>139</v>
      </c>
      <c r="F1" s="9" t="s">
        <v>140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21658055496</v>
      </c>
      <c r="F8" s="20">
        <v>0</v>
      </c>
      <c r="G8" s="20">
        <v>21658055496</v>
      </c>
      <c r="I8" s="20">
        <v>20875343453</v>
      </c>
      <c r="J8" s="20">
        <v>214964066</v>
      </c>
      <c r="K8" s="20">
        <v>21090307519</v>
      </c>
      <c r="M8" s="20">
        <v>567747977</v>
      </c>
    </row>
    <row r="9" spans="2:13" x14ac:dyDescent="0.35">
      <c r="B9" s="26"/>
      <c r="C9" s="27" t="s">
        <v>70</v>
      </c>
      <c r="E9" s="28">
        <v>205939341</v>
      </c>
      <c r="F9" s="28">
        <v>0</v>
      </c>
      <c r="G9" s="28">
        <v>205939341</v>
      </c>
      <c r="I9" s="28">
        <v>0</v>
      </c>
      <c r="J9" s="28">
        <v>214964066</v>
      </c>
      <c r="K9" s="28">
        <v>214964066</v>
      </c>
      <c r="M9" s="28">
        <v>-9024725</v>
      </c>
    </row>
    <row r="10" spans="2:13" x14ac:dyDescent="0.35">
      <c r="B10" s="21">
        <v>3</v>
      </c>
      <c r="C10" s="29" t="s">
        <v>71</v>
      </c>
      <c r="E10" s="23">
        <v>205939341</v>
      </c>
      <c r="F10" s="23">
        <v>0</v>
      </c>
      <c r="G10" s="23">
        <v>205939341</v>
      </c>
      <c r="I10" s="23">
        <v>0</v>
      </c>
      <c r="J10" s="23">
        <v>214964066</v>
      </c>
      <c r="K10" s="23">
        <v>214964066</v>
      </c>
      <c r="M10" s="23">
        <v>-9024725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13878031586</v>
      </c>
      <c r="F35" s="28">
        <v>0</v>
      </c>
      <c r="G35" s="28">
        <v>13878031586</v>
      </c>
      <c r="I35" s="28">
        <v>13878031586</v>
      </c>
      <c r="J35" s="28">
        <v>0</v>
      </c>
      <c r="K35" s="28">
        <v>13878031586</v>
      </c>
      <c r="M35" s="28">
        <v>0</v>
      </c>
    </row>
    <row r="36" spans="2:13" x14ac:dyDescent="0.35">
      <c r="B36" s="31">
        <v>26</v>
      </c>
      <c r="C36" s="29" t="s">
        <v>96</v>
      </c>
      <c r="E36" s="23">
        <v>7474892633</v>
      </c>
      <c r="F36" s="23">
        <v>0</v>
      </c>
      <c r="G36" s="23">
        <v>7474892633</v>
      </c>
      <c r="I36" s="23">
        <v>7474892633</v>
      </c>
      <c r="J36" s="23">
        <v>0</v>
      </c>
      <c r="K36" s="23">
        <v>7474892633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1281706841</v>
      </c>
      <c r="F37" s="25">
        <v>0</v>
      </c>
      <c r="G37" s="25">
        <v>1281706841</v>
      </c>
      <c r="I37" s="25">
        <v>1281706841</v>
      </c>
      <c r="J37" s="25">
        <v>0</v>
      </c>
      <c r="K37" s="25">
        <v>1281706841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0</v>
      </c>
      <c r="J40" s="23">
        <v>0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0</v>
      </c>
      <c r="F41" s="25">
        <v>0</v>
      </c>
      <c r="G41" s="25">
        <v>0</v>
      </c>
      <c r="I41" s="25">
        <v>0</v>
      </c>
      <c r="J41" s="25">
        <v>0</v>
      </c>
      <c r="K41" s="25">
        <v>0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4038757</v>
      </c>
      <c r="F43" s="25">
        <v>0</v>
      </c>
      <c r="G43" s="25">
        <v>4038757</v>
      </c>
      <c r="I43" s="25">
        <v>4038757</v>
      </c>
      <c r="J43" s="25">
        <v>0</v>
      </c>
      <c r="K43" s="25">
        <v>4038757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17831325</v>
      </c>
      <c r="F48" s="23">
        <v>0</v>
      </c>
      <c r="G48" s="23">
        <v>17831325</v>
      </c>
      <c r="I48" s="23">
        <v>17831325</v>
      </c>
      <c r="J48" s="23">
        <v>0</v>
      </c>
      <c r="K48" s="23">
        <v>17831325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5099562030</v>
      </c>
      <c r="F49" s="25">
        <v>0</v>
      </c>
      <c r="G49" s="25">
        <v>5099562030</v>
      </c>
      <c r="I49" s="25">
        <v>5099562030</v>
      </c>
      <c r="J49" s="25">
        <v>0</v>
      </c>
      <c r="K49" s="25">
        <v>5099562030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7065021773</v>
      </c>
      <c r="F51" s="28">
        <v>0</v>
      </c>
      <c r="G51" s="28">
        <v>7065021773</v>
      </c>
      <c r="I51" s="28">
        <v>6488249071</v>
      </c>
      <c r="J51" s="28">
        <v>0</v>
      </c>
      <c r="K51" s="28">
        <v>6488249071</v>
      </c>
      <c r="M51" s="28">
        <v>576772702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3605294844</v>
      </c>
      <c r="J52" s="23">
        <v>0</v>
      </c>
      <c r="K52" s="23">
        <v>3605294844</v>
      </c>
      <c r="M52" s="23">
        <v>-3605294844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135065891</v>
      </c>
      <c r="J53" s="25">
        <v>0</v>
      </c>
      <c r="K53" s="25">
        <v>135065891</v>
      </c>
      <c r="M53" s="25">
        <v>-135065891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168832136</v>
      </c>
      <c r="J54" s="23">
        <v>0</v>
      </c>
      <c r="K54" s="23">
        <v>168832136</v>
      </c>
      <c r="M54" s="23">
        <v>-168832136</v>
      </c>
    </row>
    <row r="55" spans="2:13" x14ac:dyDescent="0.35">
      <c r="B55" s="32">
        <v>43</v>
      </c>
      <c r="C55" s="30" t="s">
        <v>117</v>
      </c>
      <c r="E55" s="25">
        <v>7065021773</v>
      </c>
      <c r="F55" s="25">
        <v>0</v>
      </c>
      <c r="G55" s="25">
        <v>7065021773</v>
      </c>
      <c r="I55" s="25">
        <v>2425023275</v>
      </c>
      <c r="J55" s="25">
        <v>0</v>
      </c>
      <c r="K55" s="25">
        <v>2425023275</v>
      </c>
      <c r="M55" s="25">
        <v>4639998498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84416071</v>
      </c>
      <c r="J56" s="23">
        <v>0</v>
      </c>
      <c r="K56" s="23">
        <v>84416071</v>
      </c>
      <c r="M56" s="23">
        <v>-84416071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67326836</v>
      </c>
      <c r="J57" s="25">
        <v>0</v>
      </c>
      <c r="K57" s="25">
        <v>67326836</v>
      </c>
      <c r="M57" s="25">
        <v>-67326836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2290018</v>
      </c>
      <c r="J58" s="23">
        <v>0</v>
      </c>
      <c r="K58" s="23">
        <v>2290018</v>
      </c>
      <c r="M58" s="23">
        <v>-2290018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130032195</v>
      </c>
      <c r="F67" s="28">
        <v>0</v>
      </c>
      <c r="G67" s="28">
        <v>130032195</v>
      </c>
      <c r="I67" s="28">
        <v>130032195</v>
      </c>
      <c r="J67" s="28">
        <v>0</v>
      </c>
      <c r="K67" s="28">
        <v>130032195</v>
      </c>
      <c r="M67" s="28">
        <v>0</v>
      </c>
    </row>
    <row r="68" spans="2:13" x14ac:dyDescent="0.35">
      <c r="B68" s="31">
        <v>53</v>
      </c>
      <c r="C68" s="29" t="s">
        <v>129</v>
      </c>
      <c r="E68" s="23">
        <v>130032195</v>
      </c>
      <c r="F68" s="23">
        <v>0</v>
      </c>
      <c r="G68" s="23">
        <v>130032195</v>
      </c>
      <c r="I68" s="23">
        <v>130032195</v>
      </c>
      <c r="J68" s="23">
        <v>0</v>
      </c>
      <c r="K68" s="23">
        <v>130032195</v>
      </c>
      <c r="M68" s="23">
        <v>0</v>
      </c>
    </row>
    <row r="69" spans="2:13" x14ac:dyDescent="0.35">
      <c r="B69" s="26"/>
      <c r="C69" s="27" t="s">
        <v>130</v>
      </c>
      <c r="E69" s="28">
        <v>379030601</v>
      </c>
      <c r="F69" s="28">
        <v>0</v>
      </c>
      <c r="G69" s="28">
        <v>379030601</v>
      </c>
      <c r="I69" s="28">
        <v>379030601</v>
      </c>
      <c r="J69" s="28">
        <v>0</v>
      </c>
      <c r="K69" s="28">
        <v>379030601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379030601</v>
      </c>
      <c r="F70" s="25">
        <v>0</v>
      </c>
      <c r="G70" s="25">
        <v>379030601</v>
      </c>
      <c r="I70" s="25">
        <v>379030601</v>
      </c>
      <c r="J70" s="25">
        <v>0</v>
      </c>
      <c r="K70" s="25">
        <v>379030601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J201:J598 K73:M598" xr:uid="{690617C2-1B49-48E7-BC78-E339C54FAA86}">
      <formula1>Taxes</formula1>
    </dataValidation>
    <dataValidation type="list" allowBlank="1" showInputMessage="1" showErrorMessage="1" sqref="C73:C601" xr:uid="{01C82676-5B60-415C-A10E-FFF1617AFCA7}">
      <formula1>Compadjust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2641-4ED1-49C4-9C0C-9DE2B9A6ED38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21" x14ac:dyDescent="0.35">
      <c r="C1" s="7" t="s">
        <v>53</v>
      </c>
      <c r="E1" s="9" t="s">
        <v>141</v>
      </c>
      <c r="F1" s="9" t="s">
        <v>142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8481567778</v>
      </c>
      <c r="F8" s="20">
        <v>0</v>
      </c>
      <c r="G8" s="20">
        <v>8481567778</v>
      </c>
      <c r="I8" s="20">
        <v>10350552662</v>
      </c>
      <c r="J8" s="20">
        <v>5587185</v>
      </c>
      <c r="K8" s="20">
        <v>10356139847</v>
      </c>
      <c r="M8" s="20">
        <v>-1874572069</v>
      </c>
    </row>
    <row r="9" spans="2:13" x14ac:dyDescent="0.35">
      <c r="B9" s="26"/>
      <c r="C9" s="27" t="s">
        <v>70</v>
      </c>
      <c r="E9" s="28">
        <v>4980914573</v>
      </c>
      <c r="F9" s="28">
        <v>0</v>
      </c>
      <c r="G9" s="28">
        <v>4980914573</v>
      </c>
      <c r="I9" s="28">
        <v>5005314573</v>
      </c>
      <c r="J9" s="28">
        <v>0</v>
      </c>
      <c r="K9" s="28">
        <v>5005314573</v>
      </c>
      <c r="M9" s="28">
        <v>-24400000</v>
      </c>
    </row>
    <row r="10" spans="2:13" x14ac:dyDescent="0.35">
      <c r="B10" s="21">
        <v>3</v>
      </c>
      <c r="C10" s="29" t="s">
        <v>71</v>
      </c>
      <c r="E10" s="23">
        <v>4980914573</v>
      </c>
      <c r="F10" s="23">
        <v>0</v>
      </c>
      <c r="G10" s="23">
        <v>4980914573</v>
      </c>
      <c r="I10" s="23">
        <v>4980914573</v>
      </c>
      <c r="J10" s="23">
        <v>0</v>
      </c>
      <c r="K10" s="23">
        <v>4980914573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24400000</v>
      </c>
      <c r="J11" s="25">
        <v>0</v>
      </c>
      <c r="K11" s="25">
        <v>24400000</v>
      </c>
      <c r="M11" s="25">
        <v>-24400000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2589264380</v>
      </c>
      <c r="F35" s="28">
        <v>0</v>
      </c>
      <c r="G35" s="28">
        <v>2589264380</v>
      </c>
      <c r="I35" s="28">
        <v>4627051098</v>
      </c>
      <c r="J35" s="28">
        <v>0</v>
      </c>
      <c r="K35" s="28">
        <v>4627051098</v>
      </c>
      <c r="M35" s="28">
        <v>-2037786718</v>
      </c>
    </row>
    <row r="36" spans="2:13" x14ac:dyDescent="0.35">
      <c r="B36" s="31">
        <v>26</v>
      </c>
      <c r="C36" s="29" t="s">
        <v>96</v>
      </c>
      <c r="E36" s="23">
        <v>82248</v>
      </c>
      <c r="F36" s="23">
        <v>0</v>
      </c>
      <c r="G36" s="23">
        <v>82248</v>
      </c>
      <c r="I36" s="23">
        <v>82248</v>
      </c>
      <c r="J36" s="23">
        <v>0</v>
      </c>
      <c r="K36" s="23">
        <v>82248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2240117301</v>
      </c>
      <c r="F37" s="25">
        <v>0</v>
      </c>
      <c r="G37" s="25">
        <v>2240117301</v>
      </c>
      <c r="I37" s="25">
        <v>4277904018</v>
      </c>
      <c r="J37" s="25">
        <v>0</v>
      </c>
      <c r="K37" s="25">
        <v>4277904018</v>
      </c>
      <c r="M37" s="25">
        <v>-2037786717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0</v>
      </c>
      <c r="J40" s="23">
        <v>0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338490698</v>
      </c>
      <c r="F41" s="25">
        <v>0</v>
      </c>
      <c r="G41" s="25">
        <v>338490698</v>
      </c>
      <c r="I41" s="25">
        <v>338490699</v>
      </c>
      <c r="J41" s="25">
        <v>0</v>
      </c>
      <c r="K41" s="25">
        <v>338490699</v>
      </c>
      <c r="M41" s="25">
        <v>-1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6447570</v>
      </c>
      <c r="F43" s="25">
        <v>0</v>
      </c>
      <c r="G43" s="25">
        <v>6447570</v>
      </c>
      <c r="I43" s="25">
        <v>6447570</v>
      </c>
      <c r="J43" s="25">
        <v>0</v>
      </c>
      <c r="K43" s="25">
        <v>6447570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4126563</v>
      </c>
      <c r="F48" s="23">
        <v>0</v>
      </c>
      <c r="G48" s="23">
        <v>4126563</v>
      </c>
      <c r="I48" s="23">
        <v>4126563</v>
      </c>
      <c r="J48" s="23">
        <v>0</v>
      </c>
      <c r="K48" s="23">
        <v>4126563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358092851</v>
      </c>
      <c r="F51" s="28">
        <v>0</v>
      </c>
      <c r="G51" s="28">
        <v>358092851</v>
      </c>
      <c r="I51" s="28">
        <v>170271503</v>
      </c>
      <c r="J51" s="28">
        <v>0</v>
      </c>
      <c r="K51" s="28">
        <v>170271503</v>
      </c>
      <c r="M51" s="28">
        <v>187821348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7057375</v>
      </c>
      <c r="J52" s="23">
        <v>0</v>
      </c>
      <c r="K52" s="23">
        <v>7057375</v>
      </c>
      <c r="M52" s="23">
        <v>-7057375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53948837</v>
      </c>
      <c r="J53" s="25">
        <v>0</v>
      </c>
      <c r="K53" s="25">
        <v>53948837</v>
      </c>
      <c r="M53" s="25">
        <v>-53948837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66563086</v>
      </c>
      <c r="J54" s="23">
        <v>0</v>
      </c>
      <c r="K54" s="23">
        <v>66563086</v>
      </c>
      <c r="M54" s="23">
        <v>-66563086</v>
      </c>
    </row>
    <row r="55" spans="2:13" x14ac:dyDescent="0.35">
      <c r="B55" s="32">
        <v>43</v>
      </c>
      <c r="C55" s="30" t="s">
        <v>117</v>
      </c>
      <c r="E55" s="25">
        <v>358092851</v>
      </c>
      <c r="F55" s="25">
        <v>0</v>
      </c>
      <c r="G55" s="25">
        <v>358092851</v>
      </c>
      <c r="I55" s="25">
        <v>3962888</v>
      </c>
      <c r="J55" s="25">
        <v>0</v>
      </c>
      <c r="K55" s="25">
        <v>3962888</v>
      </c>
      <c r="M55" s="25">
        <v>354129963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33324155</v>
      </c>
      <c r="J56" s="23">
        <v>0</v>
      </c>
      <c r="K56" s="23">
        <v>33324155</v>
      </c>
      <c r="M56" s="23">
        <v>-33324155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11472</v>
      </c>
      <c r="J57" s="25">
        <v>0</v>
      </c>
      <c r="K57" s="25">
        <v>11472</v>
      </c>
      <c r="M57" s="25">
        <v>-11472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1607662</v>
      </c>
      <c r="J58" s="23">
        <v>0</v>
      </c>
      <c r="K58" s="23">
        <v>1607662</v>
      </c>
      <c r="M58" s="23">
        <v>-1607662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3796028</v>
      </c>
      <c r="J59" s="25">
        <v>0</v>
      </c>
      <c r="K59" s="25">
        <v>3796028</v>
      </c>
      <c r="M59" s="25">
        <v>-3796028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65111888</v>
      </c>
      <c r="F67" s="28">
        <v>0</v>
      </c>
      <c r="G67" s="28">
        <v>65111888</v>
      </c>
      <c r="I67" s="28">
        <v>59524702</v>
      </c>
      <c r="J67" s="28">
        <v>5587185</v>
      </c>
      <c r="K67" s="28">
        <v>65111887</v>
      </c>
      <c r="M67" s="28">
        <v>1</v>
      </c>
    </row>
    <row r="68" spans="2:13" x14ac:dyDescent="0.35">
      <c r="B68" s="31">
        <v>53</v>
      </c>
      <c r="C68" s="29" t="s">
        <v>129</v>
      </c>
      <c r="E68" s="23">
        <v>65111888</v>
      </c>
      <c r="F68" s="23">
        <v>0</v>
      </c>
      <c r="G68" s="23">
        <v>65111888</v>
      </c>
      <c r="I68" s="23">
        <v>59524702</v>
      </c>
      <c r="J68" s="23">
        <v>5587185</v>
      </c>
      <c r="K68" s="23">
        <v>65111887</v>
      </c>
      <c r="M68" s="23">
        <v>1</v>
      </c>
    </row>
    <row r="69" spans="2:13" x14ac:dyDescent="0.35">
      <c r="B69" s="26"/>
      <c r="C69" s="27" t="s">
        <v>130</v>
      </c>
      <c r="E69" s="28">
        <v>488184086</v>
      </c>
      <c r="F69" s="28">
        <v>0</v>
      </c>
      <c r="G69" s="28">
        <v>488184086</v>
      </c>
      <c r="I69" s="28">
        <v>488184086</v>
      </c>
      <c r="J69" s="28">
        <v>0</v>
      </c>
      <c r="K69" s="28">
        <v>488184086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488184086</v>
      </c>
      <c r="F70" s="25">
        <v>0</v>
      </c>
      <c r="G70" s="25">
        <v>488184086</v>
      </c>
      <c r="I70" s="25">
        <v>488184086</v>
      </c>
      <c r="J70" s="25">
        <v>0</v>
      </c>
      <c r="K70" s="25">
        <v>488184086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206700</v>
      </c>
      <c r="J71" s="28">
        <v>0</v>
      </c>
      <c r="K71" s="28">
        <v>206700</v>
      </c>
      <c r="M71" s="28">
        <v>-206700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>
        <v>206700</v>
      </c>
      <c r="J72" s="23">
        <v>0</v>
      </c>
      <c r="K72" s="23">
        <v>206700</v>
      </c>
      <c r="M72" s="23">
        <v>-206700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A3B46252-6185-4AD4-B9AD-F017D5F3B16F}">
      <formula1>Compadjust</formula1>
    </dataValidation>
    <dataValidation type="list" allowBlank="1" showInputMessage="1" showErrorMessage="1" sqref="J201:J598 K73:M598" xr:uid="{1127ED0D-4803-4D5B-A7BE-E566C73786F7}">
      <formula1>Taxes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E2E0-DAFC-4BAE-96C0-C9C4666D23F7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63.75" customHeight="1" x14ac:dyDescent="0.35">
      <c r="C1" s="7" t="s">
        <v>53</v>
      </c>
      <c r="E1" s="9" t="s">
        <v>143</v>
      </c>
      <c r="F1" s="9" t="s">
        <v>144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572629229</v>
      </c>
      <c r="F8" s="20">
        <v>0</v>
      </c>
      <c r="G8" s="20">
        <v>572629229</v>
      </c>
      <c r="I8" s="20">
        <v>454131077</v>
      </c>
      <c r="J8" s="20">
        <v>115998660</v>
      </c>
      <c r="K8" s="20">
        <v>570129737</v>
      </c>
      <c r="M8" s="20">
        <v>2499492</v>
      </c>
    </row>
    <row r="9" spans="2:13" x14ac:dyDescent="0.35">
      <c r="B9" s="26"/>
      <c r="C9" s="27" t="s">
        <v>70</v>
      </c>
      <c r="E9" s="28">
        <v>123109281</v>
      </c>
      <c r="F9" s="28">
        <v>0</v>
      </c>
      <c r="G9" s="28">
        <v>123109281</v>
      </c>
      <c r="I9" s="28">
        <v>7110621</v>
      </c>
      <c r="J9" s="28">
        <v>115998660</v>
      </c>
      <c r="K9" s="28">
        <v>123109281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112200476</v>
      </c>
      <c r="F10" s="23">
        <v>0</v>
      </c>
      <c r="G10" s="23">
        <v>112200476</v>
      </c>
      <c r="I10" s="23">
        <v>0</v>
      </c>
      <c r="J10" s="23">
        <v>112200476</v>
      </c>
      <c r="K10" s="23">
        <v>112200476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10908805</v>
      </c>
      <c r="F11" s="25">
        <v>0</v>
      </c>
      <c r="G11" s="25">
        <v>10908805</v>
      </c>
      <c r="I11" s="25">
        <v>7110621</v>
      </c>
      <c r="J11" s="25">
        <v>3798184</v>
      </c>
      <c r="K11" s="25">
        <v>10908805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370800802</v>
      </c>
      <c r="F35" s="28">
        <v>0</v>
      </c>
      <c r="G35" s="28">
        <v>370800802</v>
      </c>
      <c r="I35" s="28">
        <v>370800802</v>
      </c>
      <c r="J35" s="28">
        <v>0</v>
      </c>
      <c r="K35" s="28">
        <v>370800802</v>
      </c>
      <c r="M35" s="28">
        <v>0</v>
      </c>
    </row>
    <row r="36" spans="2:13" x14ac:dyDescent="0.35">
      <c r="B36" s="31">
        <v>26</v>
      </c>
      <c r="C36" s="29" t="s">
        <v>96</v>
      </c>
      <c r="E36" s="23">
        <v>52892624</v>
      </c>
      <c r="F36" s="23">
        <v>0</v>
      </c>
      <c r="G36" s="23">
        <v>52892624</v>
      </c>
      <c r="I36" s="23">
        <v>52892624</v>
      </c>
      <c r="J36" s="23">
        <v>0</v>
      </c>
      <c r="K36" s="23">
        <v>52892624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64415517</v>
      </c>
      <c r="F37" s="25">
        <v>0</v>
      </c>
      <c r="G37" s="25">
        <v>64415517</v>
      </c>
      <c r="I37" s="25">
        <v>64415517</v>
      </c>
      <c r="J37" s="25">
        <v>0</v>
      </c>
      <c r="K37" s="25">
        <v>64415517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249177900</v>
      </c>
      <c r="F40" s="23">
        <v>0</v>
      </c>
      <c r="G40" s="23">
        <v>249177900</v>
      </c>
      <c r="I40" s="23">
        <v>249177900</v>
      </c>
      <c r="J40" s="23">
        <v>0</v>
      </c>
      <c r="K40" s="23">
        <v>249177900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0</v>
      </c>
      <c r="F41" s="25">
        <v>0</v>
      </c>
      <c r="G41" s="25">
        <v>0</v>
      </c>
      <c r="I41" s="25">
        <v>0</v>
      </c>
      <c r="J41" s="25">
        <v>0</v>
      </c>
      <c r="K41" s="25">
        <v>0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4314761</v>
      </c>
      <c r="F43" s="25">
        <v>0</v>
      </c>
      <c r="G43" s="25">
        <v>4314761</v>
      </c>
      <c r="I43" s="25">
        <v>4314761</v>
      </c>
      <c r="J43" s="25">
        <v>0</v>
      </c>
      <c r="K43" s="25">
        <v>4314761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0</v>
      </c>
      <c r="G48" s="23">
        <v>0</v>
      </c>
      <c r="I48" s="23">
        <v>0</v>
      </c>
      <c r="J48" s="23">
        <v>0</v>
      </c>
      <c r="K48" s="23">
        <v>0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0</v>
      </c>
      <c r="F51" s="28">
        <v>0</v>
      </c>
      <c r="G51" s="28">
        <v>0</v>
      </c>
      <c r="I51" s="28">
        <v>130168</v>
      </c>
      <c r="J51" s="28">
        <v>0</v>
      </c>
      <c r="K51" s="28">
        <v>130168</v>
      </c>
      <c r="M51" s="28">
        <v>-130168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94148</v>
      </c>
      <c r="J52" s="23">
        <v>0</v>
      </c>
      <c r="K52" s="23">
        <v>94148</v>
      </c>
      <c r="M52" s="23">
        <v>-94148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3947</v>
      </c>
      <c r="J53" s="25">
        <v>0</v>
      </c>
      <c r="K53" s="25">
        <v>3947</v>
      </c>
      <c r="M53" s="25">
        <v>-3947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4934</v>
      </c>
      <c r="J54" s="23">
        <v>0</v>
      </c>
      <c r="K54" s="23">
        <v>4934</v>
      </c>
      <c r="M54" s="23">
        <v>-4934</v>
      </c>
    </row>
    <row r="55" spans="2:13" x14ac:dyDescent="0.35">
      <c r="B55" s="32">
        <v>43</v>
      </c>
      <c r="C55" s="30" t="s">
        <v>117</v>
      </c>
      <c r="E55" s="25">
        <v>0</v>
      </c>
      <c r="F55" s="25">
        <v>0</v>
      </c>
      <c r="G55" s="25">
        <v>0</v>
      </c>
      <c r="I55" s="25">
        <v>24672</v>
      </c>
      <c r="J55" s="25">
        <v>0</v>
      </c>
      <c r="K55" s="25">
        <v>24672</v>
      </c>
      <c r="M55" s="25">
        <v>-24672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2467</v>
      </c>
      <c r="J56" s="23">
        <v>0</v>
      </c>
      <c r="K56" s="23">
        <v>2467</v>
      </c>
      <c r="M56" s="23">
        <v>-2467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17080475</v>
      </c>
      <c r="J60" s="28">
        <v>0</v>
      </c>
      <c r="K60" s="28">
        <v>17080475</v>
      </c>
      <c r="M60" s="28">
        <v>-17080475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17080475</v>
      </c>
      <c r="J61" s="23">
        <v>0</v>
      </c>
      <c r="K61" s="23">
        <v>17080475</v>
      </c>
      <c r="M61" s="23">
        <v>-17080475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12572000</v>
      </c>
      <c r="F64" s="28">
        <v>0</v>
      </c>
      <c r="G64" s="28">
        <v>12572000</v>
      </c>
      <c r="I64" s="28">
        <v>12572000</v>
      </c>
      <c r="J64" s="28">
        <v>0</v>
      </c>
      <c r="K64" s="28">
        <v>12572000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12572000</v>
      </c>
      <c r="F66" s="25">
        <v>0</v>
      </c>
      <c r="G66" s="25">
        <v>12572000</v>
      </c>
      <c r="I66" s="25">
        <v>12572000</v>
      </c>
      <c r="J66" s="25">
        <v>0</v>
      </c>
      <c r="K66" s="25">
        <v>12572000</v>
      </c>
      <c r="M66" s="25">
        <v>0</v>
      </c>
    </row>
    <row r="67" spans="2:13" x14ac:dyDescent="0.35">
      <c r="B67" s="26"/>
      <c r="C67" s="27" t="s">
        <v>128</v>
      </c>
      <c r="E67" s="28">
        <v>7170454</v>
      </c>
      <c r="F67" s="28">
        <v>0</v>
      </c>
      <c r="G67" s="28">
        <v>7170454</v>
      </c>
      <c r="I67" s="28">
        <v>6747094</v>
      </c>
      <c r="J67" s="28">
        <v>0</v>
      </c>
      <c r="K67" s="28">
        <v>6747094</v>
      </c>
      <c r="M67" s="28">
        <v>423360</v>
      </c>
    </row>
    <row r="68" spans="2:13" x14ac:dyDescent="0.35">
      <c r="B68" s="31">
        <v>53</v>
      </c>
      <c r="C68" s="29" t="s">
        <v>129</v>
      </c>
      <c r="E68" s="23">
        <v>7170454</v>
      </c>
      <c r="F68" s="23">
        <v>0</v>
      </c>
      <c r="G68" s="23">
        <v>7170454</v>
      </c>
      <c r="I68" s="23">
        <v>6747094</v>
      </c>
      <c r="J68" s="23">
        <v>0</v>
      </c>
      <c r="K68" s="23">
        <v>6747094</v>
      </c>
      <c r="M68" s="23">
        <v>423360</v>
      </c>
    </row>
    <row r="69" spans="2:13" x14ac:dyDescent="0.35">
      <c r="B69" s="26"/>
      <c r="C69" s="27" t="s">
        <v>130</v>
      </c>
      <c r="E69" s="28">
        <v>39621017</v>
      </c>
      <c r="F69" s="28">
        <v>0</v>
      </c>
      <c r="G69" s="28">
        <v>39621017</v>
      </c>
      <c r="I69" s="28">
        <v>39621017</v>
      </c>
      <c r="J69" s="28">
        <v>0</v>
      </c>
      <c r="K69" s="28">
        <v>39621017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39621017</v>
      </c>
      <c r="F70" s="25">
        <v>0</v>
      </c>
      <c r="G70" s="25">
        <v>39621017</v>
      </c>
      <c r="I70" s="25">
        <v>39621017</v>
      </c>
      <c r="J70" s="25">
        <v>0</v>
      </c>
      <c r="K70" s="25">
        <v>39621017</v>
      </c>
      <c r="M70" s="25">
        <v>0</v>
      </c>
    </row>
    <row r="71" spans="2:13" x14ac:dyDescent="0.35">
      <c r="B71" s="26"/>
      <c r="C71" s="27" t="s">
        <v>132</v>
      </c>
      <c r="E71" s="28">
        <v>19355675</v>
      </c>
      <c r="F71" s="28">
        <v>0</v>
      </c>
      <c r="G71" s="28">
        <v>19355675</v>
      </c>
      <c r="H71" s="33">
        <v>808920</v>
      </c>
      <c r="I71" s="28">
        <v>68900</v>
      </c>
      <c r="J71" s="28">
        <v>0</v>
      </c>
      <c r="K71" s="28">
        <v>68900</v>
      </c>
      <c r="M71" s="28">
        <v>19286775</v>
      </c>
    </row>
    <row r="72" spans="2:13" x14ac:dyDescent="0.35">
      <c r="B72" s="31">
        <v>55</v>
      </c>
      <c r="C72" s="29" t="s">
        <v>133</v>
      </c>
      <c r="E72" s="23">
        <v>19355675</v>
      </c>
      <c r="F72" s="23">
        <v>0</v>
      </c>
      <c r="G72" s="23">
        <v>19355675</v>
      </c>
      <c r="I72" s="23">
        <v>68900</v>
      </c>
      <c r="J72" s="23">
        <v>0</v>
      </c>
      <c r="K72" s="23">
        <v>68900</v>
      </c>
      <c r="M72" s="23">
        <v>19286775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A12C8EFF-FC60-492A-AFD0-E37481DF5C86}">
      <formula1>Compadjust</formula1>
    </dataValidation>
    <dataValidation type="list" allowBlank="1" showInputMessage="1" showErrorMessage="1" sqref="J201:J598 K73:M598" xr:uid="{70495C72-95B8-43C6-8EE7-D0B54539004A}">
      <formula1>Taxes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391F-8E68-41CF-8DD5-3808ED7DC8A8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21" x14ac:dyDescent="0.35">
      <c r="C1" s="7" t="s">
        <v>53</v>
      </c>
      <c r="E1" s="9" t="s">
        <v>145</v>
      </c>
      <c r="F1" s="9" t="s">
        <v>146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4898393211</v>
      </c>
      <c r="F8" s="20">
        <v>40600641</v>
      </c>
      <c r="G8" s="20">
        <v>4938993852</v>
      </c>
      <c r="I8" s="20">
        <v>4795817681</v>
      </c>
      <c r="J8" s="20">
        <v>143176175</v>
      </c>
      <c r="K8" s="20">
        <v>4938993856</v>
      </c>
      <c r="M8" s="20">
        <v>-4</v>
      </c>
    </row>
    <row r="9" spans="2:13" x14ac:dyDescent="0.35">
      <c r="B9" s="26"/>
      <c r="C9" s="27" t="s">
        <v>70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3809405822</v>
      </c>
      <c r="F35" s="28">
        <v>16124254</v>
      </c>
      <c r="G35" s="28">
        <v>3825530076</v>
      </c>
      <c r="I35" s="28">
        <v>3682353901</v>
      </c>
      <c r="J35" s="28">
        <v>143176175</v>
      </c>
      <c r="K35" s="28">
        <v>3825530076</v>
      </c>
      <c r="M35" s="28">
        <v>0</v>
      </c>
    </row>
    <row r="36" spans="2:13" x14ac:dyDescent="0.35">
      <c r="B36" s="31">
        <v>26</v>
      </c>
      <c r="C36" s="29" t="s">
        <v>96</v>
      </c>
      <c r="E36" s="23">
        <v>733881381</v>
      </c>
      <c r="F36" s="23">
        <v>0</v>
      </c>
      <c r="G36" s="23">
        <v>733881381</v>
      </c>
      <c r="I36" s="23">
        <v>600362347</v>
      </c>
      <c r="J36" s="23">
        <v>133519034</v>
      </c>
      <c r="K36" s="23">
        <v>733881381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3022422584</v>
      </c>
      <c r="F37" s="25">
        <v>16124254</v>
      </c>
      <c r="G37" s="25">
        <v>3038546838</v>
      </c>
      <c r="I37" s="25">
        <v>3038546838</v>
      </c>
      <c r="J37" s="25">
        <v>0</v>
      </c>
      <c r="K37" s="25">
        <v>3038546838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0</v>
      </c>
      <c r="J40" s="23">
        <v>0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0</v>
      </c>
      <c r="F41" s="25">
        <v>0</v>
      </c>
      <c r="G41" s="25">
        <v>0</v>
      </c>
      <c r="I41" s="25">
        <v>0</v>
      </c>
      <c r="J41" s="25">
        <v>0</v>
      </c>
      <c r="K41" s="25">
        <v>0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53101857</v>
      </c>
      <c r="F43" s="25">
        <v>0</v>
      </c>
      <c r="G43" s="25">
        <v>53101857</v>
      </c>
      <c r="I43" s="25">
        <v>43444716</v>
      </c>
      <c r="J43" s="25">
        <v>9657141</v>
      </c>
      <c r="K43" s="25">
        <v>53101857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0</v>
      </c>
      <c r="G48" s="23">
        <v>0</v>
      </c>
      <c r="I48" s="23">
        <v>0</v>
      </c>
      <c r="J48" s="23">
        <v>0</v>
      </c>
      <c r="K48" s="23">
        <v>0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0</v>
      </c>
      <c r="F51" s="28">
        <v>0</v>
      </c>
      <c r="G51" s="28">
        <v>0</v>
      </c>
      <c r="I51" s="28">
        <v>0</v>
      </c>
      <c r="J51" s="28">
        <v>0</v>
      </c>
      <c r="K51" s="28">
        <v>0</v>
      </c>
      <c r="M51" s="28">
        <v>0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0</v>
      </c>
      <c r="J52" s="23">
        <v>0</v>
      </c>
      <c r="K52" s="23">
        <v>0</v>
      </c>
      <c r="M52" s="23">
        <v>0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0</v>
      </c>
      <c r="J53" s="25">
        <v>0</v>
      </c>
      <c r="K53" s="25">
        <v>0</v>
      </c>
      <c r="M53" s="25">
        <v>0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43</v>
      </c>
      <c r="C55" s="30" t="s">
        <v>117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206845055</v>
      </c>
      <c r="F67" s="28">
        <v>0</v>
      </c>
      <c r="G67" s="28">
        <v>206845055</v>
      </c>
      <c r="I67" s="28">
        <v>206845059</v>
      </c>
      <c r="J67" s="28">
        <v>0</v>
      </c>
      <c r="K67" s="28">
        <v>206845059</v>
      </c>
      <c r="M67" s="28">
        <v>-4</v>
      </c>
    </row>
    <row r="68" spans="2:13" x14ac:dyDescent="0.35">
      <c r="B68" s="31">
        <v>53</v>
      </c>
      <c r="C68" s="29" t="s">
        <v>129</v>
      </c>
      <c r="E68" s="23">
        <v>206845055</v>
      </c>
      <c r="F68" s="23">
        <v>0</v>
      </c>
      <c r="G68" s="23">
        <v>206845055</v>
      </c>
      <c r="I68" s="23">
        <v>206845059</v>
      </c>
      <c r="J68" s="23">
        <v>0</v>
      </c>
      <c r="K68" s="23">
        <v>206845059</v>
      </c>
      <c r="M68" s="23">
        <v>-4</v>
      </c>
    </row>
    <row r="69" spans="2:13" x14ac:dyDescent="0.35">
      <c r="B69" s="26"/>
      <c r="C69" s="27" t="s">
        <v>130</v>
      </c>
      <c r="E69" s="28">
        <v>882142334</v>
      </c>
      <c r="F69" s="28">
        <v>24476387</v>
      </c>
      <c r="G69" s="28">
        <v>906618721</v>
      </c>
      <c r="I69" s="28">
        <v>906618721</v>
      </c>
      <c r="J69" s="28">
        <v>0</v>
      </c>
      <c r="K69" s="28">
        <v>906618721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882142334</v>
      </c>
      <c r="F70" s="25">
        <v>24476387</v>
      </c>
      <c r="G70" s="25">
        <v>906618721</v>
      </c>
      <c r="I70" s="25">
        <v>906618721</v>
      </c>
      <c r="J70" s="25">
        <v>0</v>
      </c>
      <c r="K70" s="25">
        <v>906618721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9EF1EEE6-20B2-4561-843C-93D0B51B1AE6}">
      <formula1>Compadjust</formula1>
    </dataValidation>
    <dataValidation type="list" allowBlank="1" showInputMessage="1" showErrorMessage="1" sqref="J201:J598 K73:M598" xr:uid="{50B9A111-C285-482B-BB80-597D50DEEEAF}">
      <formula1>Taxes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E74A-7EBD-42BA-AB29-2F96AC3FB629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31.5" x14ac:dyDescent="0.35">
      <c r="C1" s="7" t="s">
        <v>53</v>
      </c>
      <c r="E1" s="9" t="s">
        <v>147</v>
      </c>
      <c r="F1" s="9" t="s">
        <v>148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13920159167</v>
      </c>
      <c r="F8" s="20">
        <v>2024057</v>
      </c>
      <c r="G8" s="20">
        <v>13922183224</v>
      </c>
      <c r="I8" s="20">
        <v>14568293169</v>
      </c>
      <c r="J8" s="20">
        <v>126551225</v>
      </c>
      <c r="K8" s="20">
        <v>14694844394</v>
      </c>
      <c r="M8" s="20">
        <v>-772661170</v>
      </c>
    </row>
    <row r="9" spans="2:13" x14ac:dyDescent="0.35">
      <c r="B9" s="26"/>
      <c r="C9" s="27" t="s">
        <v>70</v>
      </c>
      <c r="E9" s="28">
        <v>124736825</v>
      </c>
      <c r="F9" s="28">
        <v>0</v>
      </c>
      <c r="G9" s="28">
        <v>124736825</v>
      </c>
      <c r="I9" s="28">
        <v>0</v>
      </c>
      <c r="J9" s="28">
        <v>124736825</v>
      </c>
      <c r="K9" s="28">
        <v>124736825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105558825</v>
      </c>
      <c r="F10" s="23">
        <v>0</v>
      </c>
      <c r="G10" s="23">
        <v>105558825</v>
      </c>
      <c r="I10" s="23">
        <v>0</v>
      </c>
      <c r="J10" s="23">
        <v>105558825</v>
      </c>
      <c r="K10" s="23">
        <v>105558825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19178000</v>
      </c>
      <c r="F14" s="23">
        <v>0</v>
      </c>
      <c r="G14" s="23">
        <v>19178000</v>
      </c>
      <c r="I14" s="23">
        <v>0</v>
      </c>
      <c r="J14" s="23">
        <v>19178000</v>
      </c>
      <c r="K14" s="23">
        <v>19178000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11505277002</v>
      </c>
      <c r="F35" s="28">
        <v>0</v>
      </c>
      <c r="G35" s="28">
        <v>11505277002</v>
      </c>
      <c r="I35" s="28">
        <v>12068624274</v>
      </c>
      <c r="J35" s="28">
        <v>0</v>
      </c>
      <c r="K35" s="28">
        <v>12068624274</v>
      </c>
      <c r="M35" s="28">
        <v>-563347272</v>
      </c>
    </row>
    <row r="36" spans="2:13" x14ac:dyDescent="0.35">
      <c r="B36" s="31">
        <v>26</v>
      </c>
      <c r="C36" s="29" t="s">
        <v>96</v>
      </c>
      <c r="E36" s="23">
        <v>7094856510</v>
      </c>
      <c r="F36" s="23">
        <v>0</v>
      </c>
      <c r="G36" s="23">
        <v>7094856510</v>
      </c>
      <c r="I36" s="23">
        <v>7658203782</v>
      </c>
      <c r="J36" s="23">
        <v>0</v>
      </c>
      <c r="K36" s="23">
        <v>7658203782</v>
      </c>
      <c r="M36" s="23">
        <v>-563347272</v>
      </c>
    </row>
    <row r="37" spans="2:13" x14ac:dyDescent="0.35">
      <c r="B37" s="32">
        <v>27</v>
      </c>
      <c r="C37" s="30" t="s">
        <v>97</v>
      </c>
      <c r="E37" s="25">
        <v>922993992</v>
      </c>
      <c r="F37" s="25">
        <v>0</v>
      </c>
      <c r="G37" s="25">
        <v>922993992</v>
      </c>
      <c r="I37" s="25">
        <v>922993992</v>
      </c>
      <c r="J37" s="25">
        <v>0</v>
      </c>
      <c r="K37" s="25">
        <v>922993992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0</v>
      </c>
      <c r="J40" s="23">
        <v>0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163167135</v>
      </c>
      <c r="F41" s="25">
        <v>0</v>
      </c>
      <c r="G41" s="25">
        <v>163167135</v>
      </c>
      <c r="I41" s="25">
        <v>163167135</v>
      </c>
      <c r="J41" s="25">
        <v>0</v>
      </c>
      <c r="K41" s="25">
        <v>163167135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2230328</v>
      </c>
      <c r="F43" s="25">
        <v>0</v>
      </c>
      <c r="G43" s="25">
        <v>2230328</v>
      </c>
      <c r="I43" s="25">
        <v>2230328</v>
      </c>
      <c r="J43" s="25">
        <v>0</v>
      </c>
      <c r="K43" s="25">
        <v>2230328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28066328</v>
      </c>
      <c r="F48" s="23">
        <v>0</v>
      </c>
      <c r="G48" s="23">
        <v>28066328</v>
      </c>
      <c r="I48" s="23">
        <v>28066328</v>
      </c>
      <c r="J48" s="23">
        <v>0</v>
      </c>
      <c r="K48" s="23">
        <v>28066328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3293962709</v>
      </c>
      <c r="F49" s="25">
        <v>0</v>
      </c>
      <c r="G49" s="25">
        <v>3293962709</v>
      </c>
      <c r="I49" s="25">
        <v>3293962709</v>
      </c>
      <c r="J49" s="25">
        <v>0</v>
      </c>
      <c r="K49" s="25">
        <v>3293962709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2082646277</v>
      </c>
      <c r="F51" s="28">
        <v>0</v>
      </c>
      <c r="G51" s="28">
        <v>2082646277</v>
      </c>
      <c r="I51" s="28">
        <v>2291960175</v>
      </c>
      <c r="J51" s="28">
        <v>0</v>
      </c>
      <c r="K51" s="28">
        <v>2291960175</v>
      </c>
      <c r="M51" s="28">
        <v>-209313898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1199385140</v>
      </c>
      <c r="J52" s="23">
        <v>0</v>
      </c>
      <c r="K52" s="23">
        <v>1199385140</v>
      </c>
      <c r="M52" s="23">
        <v>-1199385140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124705611</v>
      </c>
      <c r="J53" s="25">
        <v>0</v>
      </c>
      <c r="K53" s="25">
        <v>124705611</v>
      </c>
      <c r="M53" s="25">
        <v>-124705611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155882018</v>
      </c>
      <c r="J54" s="23">
        <v>0</v>
      </c>
      <c r="K54" s="23">
        <v>155882018</v>
      </c>
      <c r="M54" s="23">
        <v>-155882018</v>
      </c>
    </row>
    <row r="55" spans="2:13" x14ac:dyDescent="0.35">
      <c r="B55" s="32">
        <v>43</v>
      </c>
      <c r="C55" s="30" t="s">
        <v>117</v>
      </c>
      <c r="E55" s="25">
        <v>2007646277</v>
      </c>
      <c r="F55" s="25">
        <v>0</v>
      </c>
      <c r="G55" s="25">
        <v>2007646277</v>
      </c>
      <c r="I55" s="25">
        <v>701865386</v>
      </c>
      <c r="J55" s="25">
        <v>0</v>
      </c>
      <c r="K55" s="25">
        <v>701865386</v>
      </c>
      <c r="M55" s="25">
        <v>1305780891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76516900</v>
      </c>
      <c r="J56" s="23">
        <v>0</v>
      </c>
      <c r="K56" s="23">
        <v>76516900</v>
      </c>
      <c r="M56" s="23">
        <v>-76516900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33469820</v>
      </c>
      <c r="J57" s="25">
        <v>0</v>
      </c>
      <c r="K57" s="25">
        <v>33469820</v>
      </c>
      <c r="M57" s="25">
        <v>-33469820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135300</v>
      </c>
      <c r="J58" s="23">
        <v>0</v>
      </c>
      <c r="K58" s="23">
        <v>135300</v>
      </c>
      <c r="M58" s="23">
        <v>-135300</v>
      </c>
    </row>
    <row r="59" spans="2:13" x14ac:dyDescent="0.35">
      <c r="B59" s="32">
        <v>47</v>
      </c>
      <c r="C59" s="30" t="s">
        <v>121</v>
      </c>
      <c r="E59" s="25">
        <v>75000000</v>
      </c>
      <c r="F59" s="25">
        <v>0</v>
      </c>
      <c r="G59" s="25">
        <v>75000000</v>
      </c>
      <c r="I59" s="25">
        <v>0</v>
      </c>
      <c r="J59" s="25">
        <v>0</v>
      </c>
      <c r="K59" s="25">
        <v>0</v>
      </c>
      <c r="M59" s="25">
        <v>75000000</v>
      </c>
    </row>
    <row r="60" spans="2:13" x14ac:dyDescent="0.35">
      <c r="B60" s="26"/>
      <c r="C60" s="27" t="s">
        <v>122</v>
      </c>
      <c r="E60" s="28">
        <v>10530000</v>
      </c>
      <c r="F60" s="28">
        <v>0</v>
      </c>
      <c r="G60" s="28">
        <v>10530000</v>
      </c>
      <c r="I60" s="28">
        <v>10530000</v>
      </c>
      <c r="J60" s="28">
        <v>0</v>
      </c>
      <c r="K60" s="28">
        <v>10530000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10530000</v>
      </c>
      <c r="F61" s="23">
        <v>0</v>
      </c>
      <c r="G61" s="23">
        <v>10530000</v>
      </c>
      <c r="I61" s="23">
        <v>10530000</v>
      </c>
      <c r="J61" s="23">
        <v>0</v>
      </c>
      <c r="K61" s="23">
        <v>10530000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22453200</v>
      </c>
      <c r="F67" s="28">
        <v>0</v>
      </c>
      <c r="G67" s="28">
        <v>22453200</v>
      </c>
      <c r="I67" s="28">
        <v>20638800</v>
      </c>
      <c r="J67" s="28">
        <v>1814400</v>
      </c>
      <c r="K67" s="28">
        <v>22453200</v>
      </c>
      <c r="M67" s="28">
        <v>0</v>
      </c>
    </row>
    <row r="68" spans="2:13" x14ac:dyDescent="0.35">
      <c r="B68" s="31">
        <v>53</v>
      </c>
      <c r="C68" s="29" t="s">
        <v>129</v>
      </c>
      <c r="E68" s="23">
        <v>22453200</v>
      </c>
      <c r="F68" s="23">
        <v>0</v>
      </c>
      <c r="G68" s="23">
        <v>22453200</v>
      </c>
      <c r="I68" s="23">
        <v>20638800</v>
      </c>
      <c r="J68" s="23">
        <v>1814400</v>
      </c>
      <c r="K68" s="23">
        <v>22453200</v>
      </c>
      <c r="M68" s="23">
        <v>0</v>
      </c>
    </row>
    <row r="69" spans="2:13" x14ac:dyDescent="0.35">
      <c r="B69" s="26"/>
      <c r="C69" s="27" t="s">
        <v>130</v>
      </c>
      <c r="E69" s="28">
        <v>174515863</v>
      </c>
      <c r="F69" s="28">
        <v>1380890</v>
      </c>
      <c r="G69" s="28">
        <v>175896753</v>
      </c>
      <c r="I69" s="28">
        <v>175896753</v>
      </c>
      <c r="J69" s="28">
        <v>0</v>
      </c>
      <c r="K69" s="28">
        <v>175896753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174515863</v>
      </c>
      <c r="F70" s="25">
        <v>1380890</v>
      </c>
      <c r="G70" s="25">
        <v>175896753</v>
      </c>
      <c r="I70" s="25">
        <v>175896753</v>
      </c>
      <c r="J70" s="25">
        <v>0</v>
      </c>
      <c r="K70" s="25">
        <v>175896753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643167</v>
      </c>
      <c r="G71" s="28">
        <v>643167</v>
      </c>
      <c r="H71" s="33">
        <v>808920</v>
      </c>
      <c r="I71" s="28">
        <v>643167</v>
      </c>
      <c r="J71" s="28">
        <v>0</v>
      </c>
      <c r="K71" s="28">
        <v>643167</v>
      </c>
      <c r="M71" s="28">
        <v>0</v>
      </c>
    </row>
    <row r="72" spans="2:13" x14ac:dyDescent="0.35">
      <c r="B72" s="31">
        <v>55</v>
      </c>
      <c r="C72" s="29" t="s">
        <v>133</v>
      </c>
      <c r="E72" s="23">
        <v>0</v>
      </c>
      <c r="F72" s="23">
        <v>643167</v>
      </c>
      <c r="G72" s="23">
        <v>643167</v>
      </c>
      <c r="I72" s="23">
        <v>643167</v>
      </c>
      <c r="J72" s="23">
        <v>0</v>
      </c>
      <c r="K72" s="23">
        <v>643167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241028BA-B0FC-4E2C-A330-59F59AA303C0}">
      <formula1>Compadjust</formula1>
    </dataValidation>
    <dataValidation type="list" allowBlank="1" showInputMessage="1" showErrorMessage="1" sqref="J201:J598 K73:M598" xr:uid="{715B1D02-4948-4513-B6AC-4D6A1B81F781}">
      <formula1>Taxes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6F038-9F70-450C-B6F7-E12E2D14BF6C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33.75" customHeight="1" x14ac:dyDescent="0.35">
      <c r="C1" s="7" t="s">
        <v>53</v>
      </c>
      <c r="E1" s="9" t="s">
        <v>149</v>
      </c>
      <c r="F1" s="9" t="s">
        <v>150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12726884202</v>
      </c>
      <c r="F8" s="20">
        <v>0</v>
      </c>
      <c r="G8" s="20">
        <v>12726884202</v>
      </c>
      <c r="I8" s="20">
        <v>12635933580</v>
      </c>
      <c r="J8" s="20">
        <v>52320100</v>
      </c>
      <c r="K8" s="20">
        <v>12688253680</v>
      </c>
      <c r="M8" s="20">
        <v>38630522</v>
      </c>
    </row>
    <row r="9" spans="2:13" x14ac:dyDescent="0.35">
      <c r="B9" s="26"/>
      <c r="C9" s="27" t="s">
        <v>70</v>
      </c>
      <c r="E9" s="28">
        <v>7605485666</v>
      </c>
      <c r="F9" s="28">
        <v>0</v>
      </c>
      <c r="G9" s="28">
        <v>7605485666</v>
      </c>
      <c r="I9" s="28">
        <v>7553165466</v>
      </c>
      <c r="J9" s="28">
        <v>52320100</v>
      </c>
      <c r="K9" s="28">
        <v>7605485566</v>
      </c>
      <c r="M9" s="28">
        <v>100</v>
      </c>
    </row>
    <row r="10" spans="2:13" x14ac:dyDescent="0.35">
      <c r="B10" s="21">
        <v>3</v>
      </c>
      <c r="C10" s="29" t="s">
        <v>71</v>
      </c>
      <c r="E10" s="23">
        <v>7491544126</v>
      </c>
      <c r="F10" s="23">
        <v>0</v>
      </c>
      <c r="G10" s="23">
        <v>7491544126</v>
      </c>
      <c r="I10" s="23">
        <v>7491544126</v>
      </c>
      <c r="J10" s="23">
        <v>0</v>
      </c>
      <c r="K10" s="23">
        <v>7491544126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113941540</v>
      </c>
      <c r="F11" s="25">
        <v>0</v>
      </c>
      <c r="G11" s="25">
        <v>113941540</v>
      </c>
      <c r="I11" s="25">
        <v>61621340</v>
      </c>
      <c r="J11" s="25">
        <v>52320100</v>
      </c>
      <c r="K11" s="25">
        <v>113941440</v>
      </c>
      <c r="M11" s="25">
        <v>100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4619306495</v>
      </c>
      <c r="F35" s="28">
        <v>0</v>
      </c>
      <c r="G35" s="28">
        <v>4619306495</v>
      </c>
      <c r="I35" s="28">
        <v>4619713477</v>
      </c>
      <c r="J35" s="28">
        <v>0</v>
      </c>
      <c r="K35" s="28">
        <v>4619713477</v>
      </c>
      <c r="M35" s="28">
        <v>-406982</v>
      </c>
    </row>
    <row r="36" spans="2:13" x14ac:dyDescent="0.35">
      <c r="B36" s="31">
        <v>26</v>
      </c>
      <c r="C36" s="29" t="s">
        <v>96</v>
      </c>
      <c r="E36" s="23">
        <v>0</v>
      </c>
      <c r="F36" s="23">
        <v>0</v>
      </c>
      <c r="G36" s="23">
        <v>0</v>
      </c>
      <c r="I36" s="23">
        <v>0</v>
      </c>
      <c r="J36" s="23">
        <v>0</v>
      </c>
      <c r="K36" s="23">
        <v>0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3891381765</v>
      </c>
      <c r="F37" s="25">
        <v>0</v>
      </c>
      <c r="G37" s="25">
        <v>3891381765</v>
      </c>
      <c r="I37" s="25">
        <v>3891381765</v>
      </c>
      <c r="J37" s="25">
        <v>0</v>
      </c>
      <c r="K37" s="25">
        <v>3891381765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0</v>
      </c>
      <c r="J40" s="23">
        <v>0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682759738</v>
      </c>
      <c r="F41" s="25">
        <v>0</v>
      </c>
      <c r="G41" s="25">
        <v>682759738</v>
      </c>
      <c r="I41" s="25">
        <v>682759738</v>
      </c>
      <c r="J41" s="25">
        <v>0</v>
      </c>
      <c r="K41" s="25">
        <v>682759738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5390771</v>
      </c>
      <c r="F43" s="25">
        <v>0</v>
      </c>
      <c r="G43" s="25">
        <v>5390771</v>
      </c>
      <c r="I43" s="25">
        <v>5797753</v>
      </c>
      <c r="J43" s="25">
        <v>0</v>
      </c>
      <c r="K43" s="25">
        <v>5797753</v>
      </c>
      <c r="M43" s="25">
        <v>-406982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39774221</v>
      </c>
      <c r="F48" s="23">
        <v>0</v>
      </c>
      <c r="G48" s="23">
        <v>39774221</v>
      </c>
      <c r="I48" s="23">
        <v>39774221</v>
      </c>
      <c r="J48" s="23">
        <v>0</v>
      </c>
      <c r="K48" s="23">
        <v>39774221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308984319</v>
      </c>
      <c r="F51" s="28">
        <v>0</v>
      </c>
      <c r="G51" s="28">
        <v>308984319</v>
      </c>
      <c r="I51" s="28">
        <v>269850705</v>
      </c>
      <c r="J51" s="28">
        <v>0</v>
      </c>
      <c r="K51" s="28">
        <v>269850705</v>
      </c>
      <c r="M51" s="28">
        <v>39133614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5811395</v>
      </c>
      <c r="J52" s="23">
        <v>0</v>
      </c>
      <c r="K52" s="23">
        <v>5811395</v>
      </c>
      <c r="M52" s="23">
        <v>-5811395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90404467</v>
      </c>
      <c r="J53" s="25">
        <v>0</v>
      </c>
      <c r="K53" s="25">
        <v>90404467</v>
      </c>
      <c r="M53" s="25">
        <v>-90404467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112863713</v>
      </c>
      <c r="J54" s="23">
        <v>0</v>
      </c>
      <c r="K54" s="23">
        <v>112863713</v>
      </c>
      <c r="M54" s="23">
        <v>-112863713</v>
      </c>
    </row>
    <row r="55" spans="2:13" x14ac:dyDescent="0.35">
      <c r="B55" s="32">
        <v>43</v>
      </c>
      <c r="C55" s="30" t="s">
        <v>117</v>
      </c>
      <c r="E55" s="25">
        <v>263417604</v>
      </c>
      <c r="F55" s="25">
        <v>0</v>
      </c>
      <c r="G55" s="25">
        <v>263417604</v>
      </c>
      <c r="I55" s="25">
        <v>3788630</v>
      </c>
      <c r="J55" s="25">
        <v>0</v>
      </c>
      <c r="K55" s="25">
        <v>3788630</v>
      </c>
      <c r="M55" s="25">
        <v>259628974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56408654</v>
      </c>
      <c r="J56" s="23">
        <v>0</v>
      </c>
      <c r="K56" s="23">
        <v>56408654</v>
      </c>
      <c r="M56" s="23">
        <v>-56408654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573846</v>
      </c>
      <c r="J57" s="25">
        <v>0</v>
      </c>
      <c r="K57" s="25">
        <v>573846</v>
      </c>
      <c r="M57" s="25">
        <v>-573846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45566715</v>
      </c>
      <c r="F59" s="25">
        <v>0</v>
      </c>
      <c r="G59" s="25">
        <v>45566715</v>
      </c>
      <c r="I59" s="25">
        <v>0</v>
      </c>
      <c r="J59" s="25">
        <v>0</v>
      </c>
      <c r="K59" s="25">
        <v>0</v>
      </c>
      <c r="M59" s="25">
        <v>45566715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22099694</v>
      </c>
      <c r="F67" s="28">
        <v>0</v>
      </c>
      <c r="G67" s="28">
        <v>22099694</v>
      </c>
      <c r="I67" s="28">
        <v>22099694</v>
      </c>
      <c r="J67" s="28">
        <v>0</v>
      </c>
      <c r="K67" s="28">
        <v>22099694</v>
      </c>
      <c r="M67" s="28">
        <v>0</v>
      </c>
    </row>
    <row r="68" spans="2:13" x14ac:dyDescent="0.35">
      <c r="B68" s="31">
        <v>53</v>
      </c>
      <c r="C68" s="29" t="s">
        <v>129</v>
      </c>
      <c r="E68" s="23">
        <v>22099694</v>
      </c>
      <c r="F68" s="23">
        <v>0</v>
      </c>
      <c r="G68" s="23">
        <v>22099694</v>
      </c>
      <c r="I68" s="23">
        <v>22099694</v>
      </c>
      <c r="J68" s="23">
        <v>0</v>
      </c>
      <c r="K68" s="23">
        <v>22099694</v>
      </c>
      <c r="M68" s="23">
        <v>0</v>
      </c>
    </row>
    <row r="69" spans="2:13" x14ac:dyDescent="0.35">
      <c r="B69" s="26"/>
      <c r="C69" s="27" t="s">
        <v>130</v>
      </c>
      <c r="E69" s="28">
        <v>171008028</v>
      </c>
      <c r="F69" s="28">
        <v>0</v>
      </c>
      <c r="G69" s="28">
        <v>171008028</v>
      </c>
      <c r="I69" s="28">
        <v>171008028</v>
      </c>
      <c r="J69" s="28">
        <v>0</v>
      </c>
      <c r="K69" s="28">
        <v>171008028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171008028</v>
      </c>
      <c r="F70" s="25">
        <v>0</v>
      </c>
      <c r="G70" s="25">
        <v>171008028</v>
      </c>
      <c r="I70" s="25">
        <v>171008028</v>
      </c>
      <c r="J70" s="25">
        <v>0</v>
      </c>
      <c r="K70" s="25">
        <v>171008028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96210</v>
      </c>
      <c r="J71" s="28">
        <v>0</v>
      </c>
      <c r="K71" s="28">
        <v>96210</v>
      </c>
      <c r="M71" s="28">
        <v>-96210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>
        <v>96210</v>
      </c>
      <c r="J72" s="23">
        <v>0</v>
      </c>
      <c r="K72" s="23">
        <v>96210</v>
      </c>
      <c r="M72" s="23">
        <v>-96210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BF64BCC4-BC23-4BF4-97B0-66AE028612DF}">
      <formula1>Compadjust</formula1>
    </dataValidation>
    <dataValidation type="list" allowBlank="1" showInputMessage="1" showErrorMessage="1" sqref="J201:J598 K73:M598" xr:uid="{FAACAA5F-EF0B-44F5-A927-EA688803422F}">
      <formula1>Taxes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C7E2-F6F2-44F2-BC9C-FDF7C0967506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31.5" x14ac:dyDescent="0.35">
      <c r="C1" s="7" t="s">
        <v>53</v>
      </c>
      <c r="E1" s="9" t="s">
        <v>151</v>
      </c>
      <c r="F1" s="9" t="s">
        <v>152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855828762</v>
      </c>
      <c r="F8" s="20">
        <v>-1769262</v>
      </c>
      <c r="G8" s="20">
        <v>854059500</v>
      </c>
      <c r="I8" s="20">
        <v>970786930</v>
      </c>
      <c r="J8" s="20">
        <v>2064000</v>
      </c>
      <c r="K8" s="20">
        <v>972850930</v>
      </c>
      <c r="M8" s="20">
        <v>-118791430</v>
      </c>
    </row>
    <row r="9" spans="2:13" x14ac:dyDescent="0.35">
      <c r="B9" s="26"/>
      <c r="C9" s="27" t="s">
        <v>70</v>
      </c>
      <c r="E9" s="28">
        <v>243670746</v>
      </c>
      <c r="F9" s="28">
        <v>0</v>
      </c>
      <c r="G9" s="28">
        <v>243670746</v>
      </c>
      <c r="I9" s="28">
        <v>243670746</v>
      </c>
      <c r="J9" s="28">
        <v>0</v>
      </c>
      <c r="K9" s="28">
        <v>243670746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243670746</v>
      </c>
      <c r="F10" s="23">
        <v>0</v>
      </c>
      <c r="G10" s="23">
        <v>243670746</v>
      </c>
      <c r="I10" s="23">
        <v>243670746</v>
      </c>
      <c r="J10" s="23">
        <v>0</v>
      </c>
      <c r="K10" s="23">
        <v>243670746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508322956</v>
      </c>
      <c r="F35" s="28">
        <v>-3636582</v>
      </c>
      <c r="G35" s="28">
        <v>504686374</v>
      </c>
      <c r="I35" s="28">
        <v>504686374</v>
      </c>
      <c r="J35" s="28">
        <v>0</v>
      </c>
      <c r="K35" s="28">
        <v>504686374</v>
      </c>
      <c r="M35" s="28">
        <v>0</v>
      </c>
    </row>
    <row r="36" spans="2:13" x14ac:dyDescent="0.35">
      <c r="B36" s="31">
        <v>26</v>
      </c>
      <c r="C36" s="29" t="s">
        <v>96</v>
      </c>
      <c r="E36" s="23">
        <v>0</v>
      </c>
      <c r="F36" s="23">
        <v>0</v>
      </c>
      <c r="G36" s="23">
        <v>0</v>
      </c>
      <c r="I36" s="23">
        <v>0</v>
      </c>
      <c r="J36" s="23">
        <v>0</v>
      </c>
      <c r="K36" s="23">
        <v>0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340637493</v>
      </c>
      <c r="F37" s="25">
        <v>-3636582</v>
      </c>
      <c r="G37" s="25">
        <v>337000911</v>
      </c>
      <c r="I37" s="25">
        <v>337000911</v>
      </c>
      <c r="J37" s="25">
        <v>0</v>
      </c>
      <c r="K37" s="25">
        <v>337000911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0</v>
      </c>
      <c r="J40" s="23">
        <v>0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126048707</v>
      </c>
      <c r="F41" s="25">
        <v>0</v>
      </c>
      <c r="G41" s="25">
        <v>126048707</v>
      </c>
      <c r="I41" s="25">
        <v>126048707</v>
      </c>
      <c r="J41" s="25">
        <v>0</v>
      </c>
      <c r="K41" s="25">
        <v>126048707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3278173</v>
      </c>
      <c r="F43" s="25">
        <v>0</v>
      </c>
      <c r="G43" s="25">
        <v>3278173</v>
      </c>
      <c r="I43" s="25">
        <v>3278173</v>
      </c>
      <c r="J43" s="25">
        <v>0</v>
      </c>
      <c r="K43" s="25">
        <v>3278173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38358583</v>
      </c>
      <c r="F48" s="23">
        <v>0</v>
      </c>
      <c r="G48" s="23">
        <v>38358583</v>
      </c>
      <c r="I48" s="23">
        <v>38358583</v>
      </c>
      <c r="J48" s="23">
        <v>0</v>
      </c>
      <c r="K48" s="23">
        <v>38358583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0</v>
      </c>
      <c r="F51" s="28">
        <v>0</v>
      </c>
      <c r="G51" s="28">
        <v>0</v>
      </c>
      <c r="I51" s="28">
        <v>118782929</v>
      </c>
      <c r="J51" s="28">
        <v>0</v>
      </c>
      <c r="K51" s="28">
        <v>118782929</v>
      </c>
      <c r="M51" s="28">
        <v>-118782929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1111473</v>
      </c>
      <c r="J52" s="23">
        <v>0</v>
      </c>
      <c r="K52" s="23">
        <v>1111473</v>
      </c>
      <c r="M52" s="23">
        <v>-1111473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40714818</v>
      </c>
      <c r="J53" s="25">
        <v>0</v>
      </c>
      <c r="K53" s="25">
        <v>40714818</v>
      </c>
      <c r="M53" s="25">
        <v>-40714818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50893525</v>
      </c>
      <c r="J54" s="23">
        <v>0</v>
      </c>
      <c r="K54" s="23">
        <v>50893525</v>
      </c>
      <c r="M54" s="23">
        <v>-50893525</v>
      </c>
    </row>
    <row r="55" spans="2:13" x14ac:dyDescent="0.35">
      <c r="B55" s="32">
        <v>43</v>
      </c>
      <c r="C55" s="30" t="s">
        <v>117</v>
      </c>
      <c r="E55" s="25">
        <v>0</v>
      </c>
      <c r="F55" s="25">
        <v>0</v>
      </c>
      <c r="G55" s="25">
        <v>0</v>
      </c>
      <c r="I55" s="25">
        <v>561162</v>
      </c>
      <c r="J55" s="25">
        <v>0</v>
      </c>
      <c r="K55" s="25">
        <v>561162</v>
      </c>
      <c r="M55" s="25">
        <v>-561162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25446760</v>
      </c>
      <c r="J56" s="23">
        <v>0</v>
      </c>
      <c r="K56" s="23">
        <v>25446760</v>
      </c>
      <c r="M56" s="23">
        <v>-25446760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55191</v>
      </c>
      <c r="J57" s="25">
        <v>0</v>
      </c>
      <c r="K57" s="25">
        <v>55191</v>
      </c>
      <c r="M57" s="25">
        <v>-55191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4128000</v>
      </c>
      <c r="F60" s="28">
        <v>0</v>
      </c>
      <c r="G60" s="28">
        <v>4128000</v>
      </c>
      <c r="I60" s="28">
        <v>2064000</v>
      </c>
      <c r="J60" s="28">
        <v>2064000</v>
      </c>
      <c r="K60" s="28">
        <v>4128000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4128000</v>
      </c>
      <c r="F61" s="23">
        <v>0</v>
      </c>
      <c r="G61" s="23">
        <v>4128000</v>
      </c>
      <c r="I61" s="23">
        <v>2064000</v>
      </c>
      <c r="J61" s="23">
        <v>2064000</v>
      </c>
      <c r="K61" s="23">
        <v>4128000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19683221</v>
      </c>
      <c r="F67" s="28">
        <v>1867320</v>
      </c>
      <c r="G67" s="28">
        <v>21550541</v>
      </c>
      <c r="I67" s="28">
        <v>21559042</v>
      </c>
      <c r="J67" s="28">
        <v>0</v>
      </c>
      <c r="K67" s="28">
        <v>21559042</v>
      </c>
      <c r="M67" s="28">
        <v>-8501</v>
      </c>
    </row>
    <row r="68" spans="2:13" x14ac:dyDescent="0.35">
      <c r="B68" s="31">
        <v>53</v>
      </c>
      <c r="C68" s="29" t="s">
        <v>129</v>
      </c>
      <c r="E68" s="23">
        <v>19683221</v>
      </c>
      <c r="F68" s="23">
        <v>1867320</v>
      </c>
      <c r="G68" s="23">
        <v>21550541</v>
      </c>
      <c r="I68" s="23">
        <v>21559042</v>
      </c>
      <c r="J68" s="23">
        <v>0</v>
      </c>
      <c r="K68" s="23">
        <v>21559042</v>
      </c>
      <c r="M68" s="23">
        <v>-8501</v>
      </c>
    </row>
    <row r="69" spans="2:13" x14ac:dyDescent="0.35">
      <c r="B69" s="26"/>
      <c r="C69" s="27" t="s">
        <v>130</v>
      </c>
      <c r="E69" s="28">
        <v>80023839</v>
      </c>
      <c r="F69" s="28">
        <v>0</v>
      </c>
      <c r="G69" s="28">
        <v>80023839</v>
      </c>
      <c r="I69" s="28">
        <v>80023839</v>
      </c>
      <c r="J69" s="28">
        <v>0</v>
      </c>
      <c r="K69" s="28">
        <v>80023839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80023839</v>
      </c>
      <c r="F70" s="25">
        <v>0</v>
      </c>
      <c r="G70" s="25">
        <v>80023839</v>
      </c>
      <c r="I70" s="25">
        <v>80023839</v>
      </c>
      <c r="J70" s="25">
        <v>0</v>
      </c>
      <c r="K70" s="25">
        <v>80023839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161FF04A-7F3C-4C8F-87F2-58CF9E49D92A}">
      <formula1>Compadjust</formula1>
    </dataValidation>
    <dataValidation type="list" allowBlank="1" showInputMessage="1" showErrorMessage="1" sqref="J201:J598 K73:M598" xr:uid="{DA1A805E-7B4C-4047-91AA-332B2203DAE1}">
      <formula1>Taxes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F2CA-99AF-489F-A4A5-2BE12668AACD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31.5" x14ac:dyDescent="0.35">
      <c r="C1" s="7" t="s">
        <v>53</v>
      </c>
      <c r="E1" s="9" t="s">
        <v>153</v>
      </c>
      <c r="F1" s="9" t="s">
        <v>154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390838068</v>
      </c>
      <c r="F8" s="20">
        <v>1723057</v>
      </c>
      <c r="G8" s="20">
        <v>392561125</v>
      </c>
      <c r="I8" s="20">
        <v>350716965</v>
      </c>
      <c r="J8" s="20">
        <v>44201648</v>
      </c>
      <c r="K8" s="20">
        <v>394918613</v>
      </c>
      <c r="M8" s="20">
        <v>-2357488</v>
      </c>
    </row>
    <row r="9" spans="2:13" x14ac:dyDescent="0.35">
      <c r="B9" s="26"/>
      <c r="C9" s="27" t="s">
        <v>70</v>
      </c>
      <c r="E9" s="28">
        <v>21931648</v>
      </c>
      <c r="F9" s="28">
        <v>0</v>
      </c>
      <c r="G9" s="28">
        <v>21931648</v>
      </c>
      <c r="I9" s="28">
        <v>0</v>
      </c>
      <c r="J9" s="28">
        <v>21536648</v>
      </c>
      <c r="K9" s="28">
        <v>21536648</v>
      </c>
      <c r="M9" s="28">
        <v>395000</v>
      </c>
    </row>
    <row r="10" spans="2:13" x14ac:dyDescent="0.35">
      <c r="B10" s="21">
        <v>3</v>
      </c>
      <c r="C10" s="29" t="s">
        <v>71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21536648</v>
      </c>
      <c r="F11" s="25">
        <v>0</v>
      </c>
      <c r="G11" s="25">
        <v>21536648</v>
      </c>
      <c r="I11" s="25">
        <v>0</v>
      </c>
      <c r="J11" s="25">
        <v>21536648</v>
      </c>
      <c r="K11" s="25">
        <v>21536648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395000</v>
      </c>
      <c r="F14" s="23">
        <v>0</v>
      </c>
      <c r="G14" s="23">
        <v>395000</v>
      </c>
      <c r="I14" s="23">
        <v>0</v>
      </c>
      <c r="J14" s="23">
        <v>0</v>
      </c>
      <c r="K14" s="23">
        <v>0</v>
      </c>
      <c r="M14" s="23">
        <v>395000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293830323</v>
      </c>
      <c r="F35" s="28">
        <v>1723057</v>
      </c>
      <c r="G35" s="28">
        <v>295553380</v>
      </c>
      <c r="I35" s="28">
        <v>295553380</v>
      </c>
      <c r="J35" s="28">
        <v>0</v>
      </c>
      <c r="K35" s="28">
        <v>295553380</v>
      </c>
      <c r="M35" s="28">
        <v>0</v>
      </c>
    </row>
    <row r="36" spans="2:13" x14ac:dyDescent="0.35">
      <c r="B36" s="31">
        <v>26</v>
      </c>
      <c r="C36" s="29" t="s">
        <v>96</v>
      </c>
      <c r="E36" s="23">
        <v>0</v>
      </c>
      <c r="F36" s="23">
        <v>0</v>
      </c>
      <c r="G36" s="23">
        <v>0</v>
      </c>
      <c r="I36" s="23">
        <v>0</v>
      </c>
      <c r="J36" s="23">
        <v>0</v>
      </c>
      <c r="K36" s="23">
        <v>0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290037636</v>
      </c>
      <c r="F37" s="25">
        <v>0</v>
      </c>
      <c r="G37" s="25">
        <v>290037636</v>
      </c>
      <c r="I37" s="25">
        <v>290037636</v>
      </c>
      <c r="J37" s="25">
        <v>0</v>
      </c>
      <c r="K37" s="25">
        <v>290037636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0</v>
      </c>
      <c r="J40" s="23">
        <v>0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0</v>
      </c>
      <c r="F41" s="25">
        <v>0</v>
      </c>
      <c r="G41" s="25">
        <v>0</v>
      </c>
      <c r="I41" s="25">
        <v>0</v>
      </c>
      <c r="J41" s="25">
        <v>0</v>
      </c>
      <c r="K41" s="25">
        <v>0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3792687</v>
      </c>
      <c r="F43" s="25">
        <v>0</v>
      </c>
      <c r="G43" s="25">
        <v>3792687</v>
      </c>
      <c r="I43" s="25">
        <v>3792687</v>
      </c>
      <c r="J43" s="25">
        <v>0</v>
      </c>
      <c r="K43" s="25">
        <v>3792687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1723057</v>
      </c>
      <c r="G48" s="23">
        <v>1723057</v>
      </c>
      <c r="I48" s="23">
        <v>1723057</v>
      </c>
      <c r="J48" s="23">
        <v>0</v>
      </c>
      <c r="K48" s="23">
        <v>1723057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1137045</v>
      </c>
      <c r="F51" s="28">
        <v>0</v>
      </c>
      <c r="G51" s="28">
        <v>1137045</v>
      </c>
      <c r="I51" s="28">
        <v>1195382</v>
      </c>
      <c r="J51" s="28">
        <v>0</v>
      </c>
      <c r="K51" s="28">
        <v>1195382</v>
      </c>
      <c r="M51" s="28">
        <v>-58337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464980</v>
      </c>
      <c r="J52" s="23">
        <v>0</v>
      </c>
      <c r="K52" s="23">
        <v>464980</v>
      </c>
      <c r="M52" s="23">
        <v>-464980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161077</v>
      </c>
      <c r="J53" s="25">
        <v>0</v>
      </c>
      <c r="K53" s="25">
        <v>161077</v>
      </c>
      <c r="M53" s="25">
        <v>-161077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201347</v>
      </c>
      <c r="J54" s="23">
        <v>0</v>
      </c>
      <c r="K54" s="23">
        <v>201347</v>
      </c>
      <c r="M54" s="23">
        <v>-201347</v>
      </c>
    </row>
    <row r="55" spans="2:13" x14ac:dyDescent="0.35">
      <c r="B55" s="32">
        <v>43</v>
      </c>
      <c r="C55" s="30" t="s">
        <v>117</v>
      </c>
      <c r="E55" s="25">
        <v>1137045</v>
      </c>
      <c r="F55" s="25">
        <v>0</v>
      </c>
      <c r="G55" s="25">
        <v>1137045</v>
      </c>
      <c r="I55" s="25">
        <v>267304</v>
      </c>
      <c r="J55" s="25">
        <v>0</v>
      </c>
      <c r="K55" s="25">
        <v>267304</v>
      </c>
      <c r="M55" s="25">
        <v>869741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100674</v>
      </c>
      <c r="J56" s="23">
        <v>0</v>
      </c>
      <c r="K56" s="23">
        <v>100674</v>
      </c>
      <c r="M56" s="23">
        <v>-100674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712750</v>
      </c>
      <c r="F60" s="28">
        <v>0</v>
      </c>
      <c r="G60" s="28">
        <v>712750</v>
      </c>
      <c r="I60" s="28">
        <v>0</v>
      </c>
      <c r="J60" s="28">
        <v>0</v>
      </c>
      <c r="K60" s="28">
        <v>0</v>
      </c>
      <c r="M60" s="28">
        <v>712750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712750</v>
      </c>
      <c r="F63" s="23">
        <v>0</v>
      </c>
      <c r="G63" s="23">
        <v>712750</v>
      </c>
      <c r="I63" s="23">
        <v>0</v>
      </c>
      <c r="J63" s="23">
        <v>0</v>
      </c>
      <c r="K63" s="23">
        <v>0</v>
      </c>
      <c r="M63" s="23">
        <v>712750</v>
      </c>
    </row>
    <row r="64" spans="2:13" x14ac:dyDescent="0.35">
      <c r="B64" s="26"/>
      <c r="C64" s="27" t="s">
        <v>126</v>
      </c>
      <c r="E64" s="28">
        <v>22665000</v>
      </c>
      <c r="F64" s="28">
        <v>0</v>
      </c>
      <c r="G64" s="28">
        <v>22665000</v>
      </c>
      <c r="I64" s="28">
        <v>2743000</v>
      </c>
      <c r="J64" s="28">
        <v>22665000</v>
      </c>
      <c r="K64" s="28">
        <v>25408000</v>
      </c>
      <c r="M64" s="28">
        <v>-2743000</v>
      </c>
    </row>
    <row r="65" spans="2:13" x14ac:dyDescent="0.35">
      <c r="B65" s="31">
        <v>51</v>
      </c>
      <c r="C65" s="29" t="s">
        <v>127</v>
      </c>
      <c r="E65" s="23">
        <v>20000000</v>
      </c>
      <c r="F65" s="23">
        <v>0</v>
      </c>
      <c r="G65" s="23">
        <v>20000000</v>
      </c>
      <c r="I65" s="23">
        <v>2743000</v>
      </c>
      <c r="J65" s="23">
        <v>20000000</v>
      </c>
      <c r="K65" s="23">
        <v>22743000</v>
      </c>
      <c r="M65" s="23">
        <v>-2743000</v>
      </c>
    </row>
    <row r="66" spans="2:13" x14ac:dyDescent="0.35">
      <c r="B66" s="32">
        <v>52</v>
      </c>
      <c r="C66" s="30" t="s">
        <v>125</v>
      </c>
      <c r="E66" s="25">
        <v>2665000</v>
      </c>
      <c r="F66" s="25">
        <v>0</v>
      </c>
      <c r="G66" s="25">
        <v>2665000</v>
      </c>
      <c r="I66" s="25">
        <v>0</v>
      </c>
      <c r="J66" s="25">
        <v>2665000</v>
      </c>
      <c r="K66" s="25">
        <v>2665000</v>
      </c>
      <c r="M66" s="25">
        <v>0</v>
      </c>
    </row>
    <row r="67" spans="2:13" x14ac:dyDescent="0.35">
      <c r="B67" s="26"/>
      <c r="C67" s="27" t="s">
        <v>128</v>
      </c>
      <c r="E67" s="28">
        <v>9277883</v>
      </c>
      <c r="F67" s="28">
        <v>0</v>
      </c>
      <c r="G67" s="28">
        <v>9277883</v>
      </c>
      <c r="I67" s="28">
        <v>9941784</v>
      </c>
      <c r="J67" s="28">
        <v>0</v>
      </c>
      <c r="K67" s="28">
        <v>9941784</v>
      </c>
      <c r="M67" s="28">
        <v>-663901</v>
      </c>
    </row>
    <row r="68" spans="2:13" x14ac:dyDescent="0.35">
      <c r="B68" s="31">
        <v>53</v>
      </c>
      <c r="C68" s="29" t="s">
        <v>129</v>
      </c>
      <c r="E68" s="23">
        <v>9277883</v>
      </c>
      <c r="F68" s="23">
        <v>0</v>
      </c>
      <c r="G68" s="23">
        <v>9277883</v>
      </c>
      <c r="I68" s="23">
        <v>9941784</v>
      </c>
      <c r="J68" s="23">
        <v>0</v>
      </c>
      <c r="K68" s="23">
        <v>9941784</v>
      </c>
      <c r="M68" s="23">
        <v>-663901</v>
      </c>
    </row>
    <row r="69" spans="2:13" x14ac:dyDescent="0.35">
      <c r="B69" s="26"/>
      <c r="C69" s="27" t="s">
        <v>130</v>
      </c>
      <c r="E69" s="28">
        <v>41283419</v>
      </c>
      <c r="F69" s="28">
        <v>0</v>
      </c>
      <c r="G69" s="28">
        <v>41283419</v>
      </c>
      <c r="I69" s="28">
        <v>41283419</v>
      </c>
      <c r="J69" s="28">
        <v>0</v>
      </c>
      <c r="K69" s="28">
        <v>41283419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41283419</v>
      </c>
      <c r="F70" s="25">
        <v>0</v>
      </c>
      <c r="G70" s="25">
        <v>41283419</v>
      </c>
      <c r="I70" s="25">
        <v>41283419</v>
      </c>
      <c r="J70" s="25">
        <v>0</v>
      </c>
      <c r="K70" s="25">
        <v>41283419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7EBC53F7-F4FC-460A-8EEF-C6B183918193}">
      <formula1>Compadjust</formula1>
    </dataValidation>
    <dataValidation type="list" allowBlank="1" showInputMessage="1" showErrorMessage="1" sqref="J201:J598 K73:M598" xr:uid="{0188E745-7A10-493C-9524-EEF7870BA5DA}">
      <formula1>Taxes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33AF-5167-4ABA-B1B5-E64D65E7B781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47.25" customHeight="1" x14ac:dyDescent="0.35">
      <c r="C1" s="7" t="s">
        <v>53</v>
      </c>
      <c r="E1" s="9" t="s">
        <v>155</v>
      </c>
      <c r="F1" s="9" t="s">
        <v>156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1198031014</v>
      </c>
      <c r="F8" s="20">
        <v>580463</v>
      </c>
      <c r="G8" s="20">
        <v>1198611477</v>
      </c>
      <c r="I8" s="20">
        <v>1198611470</v>
      </c>
      <c r="J8" s="20">
        <v>0</v>
      </c>
      <c r="K8" s="20">
        <v>1198611470</v>
      </c>
      <c r="M8" s="20">
        <v>7</v>
      </c>
    </row>
    <row r="9" spans="2:13" x14ac:dyDescent="0.35">
      <c r="B9" s="26"/>
      <c r="C9" s="27" t="s">
        <v>70</v>
      </c>
      <c r="E9" s="28">
        <v>59210919</v>
      </c>
      <c r="F9" s="28">
        <v>0</v>
      </c>
      <c r="G9" s="28">
        <v>59210919</v>
      </c>
      <c r="I9" s="28">
        <v>59210919</v>
      </c>
      <c r="J9" s="28">
        <v>0</v>
      </c>
      <c r="K9" s="28">
        <v>59210919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56065919</v>
      </c>
      <c r="F11" s="25">
        <v>0</v>
      </c>
      <c r="G11" s="25">
        <v>56065919</v>
      </c>
      <c r="I11" s="25">
        <v>56065919</v>
      </c>
      <c r="J11" s="25">
        <v>0</v>
      </c>
      <c r="K11" s="25">
        <v>56065919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3145000</v>
      </c>
      <c r="F14" s="23">
        <v>0</v>
      </c>
      <c r="G14" s="23">
        <v>3145000</v>
      </c>
      <c r="I14" s="23">
        <v>3145000</v>
      </c>
      <c r="J14" s="23">
        <v>0</v>
      </c>
      <c r="K14" s="23">
        <v>3145000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1094422345</v>
      </c>
      <c r="F35" s="28">
        <v>580463</v>
      </c>
      <c r="G35" s="28">
        <v>1095002808</v>
      </c>
      <c r="I35" s="28">
        <v>1095002808</v>
      </c>
      <c r="J35" s="28">
        <v>0</v>
      </c>
      <c r="K35" s="28">
        <v>1095002808</v>
      </c>
      <c r="M35" s="28">
        <v>0</v>
      </c>
    </row>
    <row r="36" spans="2:13" x14ac:dyDescent="0.35">
      <c r="B36" s="31">
        <v>26</v>
      </c>
      <c r="C36" s="29" t="s">
        <v>96</v>
      </c>
      <c r="E36" s="23">
        <v>0</v>
      </c>
      <c r="F36" s="23">
        <v>580463</v>
      </c>
      <c r="G36" s="23">
        <v>580463</v>
      </c>
      <c r="I36" s="23">
        <v>409256600</v>
      </c>
      <c r="J36" s="23">
        <v>-408676137</v>
      </c>
      <c r="K36" s="23">
        <v>580463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84283253</v>
      </c>
      <c r="F37" s="25">
        <v>0</v>
      </c>
      <c r="G37" s="25">
        <v>84283253</v>
      </c>
      <c r="I37" s="25">
        <v>432125492</v>
      </c>
      <c r="J37" s="25">
        <v>-347842239</v>
      </c>
      <c r="K37" s="25">
        <v>84283253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1008892271</v>
      </c>
      <c r="F38" s="23">
        <v>0</v>
      </c>
      <c r="G38" s="23">
        <v>1008892271</v>
      </c>
      <c r="I38" s="23">
        <v>0</v>
      </c>
      <c r="J38" s="23">
        <v>1008892271</v>
      </c>
      <c r="K38" s="23">
        <v>1008892271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108084175</v>
      </c>
      <c r="J40" s="23">
        <v>-108084175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1246821</v>
      </c>
      <c r="F41" s="25">
        <v>0</v>
      </c>
      <c r="G41" s="25">
        <v>1246821</v>
      </c>
      <c r="I41" s="25">
        <v>1246821</v>
      </c>
      <c r="J41" s="25">
        <v>0</v>
      </c>
      <c r="K41" s="25">
        <v>1246821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/>
      <c r="F43" s="25">
        <v>0</v>
      </c>
      <c r="G43" s="25">
        <v>0</v>
      </c>
      <c r="I43" s="25">
        <v>0</v>
      </c>
      <c r="J43" s="25">
        <v>0</v>
      </c>
      <c r="K43" s="25">
        <v>0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0</v>
      </c>
      <c r="G48" s="23">
        <v>0</v>
      </c>
      <c r="I48" s="23">
        <v>144289720</v>
      </c>
      <c r="J48" s="23">
        <v>-144289720</v>
      </c>
      <c r="K48" s="23">
        <v>0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0</v>
      </c>
      <c r="F51" s="28">
        <v>0</v>
      </c>
      <c r="G51" s="28">
        <v>0</v>
      </c>
      <c r="I51" s="28">
        <v>0</v>
      </c>
      <c r="J51" s="28">
        <v>0</v>
      </c>
      <c r="K51" s="28">
        <v>0</v>
      </c>
      <c r="M51" s="28">
        <v>0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0</v>
      </c>
      <c r="J52" s="23">
        <v>0</v>
      </c>
      <c r="K52" s="23">
        <v>0</v>
      </c>
      <c r="M52" s="23">
        <v>0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0</v>
      </c>
      <c r="J53" s="25">
        <v>0</v>
      </c>
      <c r="K53" s="25">
        <v>0</v>
      </c>
      <c r="M53" s="25">
        <v>0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43</v>
      </c>
      <c r="C55" s="30" t="s">
        <v>117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29452343</v>
      </c>
      <c r="F64" s="28">
        <v>0</v>
      </c>
      <c r="G64" s="28">
        <v>29452343</v>
      </c>
      <c r="I64" s="28">
        <v>29452343</v>
      </c>
      <c r="J64" s="28">
        <v>0</v>
      </c>
      <c r="K64" s="28">
        <v>29452343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29452343</v>
      </c>
      <c r="F66" s="25">
        <v>0</v>
      </c>
      <c r="G66" s="25">
        <v>29452343</v>
      </c>
      <c r="I66" s="25">
        <v>29452343</v>
      </c>
      <c r="J66" s="25">
        <v>0</v>
      </c>
      <c r="K66" s="25">
        <v>29452343</v>
      </c>
      <c r="M66" s="25">
        <v>0</v>
      </c>
    </row>
    <row r="67" spans="2:13" x14ac:dyDescent="0.35">
      <c r="B67" s="26"/>
      <c r="C67" s="27" t="s">
        <v>128</v>
      </c>
      <c r="E67" s="28">
        <v>1171802</v>
      </c>
      <c r="F67" s="28">
        <v>0</v>
      </c>
      <c r="G67" s="28">
        <v>1171802</v>
      </c>
      <c r="I67" s="28">
        <v>1171800</v>
      </c>
      <c r="J67" s="28">
        <v>0</v>
      </c>
      <c r="K67" s="28">
        <v>1171800</v>
      </c>
      <c r="M67" s="28">
        <v>2</v>
      </c>
    </row>
    <row r="68" spans="2:13" x14ac:dyDescent="0.35">
      <c r="B68" s="31">
        <v>53</v>
      </c>
      <c r="C68" s="29" t="s">
        <v>129</v>
      </c>
      <c r="E68" s="23">
        <v>1171802</v>
      </c>
      <c r="F68" s="23">
        <v>0</v>
      </c>
      <c r="G68" s="23">
        <v>1171802</v>
      </c>
      <c r="I68" s="23">
        <v>1171800</v>
      </c>
      <c r="J68" s="23">
        <v>0</v>
      </c>
      <c r="K68" s="23">
        <v>1171800</v>
      </c>
      <c r="M68" s="23">
        <v>2</v>
      </c>
    </row>
    <row r="69" spans="2:13" x14ac:dyDescent="0.35">
      <c r="B69" s="26"/>
      <c r="C69" s="27" t="s">
        <v>130</v>
      </c>
      <c r="E69" s="28">
        <v>13773605</v>
      </c>
      <c r="F69" s="28">
        <v>0</v>
      </c>
      <c r="G69" s="28">
        <v>13773605</v>
      </c>
      <c r="I69" s="28">
        <v>13773600</v>
      </c>
      <c r="J69" s="28">
        <v>0</v>
      </c>
      <c r="K69" s="28">
        <v>13773600</v>
      </c>
      <c r="M69" s="28">
        <v>5</v>
      </c>
    </row>
    <row r="70" spans="2:13" x14ac:dyDescent="0.35">
      <c r="B70" s="32">
        <v>54</v>
      </c>
      <c r="C70" s="30" t="s">
        <v>131</v>
      </c>
      <c r="E70" s="25">
        <v>13773605</v>
      </c>
      <c r="F70" s="25">
        <v>0</v>
      </c>
      <c r="G70" s="25">
        <v>13773605</v>
      </c>
      <c r="I70" s="25">
        <v>13773600</v>
      </c>
      <c r="J70" s="25">
        <v>0</v>
      </c>
      <c r="K70" s="25">
        <v>13773600</v>
      </c>
      <c r="M70" s="25">
        <v>5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907B441D-B7B3-4B12-948C-B8C6D028BEE6}">
      <formula1>Compadjust</formula1>
    </dataValidation>
    <dataValidation type="list" allowBlank="1" showInputMessage="1" showErrorMessage="1" sqref="J201:J598 K73:M598" xr:uid="{599CD6D9-8556-4892-99EE-1A958BA0E2A9}">
      <formula1>Taxes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3277-0ABC-425D-929F-FB34A7287E81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21" x14ac:dyDescent="0.35">
      <c r="C1" s="7" t="s">
        <v>53</v>
      </c>
      <c r="E1" s="9" t="s">
        <v>157</v>
      </c>
      <c r="F1" s="9" t="s">
        <v>158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1731881494</v>
      </c>
      <c r="F8" s="20">
        <v>-22490518</v>
      </c>
      <c r="G8" s="20">
        <v>1709390976</v>
      </c>
      <c r="I8" s="20">
        <v>196767927</v>
      </c>
      <c r="J8" s="20">
        <v>12250040</v>
      </c>
      <c r="K8" s="20">
        <v>209017967</v>
      </c>
      <c r="M8" s="20">
        <v>1500373009</v>
      </c>
    </row>
    <row r="9" spans="2:13" x14ac:dyDescent="0.35">
      <c r="B9" s="26"/>
      <c r="C9" s="27" t="s">
        <v>70</v>
      </c>
      <c r="E9" s="28">
        <v>14100000</v>
      </c>
      <c r="F9" s="28">
        <v>0</v>
      </c>
      <c r="G9" s="28">
        <v>14100000</v>
      </c>
      <c r="I9" s="28">
        <v>2500000</v>
      </c>
      <c r="J9" s="28">
        <v>11600000</v>
      </c>
      <c r="K9" s="28">
        <v>14100000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11600000</v>
      </c>
      <c r="F11" s="25">
        <v>0</v>
      </c>
      <c r="G11" s="25">
        <v>11600000</v>
      </c>
      <c r="I11" s="25">
        <v>0</v>
      </c>
      <c r="J11" s="25">
        <v>11600000</v>
      </c>
      <c r="K11" s="25">
        <v>11600000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2500000</v>
      </c>
      <c r="F12" s="23">
        <v>0</v>
      </c>
      <c r="G12" s="23">
        <v>2500000</v>
      </c>
      <c r="I12" s="23">
        <v>2500000</v>
      </c>
      <c r="J12" s="23">
        <v>0</v>
      </c>
      <c r="K12" s="23">
        <v>2500000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115606101</v>
      </c>
      <c r="F35" s="28">
        <v>11145423</v>
      </c>
      <c r="G35" s="28">
        <v>126751524</v>
      </c>
      <c r="I35" s="28">
        <v>126751524</v>
      </c>
      <c r="J35" s="28">
        <v>0</v>
      </c>
      <c r="K35" s="28">
        <v>126751524</v>
      </c>
      <c r="M35" s="28">
        <v>0</v>
      </c>
    </row>
    <row r="36" spans="2:13" x14ac:dyDescent="0.35">
      <c r="B36" s="31">
        <v>26</v>
      </c>
      <c r="C36" s="29" t="s">
        <v>96</v>
      </c>
      <c r="E36" s="23">
        <v>24816574</v>
      </c>
      <c r="F36" s="23">
        <v>4377792</v>
      </c>
      <c r="G36" s="23">
        <v>29194366</v>
      </c>
      <c r="I36" s="23">
        <v>29194366</v>
      </c>
      <c r="J36" s="23">
        <v>0</v>
      </c>
      <c r="K36" s="23">
        <v>29194366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77013203</v>
      </c>
      <c r="F37" s="25">
        <v>5698068</v>
      </c>
      <c r="G37" s="25">
        <v>82711271</v>
      </c>
      <c r="I37" s="25">
        <v>82711271</v>
      </c>
      <c r="J37" s="25">
        <v>0</v>
      </c>
      <c r="K37" s="25">
        <v>82711271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5000000</v>
      </c>
      <c r="F40" s="23">
        <v>0</v>
      </c>
      <c r="G40" s="23">
        <v>5000000</v>
      </c>
      <c r="I40" s="23">
        <v>5000000</v>
      </c>
      <c r="J40" s="23">
        <v>0</v>
      </c>
      <c r="K40" s="23">
        <v>5000000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728841</v>
      </c>
      <c r="F41" s="25">
        <v>0</v>
      </c>
      <c r="G41" s="25">
        <v>728841</v>
      </c>
      <c r="I41" s="25">
        <v>728841</v>
      </c>
      <c r="J41" s="25">
        <v>0</v>
      </c>
      <c r="K41" s="25">
        <v>728841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3516141</v>
      </c>
      <c r="F43" s="25">
        <v>1069563</v>
      </c>
      <c r="G43" s="25">
        <v>4585704</v>
      </c>
      <c r="I43" s="25">
        <v>4585704</v>
      </c>
      <c r="J43" s="25">
        <v>0</v>
      </c>
      <c r="K43" s="25">
        <v>4585704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4531342</v>
      </c>
      <c r="F48" s="23">
        <v>0</v>
      </c>
      <c r="G48" s="23">
        <v>4531342</v>
      </c>
      <c r="I48" s="23">
        <v>4531342</v>
      </c>
      <c r="J48" s="23">
        <v>0</v>
      </c>
      <c r="K48" s="23">
        <v>4531342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1534023950</v>
      </c>
      <c r="F51" s="28">
        <v>-33635941</v>
      </c>
      <c r="G51" s="28">
        <v>1500388009</v>
      </c>
      <c r="I51" s="28">
        <v>0</v>
      </c>
      <c r="J51" s="28">
        <v>0</v>
      </c>
      <c r="K51" s="28">
        <v>0</v>
      </c>
      <c r="M51" s="28">
        <v>1500388009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0</v>
      </c>
      <c r="J52" s="23">
        <v>0</v>
      </c>
      <c r="K52" s="23">
        <v>0</v>
      </c>
      <c r="M52" s="23">
        <v>0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0</v>
      </c>
      <c r="J53" s="25">
        <v>0</v>
      </c>
      <c r="K53" s="25">
        <v>0</v>
      </c>
      <c r="M53" s="25">
        <v>0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43</v>
      </c>
      <c r="C55" s="30" t="s">
        <v>117</v>
      </c>
      <c r="E55" s="25">
        <v>1534023950</v>
      </c>
      <c r="F55" s="25">
        <v>-33635941</v>
      </c>
      <c r="G55" s="25">
        <v>1500388009</v>
      </c>
      <c r="I55" s="25">
        <v>0</v>
      </c>
      <c r="J55" s="25">
        <v>0</v>
      </c>
      <c r="K55" s="25">
        <v>0</v>
      </c>
      <c r="M55" s="25">
        <v>1500388009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8527680</v>
      </c>
      <c r="F67" s="28">
        <v>0</v>
      </c>
      <c r="G67" s="28">
        <v>8527680</v>
      </c>
      <c r="I67" s="28">
        <v>7892640</v>
      </c>
      <c r="J67" s="28">
        <v>650040</v>
      </c>
      <c r="K67" s="28">
        <v>8542680</v>
      </c>
      <c r="M67" s="28">
        <v>-15000</v>
      </c>
    </row>
    <row r="68" spans="2:13" x14ac:dyDescent="0.35">
      <c r="B68" s="31">
        <v>53</v>
      </c>
      <c r="C68" s="29" t="s">
        <v>129</v>
      </c>
      <c r="E68" s="23">
        <v>8527680</v>
      </c>
      <c r="F68" s="23">
        <v>0</v>
      </c>
      <c r="G68" s="23">
        <v>8527680</v>
      </c>
      <c r="I68" s="23">
        <v>7892640</v>
      </c>
      <c r="J68" s="23">
        <v>650040</v>
      </c>
      <c r="K68" s="23">
        <v>8542680</v>
      </c>
      <c r="M68" s="23">
        <v>-15000</v>
      </c>
    </row>
    <row r="69" spans="2:13" x14ac:dyDescent="0.35">
      <c r="B69" s="26"/>
      <c r="C69" s="27" t="s">
        <v>130</v>
      </c>
      <c r="E69" s="28">
        <v>59623763</v>
      </c>
      <c r="F69" s="28">
        <v>0</v>
      </c>
      <c r="G69" s="28">
        <v>59623763</v>
      </c>
      <c r="I69" s="28">
        <v>59623763</v>
      </c>
      <c r="J69" s="28">
        <v>0</v>
      </c>
      <c r="K69" s="28">
        <v>59623763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59623763</v>
      </c>
      <c r="F70" s="25">
        <v>0</v>
      </c>
      <c r="G70" s="25">
        <v>59623763</v>
      </c>
      <c r="I70" s="25">
        <v>59623763</v>
      </c>
      <c r="J70" s="25">
        <v>0</v>
      </c>
      <c r="K70" s="25">
        <v>59623763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BADB83CB-10A7-4B16-88F8-43A79839021E}">
      <formula1>Compadjust</formula1>
    </dataValidation>
    <dataValidation type="list" allowBlank="1" showInputMessage="1" showErrorMessage="1" sqref="J201:J598 K73:M598" xr:uid="{AEDABCF9-8096-4D16-BF54-9E7395ADC307}">
      <formula1>Taxes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59F4-8887-402C-96AC-B5F214D55AF9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x14ac:dyDescent="0.35">
      <c r="C1" s="7" t="s">
        <v>53</v>
      </c>
      <c r="E1" s="9" t="s">
        <v>159</v>
      </c>
      <c r="F1" s="9" t="s">
        <v>160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37260988</v>
      </c>
      <c r="F8" s="20">
        <v>0</v>
      </c>
      <c r="G8" s="20">
        <v>37260988</v>
      </c>
      <c r="I8" s="20">
        <v>10260988</v>
      </c>
      <c r="J8" s="20">
        <v>27000000</v>
      </c>
      <c r="K8" s="20">
        <v>37260988</v>
      </c>
      <c r="M8" s="20">
        <v>0</v>
      </c>
    </row>
    <row r="9" spans="2:13" x14ac:dyDescent="0.35">
      <c r="B9" s="26"/>
      <c r="C9" s="27" t="s">
        <v>70</v>
      </c>
      <c r="E9" s="28">
        <v>32132500</v>
      </c>
      <c r="F9" s="28">
        <v>0</v>
      </c>
      <c r="G9" s="28">
        <v>32132500</v>
      </c>
      <c r="I9" s="28">
        <v>5132500</v>
      </c>
      <c r="J9" s="28">
        <v>27000000</v>
      </c>
      <c r="K9" s="28">
        <v>32132500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12500000</v>
      </c>
      <c r="F12" s="23">
        <v>0</v>
      </c>
      <c r="G12" s="23">
        <v>12500000</v>
      </c>
      <c r="I12" s="23">
        <v>2500000</v>
      </c>
      <c r="J12" s="23">
        <v>10000000</v>
      </c>
      <c r="K12" s="23">
        <v>12500000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19632500</v>
      </c>
      <c r="F14" s="23">
        <v>0</v>
      </c>
      <c r="G14" s="23">
        <v>19632500</v>
      </c>
      <c r="I14" s="23">
        <v>2632500</v>
      </c>
      <c r="J14" s="23">
        <v>17000000</v>
      </c>
      <c r="K14" s="23">
        <v>19632500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5128488</v>
      </c>
      <c r="F35" s="28">
        <v>0</v>
      </c>
      <c r="G35" s="28">
        <v>5128488</v>
      </c>
      <c r="I35" s="28">
        <v>5128488</v>
      </c>
      <c r="J35" s="28">
        <v>0</v>
      </c>
      <c r="K35" s="28">
        <v>5128488</v>
      </c>
      <c r="M35" s="28">
        <v>0</v>
      </c>
    </row>
    <row r="36" spans="2:13" x14ac:dyDescent="0.35">
      <c r="B36" s="31">
        <v>26</v>
      </c>
      <c r="C36" s="29" t="s">
        <v>96</v>
      </c>
      <c r="E36" s="23">
        <v>0</v>
      </c>
      <c r="F36" s="23">
        <v>0</v>
      </c>
      <c r="G36" s="23">
        <v>0</v>
      </c>
      <c r="I36" s="23">
        <v>0</v>
      </c>
      <c r="J36" s="23">
        <v>0</v>
      </c>
      <c r="K36" s="23">
        <v>0</v>
      </c>
      <c r="M36" s="23">
        <v>0</v>
      </c>
    </row>
    <row r="37" spans="2:13" x14ac:dyDescent="0.35">
      <c r="B37" s="32">
        <v>27</v>
      </c>
      <c r="C37" s="30" t="s">
        <v>97</v>
      </c>
      <c r="E37" s="25"/>
      <c r="F37" s="25">
        <v>0</v>
      </c>
      <c r="G37" s="25">
        <v>0</v>
      </c>
      <c r="I37" s="25"/>
      <c r="J37" s="25">
        <v>0</v>
      </c>
      <c r="K37" s="25">
        <v>0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2165427</v>
      </c>
      <c r="F40" s="23">
        <v>0</v>
      </c>
      <c r="G40" s="23">
        <v>2165427</v>
      </c>
      <c r="I40" s="23">
        <v>2165427</v>
      </c>
      <c r="J40" s="23">
        <v>0</v>
      </c>
      <c r="K40" s="23">
        <v>2165427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1486835</v>
      </c>
      <c r="F41" s="25">
        <v>0</v>
      </c>
      <c r="G41" s="25">
        <v>1486835</v>
      </c>
      <c r="I41" s="25">
        <v>1486835</v>
      </c>
      <c r="J41" s="25">
        <v>0</v>
      </c>
      <c r="K41" s="25">
        <v>1486835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1476226</v>
      </c>
      <c r="F43" s="25">
        <v>0</v>
      </c>
      <c r="G43" s="25">
        <v>1476226</v>
      </c>
      <c r="I43" s="25">
        <v>1476226</v>
      </c>
      <c r="J43" s="25">
        <v>0</v>
      </c>
      <c r="K43" s="25">
        <v>1476226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0</v>
      </c>
      <c r="G48" s="23">
        <v>0</v>
      </c>
      <c r="I48" s="23">
        <v>0</v>
      </c>
      <c r="J48" s="23">
        <v>0</v>
      </c>
      <c r="K48" s="23">
        <v>0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0</v>
      </c>
      <c r="F51" s="28">
        <v>0</v>
      </c>
      <c r="G51" s="28">
        <v>0</v>
      </c>
      <c r="I51" s="28">
        <v>0</v>
      </c>
      <c r="J51" s="28">
        <v>0</v>
      </c>
      <c r="K51" s="28">
        <v>0</v>
      </c>
      <c r="M51" s="28">
        <v>0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0</v>
      </c>
      <c r="J52" s="23">
        <v>0</v>
      </c>
      <c r="K52" s="23">
        <v>0</v>
      </c>
      <c r="M52" s="23">
        <v>0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0</v>
      </c>
      <c r="J53" s="25">
        <v>0</v>
      </c>
      <c r="K53" s="25">
        <v>0</v>
      </c>
      <c r="M53" s="25">
        <v>0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43</v>
      </c>
      <c r="C55" s="30" t="s">
        <v>117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</row>
    <row r="68" spans="2:13" x14ac:dyDescent="0.35">
      <c r="B68" s="31">
        <v>53</v>
      </c>
      <c r="C68" s="29" t="s">
        <v>129</v>
      </c>
      <c r="E68" s="23">
        <v>0</v>
      </c>
      <c r="F68" s="23">
        <v>0</v>
      </c>
      <c r="G68" s="23">
        <v>0</v>
      </c>
      <c r="I68" s="23">
        <v>0</v>
      </c>
      <c r="J68" s="23">
        <v>0</v>
      </c>
      <c r="K68" s="23">
        <v>0</v>
      </c>
      <c r="M68" s="23">
        <v>0</v>
      </c>
    </row>
    <row r="69" spans="2:13" x14ac:dyDescent="0.35">
      <c r="B69" s="26"/>
      <c r="C69" s="27" t="s">
        <v>130</v>
      </c>
      <c r="E69" s="28">
        <v>0</v>
      </c>
      <c r="F69" s="28">
        <v>0</v>
      </c>
      <c r="G69" s="28">
        <v>0</v>
      </c>
      <c r="I69" s="28">
        <v>0</v>
      </c>
      <c r="J69" s="28">
        <v>0</v>
      </c>
      <c r="K69" s="28">
        <v>0</v>
      </c>
      <c r="M69" s="28">
        <v>0</v>
      </c>
    </row>
    <row r="70" spans="2:13" x14ac:dyDescent="0.35">
      <c r="B70" s="32">
        <v>54</v>
      </c>
      <c r="C70" s="30" t="s">
        <v>131</v>
      </c>
      <c r="E70" s="25"/>
      <c r="F70" s="25">
        <v>0</v>
      </c>
      <c r="G70" s="25">
        <v>0</v>
      </c>
      <c r="I70" s="25"/>
      <c r="J70" s="25">
        <v>0</v>
      </c>
      <c r="K70" s="25">
        <v>0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1EB31345-9E7B-4860-88DB-7AB1321B3B9D}">
      <formula1>Compadjust</formula1>
    </dataValidation>
    <dataValidation type="list" allowBlank="1" showInputMessage="1" showErrorMessage="1" sqref="J201:J598 K73:M598" xr:uid="{C5457008-02BB-4E0B-94CA-7FB8F60C6229}">
      <formula1>Taxes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FFA2-15E6-41BA-BDB6-109CD9251781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36.75" customHeight="1" x14ac:dyDescent="0.35">
      <c r="C1" s="7" t="s">
        <v>53</v>
      </c>
      <c r="E1" s="9" t="s">
        <v>161</v>
      </c>
      <c r="F1" s="9" t="s">
        <v>162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61197855</v>
      </c>
      <c r="F8" s="20">
        <v>0</v>
      </c>
      <c r="G8" s="20">
        <v>61197855</v>
      </c>
      <c r="I8" s="20">
        <v>53378775</v>
      </c>
      <c r="J8" s="20">
        <v>0</v>
      </c>
      <c r="K8" s="20">
        <v>53378775</v>
      </c>
      <c r="M8" s="20">
        <v>7819080</v>
      </c>
    </row>
    <row r="9" spans="2:13" x14ac:dyDescent="0.35">
      <c r="B9" s="26"/>
      <c r="C9" s="27" t="s">
        <v>70</v>
      </c>
      <c r="E9" s="28">
        <v>2684500</v>
      </c>
      <c r="F9" s="28">
        <v>0</v>
      </c>
      <c r="G9" s="28">
        <v>2684500</v>
      </c>
      <c r="I9" s="28">
        <v>2684500</v>
      </c>
      <c r="J9" s="28">
        <v>0</v>
      </c>
      <c r="K9" s="28">
        <v>2684500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2500000</v>
      </c>
      <c r="F12" s="23">
        <v>0</v>
      </c>
      <c r="G12" s="23">
        <v>2500000</v>
      </c>
      <c r="I12" s="23">
        <v>2500000</v>
      </c>
      <c r="J12" s="23">
        <v>0</v>
      </c>
      <c r="K12" s="23">
        <v>2500000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184500</v>
      </c>
      <c r="F14" s="23">
        <v>0</v>
      </c>
      <c r="G14" s="23">
        <v>184500</v>
      </c>
      <c r="I14" s="23">
        <v>184500</v>
      </c>
      <c r="J14" s="23">
        <v>0</v>
      </c>
      <c r="K14" s="23">
        <v>184500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41767900</v>
      </c>
      <c r="F35" s="28">
        <v>0</v>
      </c>
      <c r="G35" s="28">
        <v>41767900</v>
      </c>
      <c r="I35" s="28">
        <v>38267898</v>
      </c>
      <c r="J35" s="28">
        <v>0</v>
      </c>
      <c r="K35" s="28">
        <v>38267898</v>
      </c>
      <c r="M35" s="28">
        <v>3500002</v>
      </c>
    </row>
    <row r="36" spans="2:13" x14ac:dyDescent="0.35">
      <c r="B36" s="31">
        <v>26</v>
      </c>
      <c r="C36" s="29" t="s">
        <v>96</v>
      </c>
      <c r="E36" s="23">
        <v>0</v>
      </c>
      <c r="F36" s="23">
        <v>0</v>
      </c>
      <c r="G36" s="23">
        <v>0</v>
      </c>
      <c r="I36" s="23">
        <v>0</v>
      </c>
      <c r="J36" s="23">
        <v>0</v>
      </c>
      <c r="K36" s="23">
        <v>0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36903166</v>
      </c>
      <c r="F37" s="25">
        <v>0</v>
      </c>
      <c r="G37" s="25">
        <v>36903166</v>
      </c>
      <c r="I37" s="25">
        <v>37403164</v>
      </c>
      <c r="J37" s="25">
        <v>0</v>
      </c>
      <c r="K37" s="25">
        <v>37403164</v>
      </c>
      <c r="M37" s="25">
        <v>-499998</v>
      </c>
    </row>
    <row r="38" spans="2:13" x14ac:dyDescent="0.35">
      <c r="B38" s="31">
        <v>28</v>
      </c>
      <c r="C38" s="29" t="s">
        <v>98</v>
      </c>
      <c r="E38" s="23">
        <v>4000000</v>
      </c>
      <c r="F38" s="23">
        <v>0</v>
      </c>
      <c r="G38" s="23">
        <v>4000000</v>
      </c>
      <c r="I38" s="23">
        <v>0</v>
      </c>
      <c r="J38" s="23">
        <v>0</v>
      </c>
      <c r="K38" s="23">
        <v>0</v>
      </c>
      <c r="M38" s="23">
        <v>4000000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500000</v>
      </c>
      <c r="F40" s="23">
        <v>0</v>
      </c>
      <c r="G40" s="23">
        <v>500000</v>
      </c>
      <c r="I40" s="23">
        <v>500000</v>
      </c>
      <c r="J40" s="23">
        <v>0</v>
      </c>
      <c r="K40" s="23">
        <v>500000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220942</v>
      </c>
      <c r="F41" s="25">
        <v>0</v>
      </c>
      <c r="G41" s="25">
        <v>220942</v>
      </c>
      <c r="I41" s="25">
        <v>220942</v>
      </c>
      <c r="J41" s="25">
        <v>0</v>
      </c>
      <c r="K41" s="25">
        <v>220942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143792</v>
      </c>
      <c r="F43" s="25">
        <v>0</v>
      </c>
      <c r="G43" s="25">
        <v>143792</v>
      </c>
      <c r="I43" s="25">
        <v>143792</v>
      </c>
      <c r="J43" s="25">
        <v>0</v>
      </c>
      <c r="K43" s="25">
        <v>143792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0</v>
      </c>
      <c r="G48" s="23">
        <v>0</v>
      </c>
      <c r="I48" s="23">
        <v>0</v>
      </c>
      <c r="J48" s="23">
        <v>0</v>
      </c>
      <c r="K48" s="23">
        <v>0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1288720</v>
      </c>
      <c r="F51" s="28">
        <v>0</v>
      </c>
      <c r="G51" s="28">
        <v>1288720</v>
      </c>
      <c r="I51" s="28">
        <v>969640</v>
      </c>
      <c r="J51" s="28">
        <v>0</v>
      </c>
      <c r="K51" s="28">
        <v>969640</v>
      </c>
      <c r="M51" s="28">
        <v>319080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69997</v>
      </c>
      <c r="J52" s="23">
        <v>0</v>
      </c>
      <c r="K52" s="23">
        <v>69997</v>
      </c>
      <c r="M52" s="23">
        <v>-69997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254823</v>
      </c>
      <c r="J53" s="25">
        <v>0</v>
      </c>
      <c r="K53" s="25">
        <v>254823</v>
      </c>
      <c r="M53" s="25">
        <v>-254823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318529</v>
      </c>
      <c r="J54" s="23">
        <v>0</v>
      </c>
      <c r="K54" s="23">
        <v>318529</v>
      </c>
      <c r="M54" s="23">
        <v>-318529</v>
      </c>
    </row>
    <row r="55" spans="2:13" x14ac:dyDescent="0.35">
      <c r="B55" s="32">
        <v>43</v>
      </c>
      <c r="C55" s="30" t="s">
        <v>117</v>
      </c>
      <c r="E55" s="25">
        <v>1288720</v>
      </c>
      <c r="F55" s="25">
        <v>0</v>
      </c>
      <c r="G55" s="25">
        <v>1288720</v>
      </c>
      <c r="I55" s="25">
        <v>51350</v>
      </c>
      <c r="J55" s="25">
        <v>0</v>
      </c>
      <c r="K55" s="25">
        <v>51350</v>
      </c>
      <c r="M55" s="25">
        <v>1237370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159265</v>
      </c>
      <c r="J56" s="23">
        <v>0</v>
      </c>
      <c r="K56" s="23">
        <v>159265</v>
      </c>
      <c r="M56" s="23">
        <v>-159265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115676</v>
      </c>
      <c r="J57" s="25">
        <v>0</v>
      </c>
      <c r="K57" s="25">
        <v>115676</v>
      </c>
      <c r="M57" s="25">
        <v>-115676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4000000</v>
      </c>
      <c r="F64" s="28">
        <v>0</v>
      </c>
      <c r="G64" s="28">
        <v>4000000</v>
      </c>
      <c r="I64" s="28">
        <v>0</v>
      </c>
      <c r="J64" s="28">
        <v>0</v>
      </c>
      <c r="K64" s="28">
        <v>0</v>
      </c>
      <c r="M64" s="28">
        <v>4000000</v>
      </c>
    </row>
    <row r="65" spans="2:13" x14ac:dyDescent="0.35">
      <c r="B65" s="31">
        <v>51</v>
      </c>
      <c r="C65" s="29" t="s">
        <v>127</v>
      </c>
      <c r="E65" s="23">
        <v>4000000</v>
      </c>
      <c r="F65" s="23">
        <v>0</v>
      </c>
      <c r="G65" s="23">
        <v>4000000</v>
      </c>
      <c r="I65" s="23">
        <v>0</v>
      </c>
      <c r="J65" s="23">
        <v>0</v>
      </c>
      <c r="K65" s="23">
        <v>0</v>
      </c>
      <c r="M65" s="23">
        <v>4000000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786240</v>
      </c>
      <c r="F67" s="28">
        <v>0</v>
      </c>
      <c r="G67" s="28">
        <v>786240</v>
      </c>
      <c r="I67" s="28">
        <v>786240</v>
      </c>
      <c r="J67" s="28">
        <v>0</v>
      </c>
      <c r="K67" s="28">
        <v>786240</v>
      </c>
      <c r="M67" s="28">
        <v>0</v>
      </c>
    </row>
    <row r="68" spans="2:13" x14ac:dyDescent="0.35">
      <c r="B68" s="31">
        <v>53</v>
      </c>
      <c r="C68" s="29" t="s">
        <v>129</v>
      </c>
      <c r="E68" s="23">
        <v>786240</v>
      </c>
      <c r="F68" s="23">
        <v>0</v>
      </c>
      <c r="G68" s="23">
        <v>786240</v>
      </c>
      <c r="I68" s="23">
        <v>786240</v>
      </c>
      <c r="J68" s="23">
        <v>0</v>
      </c>
      <c r="K68" s="23">
        <v>786240</v>
      </c>
      <c r="M68" s="23">
        <v>0</v>
      </c>
    </row>
    <row r="69" spans="2:13" x14ac:dyDescent="0.35">
      <c r="B69" s="26"/>
      <c r="C69" s="27" t="s">
        <v>130</v>
      </c>
      <c r="E69" s="28">
        <v>10670495</v>
      </c>
      <c r="F69" s="28">
        <v>0</v>
      </c>
      <c r="G69" s="28">
        <v>10670495</v>
      </c>
      <c r="I69" s="28">
        <v>10670497</v>
      </c>
      <c r="J69" s="28">
        <v>0</v>
      </c>
      <c r="K69" s="28">
        <v>10670497</v>
      </c>
      <c r="M69" s="28">
        <v>-2</v>
      </c>
    </row>
    <row r="70" spans="2:13" x14ac:dyDescent="0.35">
      <c r="B70" s="32">
        <v>54</v>
      </c>
      <c r="C70" s="30" t="s">
        <v>131</v>
      </c>
      <c r="E70" s="25">
        <v>10670495</v>
      </c>
      <c r="F70" s="25">
        <v>0</v>
      </c>
      <c r="G70" s="25">
        <v>10670495</v>
      </c>
      <c r="I70" s="25">
        <v>10670497</v>
      </c>
      <c r="J70" s="25">
        <v>0</v>
      </c>
      <c r="K70" s="25">
        <v>10670497</v>
      </c>
      <c r="M70" s="25">
        <v>-2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>
        <v>0</v>
      </c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74145787-2A75-43E4-922D-C15D2B9FA787}">
      <formula1>Compadjust</formula1>
    </dataValidation>
    <dataValidation type="list" allowBlank="1" showInputMessage="1" showErrorMessage="1" sqref="J201:J598 K73:M598" xr:uid="{BB5B6493-0604-410F-B836-11FE33D05B51}">
      <formula1>Taxes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DB4E-6E3C-4994-A76B-8EDB749B67FA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31.5" x14ac:dyDescent="0.35">
      <c r="C1" s="7" t="s">
        <v>53</v>
      </c>
      <c r="E1" s="9" t="s">
        <v>163</v>
      </c>
      <c r="F1" s="9" t="s">
        <v>164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3955474509</v>
      </c>
      <c r="F8" s="20">
        <v>-36000000</v>
      </c>
      <c r="G8" s="20">
        <v>3919474509</v>
      </c>
      <c r="I8" s="20">
        <v>3596287516</v>
      </c>
      <c r="J8" s="20">
        <v>152901249</v>
      </c>
      <c r="K8" s="20">
        <v>3749188765</v>
      </c>
      <c r="M8" s="20">
        <v>170285744</v>
      </c>
    </row>
    <row r="9" spans="2:13" x14ac:dyDescent="0.35">
      <c r="B9" s="26"/>
      <c r="C9" s="27" t="s">
        <v>70</v>
      </c>
      <c r="E9" s="28">
        <v>356471472</v>
      </c>
      <c r="F9" s="28">
        <v>0</v>
      </c>
      <c r="G9" s="28">
        <v>356471472</v>
      </c>
      <c r="I9" s="28">
        <v>76607459</v>
      </c>
      <c r="J9" s="28">
        <v>16796701</v>
      </c>
      <c r="K9" s="28">
        <v>93404160</v>
      </c>
      <c r="M9" s="28">
        <v>263067312</v>
      </c>
    </row>
    <row r="10" spans="2:13" x14ac:dyDescent="0.35">
      <c r="B10" s="21">
        <v>3</v>
      </c>
      <c r="C10" s="29" t="s">
        <v>71</v>
      </c>
      <c r="E10" s="23">
        <v>341359572</v>
      </c>
      <c r="F10" s="23">
        <v>0</v>
      </c>
      <c r="G10" s="23">
        <v>341359572</v>
      </c>
      <c r="I10" s="23">
        <v>76607459</v>
      </c>
      <c r="J10" s="23">
        <v>1684801</v>
      </c>
      <c r="K10" s="23">
        <v>78292260</v>
      </c>
      <c r="M10" s="23">
        <v>263067312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15111900</v>
      </c>
      <c r="F14" s="23">
        <v>0</v>
      </c>
      <c r="G14" s="23">
        <v>15111900</v>
      </c>
      <c r="I14" s="23">
        <v>0</v>
      </c>
      <c r="J14" s="23">
        <v>15111900</v>
      </c>
      <c r="K14" s="23">
        <v>15111900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136104548</v>
      </c>
      <c r="F24" s="28">
        <v>0</v>
      </c>
      <c r="G24" s="28">
        <v>136104548</v>
      </c>
      <c r="I24" s="28">
        <v>0</v>
      </c>
      <c r="J24" s="28">
        <v>136104548</v>
      </c>
      <c r="K24" s="28">
        <v>136104548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136104548</v>
      </c>
      <c r="F34" s="25">
        <v>0</v>
      </c>
      <c r="G34" s="25">
        <v>136104548</v>
      </c>
      <c r="I34" s="25">
        <v>0</v>
      </c>
      <c r="J34" s="25">
        <v>136104548</v>
      </c>
      <c r="K34" s="25">
        <v>136104548</v>
      </c>
      <c r="M34" s="25">
        <v>0</v>
      </c>
    </row>
    <row r="35" spans="2:13" x14ac:dyDescent="0.35">
      <c r="B35" s="26"/>
      <c r="C35" s="27" t="s">
        <v>95</v>
      </c>
      <c r="E35" s="28">
        <v>3055877541</v>
      </c>
      <c r="F35" s="28">
        <v>0</v>
      </c>
      <c r="G35" s="28">
        <v>3055877541</v>
      </c>
      <c r="I35" s="28">
        <v>3044710034</v>
      </c>
      <c r="J35" s="28">
        <v>0</v>
      </c>
      <c r="K35" s="28">
        <v>3044710034</v>
      </c>
      <c r="M35" s="28">
        <v>11167507</v>
      </c>
    </row>
    <row r="36" spans="2:13" x14ac:dyDescent="0.35">
      <c r="B36" s="31">
        <v>26</v>
      </c>
      <c r="C36" s="29" t="s">
        <v>96</v>
      </c>
      <c r="E36" s="23">
        <v>128578499</v>
      </c>
      <c r="F36" s="23">
        <v>0</v>
      </c>
      <c r="G36" s="23">
        <v>128578499</v>
      </c>
      <c r="I36" s="23">
        <v>118578499</v>
      </c>
      <c r="J36" s="23">
        <v>0</v>
      </c>
      <c r="K36" s="23">
        <v>118578499</v>
      </c>
      <c r="M36" s="23">
        <v>10000000</v>
      </c>
    </row>
    <row r="37" spans="2:13" x14ac:dyDescent="0.35">
      <c r="B37" s="32">
        <v>27</v>
      </c>
      <c r="C37" s="30" t="s">
        <v>97</v>
      </c>
      <c r="E37" s="25">
        <v>186520712</v>
      </c>
      <c r="F37" s="25">
        <v>0</v>
      </c>
      <c r="G37" s="25">
        <v>186520712</v>
      </c>
      <c r="I37" s="25">
        <v>186520712</v>
      </c>
      <c r="J37" s="25">
        <v>0</v>
      </c>
      <c r="K37" s="25">
        <v>186520712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2330765545</v>
      </c>
      <c r="F40" s="23">
        <v>0</v>
      </c>
      <c r="G40" s="23">
        <v>2330765545</v>
      </c>
      <c r="I40" s="23">
        <v>2330765545</v>
      </c>
      <c r="J40" s="23">
        <v>0</v>
      </c>
      <c r="K40" s="23">
        <v>2330765545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0</v>
      </c>
      <c r="F41" s="25">
        <v>0</v>
      </c>
      <c r="G41" s="25">
        <v>0</v>
      </c>
      <c r="I41" s="25">
        <v>0</v>
      </c>
      <c r="J41" s="25">
        <v>0</v>
      </c>
      <c r="K41" s="25">
        <v>0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398380081</v>
      </c>
      <c r="F42" s="23">
        <v>0</v>
      </c>
      <c r="G42" s="23">
        <v>398380081</v>
      </c>
      <c r="I42" s="23">
        <v>398380081</v>
      </c>
      <c r="J42" s="23">
        <v>0</v>
      </c>
      <c r="K42" s="23">
        <v>398380081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11632704</v>
      </c>
      <c r="F43" s="25">
        <v>0</v>
      </c>
      <c r="G43" s="25">
        <v>11632704</v>
      </c>
      <c r="I43" s="25">
        <v>8750637</v>
      </c>
      <c r="J43" s="25">
        <v>0</v>
      </c>
      <c r="K43" s="25">
        <v>8750637</v>
      </c>
      <c r="M43" s="25">
        <v>2882067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0</v>
      </c>
      <c r="G48" s="23">
        <v>0</v>
      </c>
      <c r="I48" s="23">
        <v>1714560</v>
      </c>
      <c r="J48" s="23">
        <v>0</v>
      </c>
      <c r="K48" s="23">
        <v>1714560</v>
      </c>
      <c r="M48" s="23">
        <v>-1714560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187950068</v>
      </c>
      <c r="F51" s="28">
        <v>0</v>
      </c>
      <c r="G51" s="28">
        <v>187950068</v>
      </c>
      <c r="I51" s="28">
        <v>291635999</v>
      </c>
      <c r="J51" s="28">
        <v>0</v>
      </c>
      <c r="K51" s="28">
        <v>291635999</v>
      </c>
      <c r="M51" s="28">
        <v>-103685931</v>
      </c>
    </row>
    <row r="52" spans="2:13" x14ac:dyDescent="0.35">
      <c r="B52" s="31">
        <v>40</v>
      </c>
      <c r="C52" s="29" t="s">
        <v>114</v>
      </c>
      <c r="E52" s="23">
        <v>109774558</v>
      </c>
      <c r="F52" s="23">
        <v>0</v>
      </c>
      <c r="G52" s="23">
        <v>109774558</v>
      </c>
      <c r="I52" s="23">
        <v>187755427</v>
      </c>
      <c r="J52" s="23">
        <v>0</v>
      </c>
      <c r="K52" s="23">
        <v>187755427</v>
      </c>
      <c r="M52" s="23">
        <v>-77980869</v>
      </c>
    </row>
    <row r="53" spans="2:13" x14ac:dyDescent="0.35">
      <c r="B53" s="32">
        <v>41</v>
      </c>
      <c r="C53" s="30" t="s">
        <v>115</v>
      </c>
      <c r="E53" s="25">
        <v>4410776</v>
      </c>
      <c r="F53" s="25">
        <v>0</v>
      </c>
      <c r="G53" s="25">
        <v>4410776</v>
      </c>
      <c r="I53" s="25">
        <v>7651558</v>
      </c>
      <c r="J53" s="25">
        <v>0</v>
      </c>
      <c r="K53" s="25">
        <v>7651558</v>
      </c>
      <c r="M53" s="25">
        <v>-3240782</v>
      </c>
    </row>
    <row r="54" spans="2:13" x14ac:dyDescent="0.35">
      <c r="B54" s="31">
        <v>42</v>
      </c>
      <c r="C54" s="29" t="s">
        <v>116</v>
      </c>
      <c r="E54" s="23">
        <v>5514606</v>
      </c>
      <c r="F54" s="23">
        <v>0</v>
      </c>
      <c r="G54" s="23">
        <v>5514606</v>
      </c>
      <c r="I54" s="23">
        <v>9564458</v>
      </c>
      <c r="J54" s="23">
        <v>0</v>
      </c>
      <c r="K54" s="23">
        <v>9564458</v>
      </c>
      <c r="M54" s="23">
        <v>-4049852</v>
      </c>
    </row>
    <row r="55" spans="2:13" x14ac:dyDescent="0.35">
      <c r="B55" s="32">
        <v>43</v>
      </c>
      <c r="C55" s="30" t="s">
        <v>117</v>
      </c>
      <c r="E55" s="25">
        <v>63074533</v>
      </c>
      <c r="F55" s="25">
        <v>0</v>
      </c>
      <c r="G55" s="25">
        <v>63074533</v>
      </c>
      <c r="I55" s="25">
        <v>77686098</v>
      </c>
      <c r="J55" s="25">
        <v>0</v>
      </c>
      <c r="K55" s="25">
        <v>77686098</v>
      </c>
      <c r="M55" s="25">
        <v>-14611565</v>
      </c>
    </row>
    <row r="56" spans="2:13" x14ac:dyDescent="0.35">
      <c r="B56" s="31">
        <v>44</v>
      </c>
      <c r="C56" s="29" t="s">
        <v>118</v>
      </c>
      <c r="E56" s="23">
        <v>3037102</v>
      </c>
      <c r="F56" s="23">
        <v>0</v>
      </c>
      <c r="G56" s="23">
        <v>3037102</v>
      </c>
      <c r="I56" s="23">
        <v>4782223</v>
      </c>
      <c r="J56" s="23">
        <v>0</v>
      </c>
      <c r="K56" s="23">
        <v>4782223</v>
      </c>
      <c r="M56" s="23">
        <v>-1745121</v>
      </c>
    </row>
    <row r="57" spans="2:13" x14ac:dyDescent="0.35">
      <c r="B57" s="32">
        <v>45</v>
      </c>
      <c r="C57" s="30" t="s">
        <v>119</v>
      </c>
      <c r="E57" s="25">
        <v>2138493</v>
      </c>
      <c r="F57" s="25">
        <v>0</v>
      </c>
      <c r="G57" s="25">
        <v>2138493</v>
      </c>
      <c r="I57" s="25">
        <v>3687194</v>
      </c>
      <c r="J57" s="25">
        <v>0</v>
      </c>
      <c r="K57" s="25">
        <v>3687194</v>
      </c>
      <c r="M57" s="25">
        <v>-1548701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509041</v>
      </c>
      <c r="J58" s="23">
        <v>0</v>
      </c>
      <c r="K58" s="23">
        <v>509041</v>
      </c>
      <c r="M58" s="23">
        <v>-509041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82922350</v>
      </c>
      <c r="F67" s="28">
        <v>-36000000</v>
      </c>
      <c r="G67" s="28">
        <v>46922350</v>
      </c>
      <c r="I67" s="28">
        <v>46922350</v>
      </c>
      <c r="J67" s="28">
        <v>0</v>
      </c>
      <c r="K67" s="28">
        <v>46922350</v>
      </c>
      <c r="M67" s="28">
        <v>0</v>
      </c>
    </row>
    <row r="68" spans="2:13" x14ac:dyDescent="0.35">
      <c r="B68" s="31">
        <v>53</v>
      </c>
      <c r="C68" s="29" t="s">
        <v>129</v>
      </c>
      <c r="E68" s="23">
        <v>82922350</v>
      </c>
      <c r="F68" s="23">
        <v>-36000000</v>
      </c>
      <c r="G68" s="23">
        <v>46922350</v>
      </c>
      <c r="I68" s="23">
        <v>46922350</v>
      </c>
      <c r="J68" s="23">
        <v>0</v>
      </c>
      <c r="K68" s="23">
        <v>46922350</v>
      </c>
      <c r="M68" s="23">
        <v>0</v>
      </c>
    </row>
    <row r="69" spans="2:13" x14ac:dyDescent="0.35">
      <c r="B69" s="26"/>
      <c r="C69" s="27" t="s">
        <v>130</v>
      </c>
      <c r="E69" s="28">
        <v>136148530</v>
      </c>
      <c r="F69" s="28">
        <v>0</v>
      </c>
      <c r="G69" s="28">
        <v>136148530</v>
      </c>
      <c r="I69" s="28">
        <v>136411674</v>
      </c>
      <c r="J69" s="28">
        <v>0</v>
      </c>
      <c r="K69" s="28">
        <v>136411674</v>
      </c>
      <c r="M69" s="28">
        <v>-263144</v>
      </c>
    </row>
    <row r="70" spans="2:13" x14ac:dyDescent="0.35">
      <c r="B70" s="32">
        <v>54</v>
      </c>
      <c r="C70" s="30" t="s">
        <v>131</v>
      </c>
      <c r="E70" s="25">
        <v>136148530</v>
      </c>
      <c r="F70" s="25">
        <v>0</v>
      </c>
      <c r="G70" s="25">
        <v>136148530</v>
      </c>
      <c r="I70" s="25">
        <v>136411674</v>
      </c>
      <c r="J70" s="25">
        <v>0</v>
      </c>
      <c r="K70" s="25">
        <v>136411674</v>
      </c>
      <c r="M70" s="25">
        <v>-263144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>
        <v>0</v>
      </c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F0B6A972-6DED-4A4B-8339-9862D0658862}">
      <formula1>Compadjust</formula1>
    </dataValidation>
    <dataValidation type="list" allowBlank="1" showInputMessage="1" showErrorMessage="1" sqref="J201:J598 K73:M598" xr:uid="{5C862493-FCE8-4FED-9934-8A6FE513A5E8}">
      <formula1>Taxes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0F26-DA93-4B9D-9776-1D9BBD81022C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25.5" customHeight="1" x14ac:dyDescent="0.35">
      <c r="C1" s="7" t="s">
        <v>53</v>
      </c>
      <c r="E1" s="9" t="s">
        <v>165</v>
      </c>
      <c r="F1" s="9" t="s">
        <v>166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3862156681</v>
      </c>
      <c r="F8" s="20">
        <v>655485560</v>
      </c>
      <c r="G8" s="20">
        <v>4517642241</v>
      </c>
      <c r="I8" s="20">
        <v>4387504571</v>
      </c>
      <c r="J8" s="20">
        <v>147978251</v>
      </c>
      <c r="K8" s="20">
        <v>4535482822</v>
      </c>
      <c r="M8" s="20">
        <v>-17840581</v>
      </c>
    </row>
    <row r="9" spans="2:13" x14ac:dyDescent="0.35">
      <c r="B9" s="26"/>
      <c r="C9" s="27" t="s">
        <v>70</v>
      </c>
      <c r="E9" s="28">
        <v>785710009</v>
      </c>
      <c r="F9" s="28">
        <v>-68605632</v>
      </c>
      <c r="G9" s="28">
        <v>717104377</v>
      </c>
      <c r="I9" s="28">
        <v>0</v>
      </c>
      <c r="J9" s="28">
        <v>455173707</v>
      </c>
      <c r="K9" s="28">
        <v>455173707</v>
      </c>
      <c r="M9" s="28">
        <v>261930670</v>
      </c>
    </row>
    <row r="10" spans="2:13" x14ac:dyDescent="0.35">
      <c r="B10" s="21">
        <v>3</v>
      </c>
      <c r="C10" s="29" t="s">
        <v>71</v>
      </c>
      <c r="E10" s="23">
        <v>785710009</v>
      </c>
      <c r="F10" s="23">
        <v>-68605632</v>
      </c>
      <c r="G10" s="23">
        <v>717104377</v>
      </c>
      <c r="I10" s="23">
        <v>0</v>
      </c>
      <c r="J10" s="23">
        <v>455173707</v>
      </c>
      <c r="K10" s="23">
        <v>455173707</v>
      </c>
      <c r="M10" s="23">
        <v>261930670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131712055</v>
      </c>
      <c r="F24" s="28">
        <v>0</v>
      </c>
      <c r="G24" s="28">
        <v>131712055</v>
      </c>
      <c r="I24" s="28">
        <v>0</v>
      </c>
      <c r="J24" s="28">
        <v>2297673</v>
      </c>
      <c r="K24" s="28">
        <v>2297673</v>
      </c>
      <c r="M24" s="28">
        <v>129414382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131712055</v>
      </c>
      <c r="F34" s="25">
        <v>0</v>
      </c>
      <c r="G34" s="25">
        <v>131712055</v>
      </c>
      <c r="I34" s="25">
        <v>0</v>
      </c>
      <c r="J34" s="25">
        <v>2297673</v>
      </c>
      <c r="K34" s="25">
        <v>2297673</v>
      </c>
      <c r="M34" s="25">
        <v>129414382</v>
      </c>
    </row>
    <row r="35" spans="2:13" x14ac:dyDescent="0.35">
      <c r="B35" s="26"/>
      <c r="C35" s="27" t="s">
        <v>95</v>
      </c>
      <c r="E35" s="28">
        <v>2827441384</v>
      </c>
      <c r="F35" s="28">
        <v>720514842</v>
      </c>
      <c r="G35" s="28">
        <v>3547956226</v>
      </c>
      <c r="I35" s="28">
        <v>3548374546</v>
      </c>
      <c r="J35" s="28">
        <v>0</v>
      </c>
      <c r="K35" s="28">
        <v>3548374546</v>
      </c>
      <c r="M35" s="28">
        <v>-418320</v>
      </c>
    </row>
    <row r="36" spans="2:13" x14ac:dyDescent="0.35">
      <c r="B36" s="31">
        <v>26</v>
      </c>
      <c r="C36" s="29" t="s">
        <v>96</v>
      </c>
      <c r="E36" s="23">
        <v>72076514</v>
      </c>
      <c r="F36" s="23">
        <v>704638</v>
      </c>
      <c r="G36" s="23">
        <v>72781152</v>
      </c>
      <c r="I36" s="23">
        <v>72781152</v>
      </c>
      <c r="J36" s="23">
        <v>0</v>
      </c>
      <c r="K36" s="23">
        <v>72781152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94450583</v>
      </c>
      <c r="F37" s="25">
        <v>0</v>
      </c>
      <c r="G37" s="25">
        <v>94450583</v>
      </c>
      <c r="I37" s="25">
        <v>94450583</v>
      </c>
      <c r="J37" s="25">
        <v>0</v>
      </c>
      <c r="K37" s="25">
        <v>94450583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603805523</v>
      </c>
      <c r="G38" s="23">
        <v>603805523</v>
      </c>
      <c r="I38" s="23">
        <v>603805523</v>
      </c>
      <c r="J38" s="23">
        <v>0</v>
      </c>
      <c r="K38" s="23">
        <v>603805523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2657021100</v>
      </c>
      <c r="F40" s="23">
        <v>0</v>
      </c>
      <c r="G40" s="23">
        <v>2657021100</v>
      </c>
      <c r="I40" s="23">
        <v>2657021100</v>
      </c>
      <c r="J40" s="23">
        <v>0</v>
      </c>
      <c r="K40" s="23">
        <v>2657021100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0</v>
      </c>
      <c r="F41" s="25">
        <v>68605632</v>
      </c>
      <c r="G41" s="25">
        <v>68605632</v>
      </c>
      <c r="I41" s="25">
        <v>68605632</v>
      </c>
      <c r="J41" s="25">
        <v>0</v>
      </c>
      <c r="K41" s="25">
        <v>68605632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3893187</v>
      </c>
      <c r="F43" s="25">
        <v>0</v>
      </c>
      <c r="G43" s="25">
        <v>3893187</v>
      </c>
      <c r="I43" s="25">
        <v>4311507</v>
      </c>
      <c r="J43" s="25">
        <v>0</v>
      </c>
      <c r="K43" s="25">
        <v>4311507</v>
      </c>
      <c r="M43" s="25">
        <v>-418320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47399049</v>
      </c>
      <c r="G48" s="23">
        <v>47399049</v>
      </c>
      <c r="I48" s="23">
        <v>47399049</v>
      </c>
      <c r="J48" s="23">
        <v>0</v>
      </c>
      <c r="K48" s="23">
        <v>47399049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0</v>
      </c>
      <c r="F51" s="28">
        <v>0</v>
      </c>
      <c r="G51" s="28">
        <v>0</v>
      </c>
      <c r="I51" s="28">
        <v>414840650</v>
      </c>
      <c r="J51" s="28">
        <v>0</v>
      </c>
      <c r="K51" s="28">
        <v>414840650</v>
      </c>
      <c r="M51" s="28">
        <v>-414840650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254245872</v>
      </c>
      <c r="J52" s="23">
        <v>0</v>
      </c>
      <c r="K52" s="23">
        <v>254245872</v>
      </c>
      <c r="M52" s="23">
        <v>-254245872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20188742</v>
      </c>
      <c r="J53" s="25">
        <v>0</v>
      </c>
      <c r="K53" s="25">
        <v>20188742</v>
      </c>
      <c r="M53" s="25">
        <v>-20188742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25235930</v>
      </c>
      <c r="J54" s="23">
        <v>0</v>
      </c>
      <c r="K54" s="23">
        <v>25235930</v>
      </c>
      <c r="M54" s="23">
        <v>-25235930</v>
      </c>
    </row>
    <row r="55" spans="2:13" x14ac:dyDescent="0.35">
      <c r="B55" s="32">
        <v>43</v>
      </c>
      <c r="C55" s="30" t="s">
        <v>117</v>
      </c>
      <c r="E55" s="25">
        <v>0</v>
      </c>
      <c r="F55" s="25">
        <v>0</v>
      </c>
      <c r="G55" s="25">
        <v>0</v>
      </c>
      <c r="I55" s="25">
        <v>93352383</v>
      </c>
      <c r="J55" s="25">
        <v>0</v>
      </c>
      <c r="K55" s="25">
        <v>93352383</v>
      </c>
      <c r="M55" s="25">
        <v>-93352383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12617974</v>
      </c>
      <c r="J56" s="23">
        <v>0</v>
      </c>
      <c r="K56" s="23">
        <v>12617974</v>
      </c>
      <c r="M56" s="23">
        <v>-12617974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9199749</v>
      </c>
      <c r="J57" s="25">
        <v>0</v>
      </c>
      <c r="K57" s="25">
        <v>9199749</v>
      </c>
      <c r="M57" s="25">
        <v>-9199749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3576350</v>
      </c>
      <c r="G60" s="28">
        <v>3576350</v>
      </c>
      <c r="I60" s="28">
        <v>3576350</v>
      </c>
      <c r="J60" s="28">
        <v>0</v>
      </c>
      <c r="K60" s="28">
        <v>3576350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3576350</v>
      </c>
      <c r="G61" s="23">
        <v>3576350</v>
      </c>
      <c r="I61" s="23">
        <v>3576350</v>
      </c>
      <c r="J61" s="23">
        <v>0</v>
      </c>
      <c r="K61" s="23">
        <v>3576350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23701577</v>
      </c>
      <c r="F67" s="28">
        <v>0</v>
      </c>
      <c r="G67" s="28">
        <v>23701577</v>
      </c>
      <c r="I67" s="28">
        <v>21447161</v>
      </c>
      <c r="J67" s="28">
        <v>0</v>
      </c>
      <c r="K67" s="28">
        <v>21447161</v>
      </c>
      <c r="M67" s="28">
        <v>2254416</v>
      </c>
    </row>
    <row r="68" spans="2:13" x14ac:dyDescent="0.35">
      <c r="B68" s="31">
        <v>53</v>
      </c>
      <c r="C68" s="29" t="s">
        <v>129</v>
      </c>
      <c r="E68" s="23">
        <v>23701577</v>
      </c>
      <c r="F68" s="23">
        <v>0</v>
      </c>
      <c r="G68" s="23">
        <v>23701577</v>
      </c>
      <c r="I68" s="23">
        <v>21447161</v>
      </c>
      <c r="J68" s="23">
        <v>0</v>
      </c>
      <c r="K68" s="23">
        <v>21447161</v>
      </c>
      <c r="M68" s="23">
        <v>2254416</v>
      </c>
    </row>
    <row r="69" spans="2:13" x14ac:dyDescent="0.35">
      <c r="B69" s="26"/>
      <c r="C69" s="27" t="s">
        <v>130</v>
      </c>
      <c r="E69" s="28">
        <v>93591656</v>
      </c>
      <c r="F69" s="28">
        <v>0</v>
      </c>
      <c r="G69" s="28">
        <v>93591656</v>
      </c>
      <c r="I69" s="28">
        <v>89437973</v>
      </c>
      <c r="J69" s="28">
        <v>0</v>
      </c>
      <c r="K69" s="28">
        <v>89437973</v>
      </c>
      <c r="M69" s="28">
        <v>4153683</v>
      </c>
    </row>
    <row r="70" spans="2:13" x14ac:dyDescent="0.35">
      <c r="B70" s="32">
        <v>54</v>
      </c>
      <c r="C70" s="30" t="s">
        <v>131</v>
      </c>
      <c r="E70" s="25">
        <v>93591656</v>
      </c>
      <c r="F70" s="25">
        <v>0</v>
      </c>
      <c r="G70" s="25">
        <v>93591656</v>
      </c>
      <c r="I70" s="25">
        <v>89437973</v>
      </c>
      <c r="J70" s="25">
        <v>0</v>
      </c>
      <c r="K70" s="25">
        <v>89437973</v>
      </c>
      <c r="M70" s="25">
        <v>4153683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309827891</v>
      </c>
      <c r="J71" s="28">
        <v>-309493129</v>
      </c>
      <c r="K71" s="28">
        <v>334762</v>
      </c>
      <c r="M71" s="28">
        <v>-334762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>
        <v>309827891</v>
      </c>
      <c r="J72" s="23">
        <v>-309493129</v>
      </c>
      <c r="K72" s="23">
        <v>334762</v>
      </c>
      <c r="M72" s="23">
        <v>-334762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577AF921-0BF8-4D27-AF1D-C82EA149C791}">
      <formula1>Compadjust</formula1>
    </dataValidation>
    <dataValidation type="list" allowBlank="1" showInputMessage="1" showErrorMessage="1" sqref="J201:J598 K73:M598" xr:uid="{21ED9782-9886-4B74-8045-72784E84FB7E}">
      <formula1>Taxes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AA99-B49C-4583-87B9-E8E5C768566B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63" x14ac:dyDescent="0.35">
      <c r="C1" s="7" t="s">
        <v>53</v>
      </c>
      <c r="E1" s="9" t="s">
        <v>167</v>
      </c>
      <c r="F1" s="9" t="s">
        <v>168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869988609</v>
      </c>
      <c r="F8" s="20">
        <v>0</v>
      </c>
      <c r="G8" s="20">
        <v>869988609</v>
      </c>
      <c r="I8" s="20">
        <v>686908563</v>
      </c>
      <c r="J8" s="20">
        <v>64683174</v>
      </c>
      <c r="K8" s="20">
        <v>751591737</v>
      </c>
      <c r="M8" s="20">
        <v>118396872</v>
      </c>
    </row>
    <row r="9" spans="2:13" x14ac:dyDescent="0.35">
      <c r="B9" s="26"/>
      <c r="C9" s="27" t="s">
        <v>70</v>
      </c>
      <c r="E9" s="28">
        <v>111860553</v>
      </c>
      <c r="F9" s="28">
        <v>0</v>
      </c>
      <c r="G9" s="28">
        <v>111860553</v>
      </c>
      <c r="I9" s="28">
        <v>0</v>
      </c>
      <c r="J9" s="28">
        <v>111860653</v>
      </c>
      <c r="K9" s="28">
        <v>111860653</v>
      </c>
      <c r="M9" s="28">
        <v>-100</v>
      </c>
    </row>
    <row r="10" spans="2:13" x14ac:dyDescent="0.35">
      <c r="B10" s="21">
        <v>3</v>
      </c>
      <c r="C10" s="29" t="s">
        <v>71</v>
      </c>
      <c r="E10" s="23">
        <v>111860553</v>
      </c>
      <c r="F10" s="23">
        <v>0</v>
      </c>
      <c r="G10" s="23">
        <v>111860553</v>
      </c>
      <c r="I10" s="23">
        <v>0</v>
      </c>
      <c r="J10" s="23">
        <v>111860653</v>
      </c>
      <c r="K10" s="23">
        <v>111860653</v>
      </c>
      <c r="M10" s="23">
        <v>-100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44813992</v>
      </c>
      <c r="F24" s="28">
        <v>0</v>
      </c>
      <c r="G24" s="28">
        <v>44813992</v>
      </c>
      <c r="I24" s="28">
        <v>0</v>
      </c>
      <c r="J24" s="28">
        <v>0</v>
      </c>
      <c r="K24" s="28">
        <v>0</v>
      </c>
      <c r="M24" s="28">
        <v>44813992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44813992</v>
      </c>
      <c r="F34" s="25">
        <v>0</v>
      </c>
      <c r="G34" s="25">
        <v>44813992</v>
      </c>
      <c r="I34" s="25">
        <v>0</v>
      </c>
      <c r="J34" s="25">
        <v>0</v>
      </c>
      <c r="K34" s="25">
        <v>0</v>
      </c>
      <c r="M34" s="25">
        <v>44813992</v>
      </c>
    </row>
    <row r="35" spans="2:13" x14ac:dyDescent="0.35">
      <c r="B35" s="26"/>
      <c r="C35" s="27" t="s">
        <v>95</v>
      </c>
      <c r="E35" s="28">
        <v>649510522</v>
      </c>
      <c r="F35" s="28">
        <v>0</v>
      </c>
      <c r="G35" s="28">
        <v>649510522</v>
      </c>
      <c r="I35" s="28">
        <v>505068243</v>
      </c>
      <c r="J35" s="28">
        <v>0</v>
      </c>
      <c r="K35" s="28">
        <v>505068243</v>
      </c>
      <c r="M35" s="28">
        <v>144442279</v>
      </c>
    </row>
    <row r="36" spans="2:13" x14ac:dyDescent="0.35">
      <c r="B36" s="31">
        <v>26</v>
      </c>
      <c r="C36" s="29" t="s">
        <v>96</v>
      </c>
      <c r="E36" s="23">
        <v>246345701</v>
      </c>
      <c r="F36" s="23">
        <v>0</v>
      </c>
      <c r="G36" s="23">
        <v>246345701</v>
      </c>
      <c r="I36" s="23">
        <v>246345701</v>
      </c>
      <c r="J36" s="23">
        <v>0</v>
      </c>
      <c r="K36" s="23">
        <v>246345701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53737803</v>
      </c>
      <c r="F37" s="25">
        <v>0</v>
      </c>
      <c r="G37" s="25">
        <v>53737803</v>
      </c>
      <c r="I37" s="25">
        <v>53737803</v>
      </c>
      <c r="J37" s="25">
        <v>0</v>
      </c>
      <c r="K37" s="25">
        <v>53737803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323502264</v>
      </c>
      <c r="F40" s="23">
        <v>0</v>
      </c>
      <c r="G40" s="23">
        <v>323502264</v>
      </c>
      <c r="I40" s="23">
        <v>161751132</v>
      </c>
      <c r="J40" s="23">
        <v>0</v>
      </c>
      <c r="K40" s="23">
        <v>161751132</v>
      </c>
      <c r="M40" s="23">
        <v>161751132</v>
      </c>
    </row>
    <row r="41" spans="2:13" x14ac:dyDescent="0.35">
      <c r="B41" s="32">
        <v>30</v>
      </c>
      <c r="C41" s="30" t="s">
        <v>103</v>
      </c>
      <c r="E41" s="25">
        <v>24121956</v>
      </c>
      <c r="F41" s="25">
        <v>0</v>
      </c>
      <c r="G41" s="25">
        <v>24121956</v>
      </c>
      <c r="I41" s="25">
        <v>24121956</v>
      </c>
      <c r="J41" s="25">
        <v>0</v>
      </c>
      <c r="K41" s="25">
        <v>24121956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1802798</v>
      </c>
      <c r="F43" s="25">
        <v>0</v>
      </c>
      <c r="G43" s="25">
        <v>1802798</v>
      </c>
      <c r="I43" s="25">
        <v>1802798</v>
      </c>
      <c r="J43" s="25">
        <v>0</v>
      </c>
      <c r="K43" s="25">
        <v>1802798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0</v>
      </c>
      <c r="G48" s="23">
        <v>0</v>
      </c>
      <c r="I48" s="23">
        <v>17308853</v>
      </c>
      <c r="J48" s="23">
        <v>0</v>
      </c>
      <c r="K48" s="23">
        <v>17308853</v>
      </c>
      <c r="M48" s="23">
        <v>-17308853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0</v>
      </c>
      <c r="F51" s="28">
        <v>0</v>
      </c>
      <c r="G51" s="28">
        <v>0</v>
      </c>
      <c r="I51" s="28">
        <v>51278097</v>
      </c>
      <c r="J51" s="28">
        <v>0</v>
      </c>
      <c r="K51" s="28">
        <v>51278097</v>
      </c>
      <c r="M51" s="28">
        <v>-51278097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32475165</v>
      </c>
      <c r="J52" s="23">
        <v>0</v>
      </c>
      <c r="K52" s="23">
        <v>32475165</v>
      </c>
      <c r="M52" s="23">
        <v>-32475165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1748592</v>
      </c>
      <c r="J53" s="25">
        <v>0</v>
      </c>
      <c r="K53" s="25">
        <v>1748592</v>
      </c>
      <c r="M53" s="25">
        <v>-1748592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2185742</v>
      </c>
      <c r="J54" s="23">
        <v>0</v>
      </c>
      <c r="K54" s="23">
        <v>2185742</v>
      </c>
      <c r="M54" s="23">
        <v>-2185742</v>
      </c>
    </row>
    <row r="55" spans="2:13" x14ac:dyDescent="0.35">
      <c r="B55" s="32">
        <v>43</v>
      </c>
      <c r="C55" s="30" t="s">
        <v>117</v>
      </c>
      <c r="E55" s="25">
        <v>0</v>
      </c>
      <c r="F55" s="25">
        <v>0</v>
      </c>
      <c r="G55" s="25">
        <v>0</v>
      </c>
      <c r="I55" s="25">
        <v>13118940</v>
      </c>
      <c r="J55" s="25">
        <v>0</v>
      </c>
      <c r="K55" s="25">
        <v>13118940</v>
      </c>
      <c r="M55" s="25">
        <v>-13118940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1092871</v>
      </c>
      <c r="J56" s="23">
        <v>0</v>
      </c>
      <c r="K56" s="23">
        <v>1092871</v>
      </c>
      <c r="M56" s="23">
        <v>-1092871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656787</v>
      </c>
      <c r="J57" s="25">
        <v>0</v>
      </c>
      <c r="K57" s="25">
        <v>656787</v>
      </c>
      <c r="M57" s="25">
        <v>-656787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4551000</v>
      </c>
      <c r="J60" s="28">
        <v>0</v>
      </c>
      <c r="K60" s="28">
        <v>4551000</v>
      </c>
      <c r="M60" s="28">
        <v>-4551000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4551000</v>
      </c>
      <c r="J61" s="23">
        <v>0</v>
      </c>
      <c r="K61" s="23">
        <v>4551000</v>
      </c>
      <c r="M61" s="23">
        <v>-4551000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12000000</v>
      </c>
      <c r="J64" s="28">
        <v>0</v>
      </c>
      <c r="K64" s="28">
        <v>12000000</v>
      </c>
      <c r="M64" s="28">
        <v>-12000000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12000000</v>
      </c>
      <c r="J66" s="25">
        <v>0</v>
      </c>
      <c r="K66" s="25">
        <v>12000000</v>
      </c>
      <c r="M66" s="25">
        <v>-12000000</v>
      </c>
    </row>
    <row r="67" spans="2:13" x14ac:dyDescent="0.35">
      <c r="B67" s="26"/>
      <c r="C67" s="27" t="s">
        <v>128</v>
      </c>
      <c r="E67" s="28">
        <v>14542384</v>
      </c>
      <c r="F67" s="28">
        <v>0</v>
      </c>
      <c r="G67" s="28">
        <v>14542384</v>
      </c>
      <c r="I67" s="28">
        <v>13418903</v>
      </c>
      <c r="J67" s="28">
        <v>0</v>
      </c>
      <c r="K67" s="28">
        <v>13418903</v>
      </c>
      <c r="M67" s="28">
        <v>1123481</v>
      </c>
    </row>
    <row r="68" spans="2:13" x14ac:dyDescent="0.35">
      <c r="B68" s="31">
        <v>53</v>
      </c>
      <c r="C68" s="29" t="s">
        <v>129</v>
      </c>
      <c r="E68" s="23">
        <v>14542384</v>
      </c>
      <c r="F68" s="23">
        <v>0</v>
      </c>
      <c r="G68" s="23">
        <v>14542384</v>
      </c>
      <c r="I68" s="23">
        <v>13418903</v>
      </c>
      <c r="J68" s="23">
        <v>0</v>
      </c>
      <c r="K68" s="23">
        <v>13418903</v>
      </c>
      <c r="M68" s="23">
        <v>1123481</v>
      </c>
    </row>
    <row r="69" spans="2:13" x14ac:dyDescent="0.35">
      <c r="B69" s="26"/>
      <c r="C69" s="27" t="s">
        <v>130</v>
      </c>
      <c r="E69" s="28">
        <v>49261158</v>
      </c>
      <c r="F69" s="28">
        <v>0</v>
      </c>
      <c r="G69" s="28">
        <v>49261158</v>
      </c>
      <c r="I69" s="28">
        <v>53414841</v>
      </c>
      <c r="J69" s="28">
        <v>0</v>
      </c>
      <c r="K69" s="28">
        <v>53414841</v>
      </c>
      <c r="M69" s="28">
        <v>-4153683</v>
      </c>
    </row>
    <row r="70" spans="2:13" x14ac:dyDescent="0.35">
      <c r="B70" s="32">
        <v>54</v>
      </c>
      <c r="C70" s="30" t="s">
        <v>131</v>
      </c>
      <c r="E70" s="25">
        <v>49261158</v>
      </c>
      <c r="F70" s="25">
        <v>0</v>
      </c>
      <c r="G70" s="25">
        <v>49261158</v>
      </c>
      <c r="I70" s="25">
        <v>53414841</v>
      </c>
      <c r="J70" s="25">
        <v>0</v>
      </c>
      <c r="K70" s="25">
        <v>53414841</v>
      </c>
      <c r="M70" s="25">
        <v>-4153683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47177479</v>
      </c>
      <c r="J71" s="28">
        <v>-47177479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>
        <v>47177479</v>
      </c>
      <c r="J72" s="23">
        <v>-47177479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1A129B3B-B32F-41BE-A81F-215A5E205C9B}">
      <formula1>Compadjust</formula1>
    </dataValidation>
    <dataValidation type="list" allowBlank="1" showInputMessage="1" showErrorMessage="1" sqref="J201:J598 K73:M598" xr:uid="{C11DE8BA-B5A0-4647-931F-6640E74D5940}">
      <formula1>Taxes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F252-8F42-4905-82D5-9E0DEEBDAB9B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31.5" x14ac:dyDescent="0.35">
      <c r="C1" s="7" t="s">
        <v>53</v>
      </c>
      <c r="E1" s="9" t="s">
        <v>169</v>
      </c>
      <c r="F1" s="9" t="s">
        <v>170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701131282</v>
      </c>
      <c r="F8" s="20">
        <v>-873600</v>
      </c>
      <c r="G8" s="20">
        <v>700257682</v>
      </c>
      <c r="I8" s="20">
        <v>700257821</v>
      </c>
      <c r="J8" s="20">
        <v>0</v>
      </c>
      <c r="K8" s="20">
        <v>700257821</v>
      </c>
      <c r="M8" s="20">
        <v>-139</v>
      </c>
    </row>
    <row r="9" spans="2:13" x14ac:dyDescent="0.35">
      <c r="B9" s="26"/>
      <c r="C9" s="27" t="s">
        <v>70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626633819</v>
      </c>
      <c r="F35" s="28">
        <v>0</v>
      </c>
      <c r="G35" s="28">
        <v>626633819</v>
      </c>
      <c r="I35" s="28">
        <v>626633958</v>
      </c>
      <c r="J35" s="28">
        <v>0</v>
      </c>
      <c r="K35" s="28">
        <v>626633958</v>
      </c>
      <c r="M35" s="28">
        <v>-139</v>
      </c>
    </row>
    <row r="36" spans="2:13" x14ac:dyDescent="0.35">
      <c r="B36" s="31">
        <v>26</v>
      </c>
      <c r="C36" s="29" t="s">
        <v>96</v>
      </c>
      <c r="E36" s="23">
        <v>164280045</v>
      </c>
      <c r="F36" s="23">
        <v>0</v>
      </c>
      <c r="G36" s="23">
        <v>164280045</v>
      </c>
      <c r="I36" s="23">
        <v>164280184</v>
      </c>
      <c r="J36" s="23">
        <v>0</v>
      </c>
      <c r="K36" s="23">
        <v>164280184</v>
      </c>
      <c r="M36" s="23">
        <v>-139</v>
      </c>
    </row>
    <row r="37" spans="2:13" x14ac:dyDescent="0.35">
      <c r="B37" s="32">
        <v>27</v>
      </c>
      <c r="C37" s="30" t="s">
        <v>97</v>
      </c>
      <c r="E37" s="25">
        <v>311577275</v>
      </c>
      <c r="F37" s="25">
        <v>0</v>
      </c>
      <c r="G37" s="25">
        <v>311577275</v>
      </c>
      <c r="I37" s="25">
        <v>311577275</v>
      </c>
      <c r="J37" s="25">
        <v>0</v>
      </c>
      <c r="K37" s="25">
        <v>311577275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90661093</v>
      </c>
      <c r="F39" s="25">
        <v>0</v>
      </c>
      <c r="G39" s="25">
        <v>90661093</v>
      </c>
      <c r="I39" s="25">
        <v>90661093</v>
      </c>
      <c r="J39" s="25">
        <v>0</v>
      </c>
      <c r="K39" s="25">
        <v>90661093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0</v>
      </c>
      <c r="J40" s="23">
        <v>0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25127704</v>
      </c>
      <c r="F41" s="25">
        <v>0</v>
      </c>
      <c r="G41" s="25">
        <v>25127704</v>
      </c>
      <c r="I41" s="25">
        <v>25127704</v>
      </c>
      <c r="J41" s="25">
        <v>0</v>
      </c>
      <c r="K41" s="25">
        <v>25127704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2454650</v>
      </c>
      <c r="F43" s="25">
        <v>0</v>
      </c>
      <c r="G43" s="25">
        <v>2454650</v>
      </c>
      <c r="I43" s="25">
        <v>2454650</v>
      </c>
      <c r="J43" s="25">
        <v>0</v>
      </c>
      <c r="K43" s="25">
        <v>2454650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23890886</v>
      </c>
      <c r="F44" s="23">
        <v>0</v>
      </c>
      <c r="G44" s="23">
        <v>23890886</v>
      </c>
      <c r="I44" s="23">
        <v>23890886</v>
      </c>
      <c r="J44" s="23">
        <v>0</v>
      </c>
      <c r="K44" s="23">
        <v>23890886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8642166</v>
      </c>
      <c r="F48" s="23">
        <v>0</v>
      </c>
      <c r="G48" s="23">
        <v>8642166</v>
      </c>
      <c r="I48" s="23">
        <v>8642166</v>
      </c>
      <c r="J48" s="23">
        <v>0</v>
      </c>
      <c r="K48" s="23">
        <v>8642166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0</v>
      </c>
      <c r="F51" s="28">
        <v>0</v>
      </c>
      <c r="G51" s="28">
        <v>0</v>
      </c>
      <c r="I51" s="28">
        <v>0</v>
      </c>
      <c r="J51" s="28">
        <v>0</v>
      </c>
      <c r="K51" s="28">
        <v>0</v>
      </c>
      <c r="M51" s="28">
        <v>0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0</v>
      </c>
      <c r="J52" s="23">
        <v>0</v>
      </c>
      <c r="K52" s="23">
        <v>0</v>
      </c>
      <c r="M52" s="23">
        <v>0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0</v>
      </c>
      <c r="J53" s="25">
        <v>0</v>
      </c>
      <c r="K53" s="25">
        <v>0</v>
      </c>
      <c r="M53" s="25">
        <v>0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43</v>
      </c>
      <c r="C55" s="30" t="s">
        <v>117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8040480</v>
      </c>
      <c r="F67" s="28">
        <v>-873600</v>
      </c>
      <c r="G67" s="28">
        <v>7166880</v>
      </c>
      <c r="I67" s="28">
        <v>7166880</v>
      </c>
      <c r="J67" s="28">
        <v>0</v>
      </c>
      <c r="K67" s="28">
        <v>7166880</v>
      </c>
      <c r="M67" s="28">
        <v>0</v>
      </c>
    </row>
    <row r="68" spans="2:13" x14ac:dyDescent="0.35">
      <c r="B68" s="31">
        <v>53</v>
      </c>
      <c r="C68" s="29" t="s">
        <v>129</v>
      </c>
      <c r="E68" s="23">
        <v>8040480</v>
      </c>
      <c r="F68" s="23">
        <v>-873600</v>
      </c>
      <c r="G68" s="23">
        <v>7166880</v>
      </c>
      <c r="I68" s="23">
        <v>7166880</v>
      </c>
      <c r="J68" s="23">
        <v>0</v>
      </c>
      <c r="K68" s="23">
        <v>7166880</v>
      </c>
      <c r="M68" s="23">
        <v>0</v>
      </c>
    </row>
    <row r="69" spans="2:13" x14ac:dyDescent="0.35">
      <c r="B69" s="26"/>
      <c r="C69" s="27" t="s">
        <v>130</v>
      </c>
      <c r="E69" s="28">
        <v>66456983</v>
      </c>
      <c r="F69" s="28">
        <v>0</v>
      </c>
      <c r="G69" s="28">
        <v>66456983</v>
      </c>
      <c r="I69" s="28">
        <v>66456983</v>
      </c>
      <c r="J69" s="28">
        <v>0</v>
      </c>
      <c r="K69" s="28">
        <v>66456983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66456983</v>
      </c>
      <c r="F70" s="25">
        <v>0</v>
      </c>
      <c r="G70" s="25">
        <v>66456983</v>
      </c>
      <c r="I70" s="25">
        <v>66456983</v>
      </c>
      <c r="J70" s="25">
        <v>0</v>
      </c>
      <c r="K70" s="25">
        <v>66456983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C8A4ED9C-4696-46C5-B2DA-3141AA449C72}">
      <formula1>Compadjust</formula1>
    </dataValidation>
    <dataValidation type="list" allowBlank="1" showInputMessage="1" showErrorMessage="1" sqref="J201:J598 K73:M598" xr:uid="{F0C8DDC6-0D5D-48DF-A6B8-9DEC1F432210}">
      <formula1>Taxes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E01B-8011-4FB6-A8AB-CE8246305C49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21" x14ac:dyDescent="0.35">
      <c r="C1" s="7" t="s">
        <v>53</v>
      </c>
      <c r="E1" s="9" t="s">
        <v>40</v>
      </c>
      <c r="F1" s="9" t="s">
        <v>171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3067407</v>
      </c>
      <c r="F5" s="20">
        <v>0</v>
      </c>
      <c r="G5" s="20">
        <v>3067407</v>
      </c>
      <c r="I5" s="20">
        <v>0</v>
      </c>
      <c r="J5" s="20">
        <v>0</v>
      </c>
      <c r="K5" s="20">
        <v>0</v>
      </c>
      <c r="M5" s="20">
        <v>3067407</v>
      </c>
    </row>
    <row r="6" spans="2:13" x14ac:dyDescent="0.35">
      <c r="B6" s="21">
        <v>1</v>
      </c>
      <c r="C6" s="22" t="s">
        <v>67</v>
      </c>
      <c r="E6" s="23">
        <v>1865562</v>
      </c>
      <c r="F6" s="23">
        <v>0</v>
      </c>
      <c r="G6" s="23">
        <v>1865562</v>
      </c>
      <c r="I6" s="23">
        <v>0</v>
      </c>
      <c r="J6" s="23">
        <v>0</v>
      </c>
      <c r="K6" s="23">
        <v>0</v>
      </c>
      <c r="M6" s="23">
        <v>1865562</v>
      </c>
    </row>
    <row r="7" spans="2:13" x14ac:dyDescent="0.35">
      <c r="B7" s="6">
        <v>2</v>
      </c>
      <c r="C7" s="24" t="s">
        <v>68</v>
      </c>
      <c r="E7" s="25">
        <v>1201845</v>
      </c>
      <c r="F7" s="25">
        <v>0</v>
      </c>
      <c r="G7" s="25">
        <v>1201845</v>
      </c>
      <c r="I7" s="25">
        <v>0</v>
      </c>
      <c r="J7" s="25">
        <v>0</v>
      </c>
      <c r="K7" s="25">
        <v>0</v>
      </c>
      <c r="M7" s="25">
        <v>1201845</v>
      </c>
    </row>
    <row r="8" spans="2:13" x14ac:dyDescent="0.35">
      <c r="B8" s="18" t="s">
        <v>69</v>
      </c>
      <c r="C8" s="19"/>
      <c r="E8" s="20">
        <v>707595187</v>
      </c>
      <c r="F8" s="20">
        <v>-10176999</v>
      </c>
      <c r="G8" s="20">
        <v>697418188</v>
      </c>
      <c r="I8" s="20">
        <v>616684471</v>
      </c>
      <c r="J8" s="20">
        <v>74730780</v>
      </c>
      <c r="K8" s="20">
        <v>691415251</v>
      </c>
      <c r="M8" s="20">
        <v>6002937</v>
      </c>
    </row>
    <row r="9" spans="2:13" x14ac:dyDescent="0.35">
      <c r="B9" s="26"/>
      <c r="C9" s="27" t="s">
        <v>70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224154406</v>
      </c>
      <c r="F15" s="28">
        <v>-20000000</v>
      </c>
      <c r="G15" s="28">
        <v>204154406</v>
      </c>
      <c r="I15" s="28">
        <v>198304406</v>
      </c>
      <c r="J15" s="28">
        <v>5850000</v>
      </c>
      <c r="K15" s="28">
        <v>204154406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20000000</v>
      </c>
      <c r="F17" s="25">
        <v>-20000000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5850000</v>
      </c>
      <c r="F18" s="23">
        <v>0</v>
      </c>
      <c r="G18" s="23">
        <v>5850000</v>
      </c>
      <c r="I18" s="23">
        <v>0</v>
      </c>
      <c r="J18" s="23">
        <v>5850000</v>
      </c>
      <c r="K18" s="23">
        <v>5850000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198304406</v>
      </c>
      <c r="F19" s="25">
        <v>0</v>
      </c>
      <c r="G19" s="25">
        <v>198304406</v>
      </c>
      <c r="I19" s="25">
        <v>198304406</v>
      </c>
      <c r="J19" s="25">
        <v>0</v>
      </c>
      <c r="K19" s="25">
        <v>198304406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307817798</v>
      </c>
      <c r="F24" s="28">
        <v>0</v>
      </c>
      <c r="G24" s="28">
        <v>307817798</v>
      </c>
      <c r="I24" s="28">
        <v>226629842</v>
      </c>
      <c r="J24" s="28">
        <v>81188556</v>
      </c>
      <c r="K24" s="28">
        <v>307818398</v>
      </c>
      <c r="M24" s="28">
        <v>-600</v>
      </c>
    </row>
    <row r="25" spans="2:13" x14ac:dyDescent="0.35">
      <c r="B25" s="31">
        <v>16</v>
      </c>
      <c r="C25" s="29" t="s">
        <v>80</v>
      </c>
      <c r="E25" s="23">
        <v>307817798</v>
      </c>
      <c r="F25" s="23">
        <v>0</v>
      </c>
      <c r="G25" s="23">
        <v>307817798</v>
      </c>
      <c r="I25" s="23">
        <v>226629842</v>
      </c>
      <c r="J25" s="23">
        <v>81188556</v>
      </c>
      <c r="K25" s="23">
        <v>307818398</v>
      </c>
      <c r="M25" s="23">
        <v>-600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118814645</v>
      </c>
      <c r="F35" s="28">
        <v>9823001</v>
      </c>
      <c r="G35" s="28">
        <v>128637646</v>
      </c>
      <c r="I35" s="28">
        <v>140945422</v>
      </c>
      <c r="J35" s="28">
        <v>-12307776</v>
      </c>
      <c r="K35" s="28">
        <v>128637646</v>
      </c>
      <c r="M35" s="28">
        <v>0</v>
      </c>
    </row>
    <row r="36" spans="2:13" x14ac:dyDescent="0.35">
      <c r="B36" s="31">
        <v>26</v>
      </c>
      <c r="C36" s="29" t="s">
        <v>96</v>
      </c>
      <c r="E36" s="23">
        <v>0</v>
      </c>
      <c r="F36" s="23">
        <v>0</v>
      </c>
      <c r="G36" s="23">
        <v>0</v>
      </c>
      <c r="I36" s="23">
        <v>0</v>
      </c>
      <c r="J36" s="23">
        <v>0</v>
      </c>
      <c r="K36" s="23">
        <v>0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118814645</v>
      </c>
      <c r="F37" s="25">
        <v>-2918216</v>
      </c>
      <c r="G37" s="25">
        <v>115896429</v>
      </c>
      <c r="I37" s="25">
        <v>115896429</v>
      </c>
      <c r="J37" s="25">
        <v>0</v>
      </c>
      <c r="K37" s="25">
        <v>115896429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12307776</v>
      </c>
      <c r="G38" s="23">
        <v>12307776</v>
      </c>
      <c r="I38" s="23">
        <v>12307776</v>
      </c>
      <c r="J38" s="23">
        <v>0</v>
      </c>
      <c r="K38" s="23">
        <v>12307776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0</v>
      </c>
      <c r="J40" s="23">
        <v>0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0</v>
      </c>
      <c r="F41" s="25">
        <v>0</v>
      </c>
      <c r="G41" s="25">
        <v>0</v>
      </c>
      <c r="I41" s="25">
        <v>0</v>
      </c>
      <c r="J41" s="25">
        <v>0</v>
      </c>
      <c r="K41" s="25">
        <v>0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/>
      <c r="F43" s="25">
        <v>433441</v>
      </c>
      <c r="G43" s="25">
        <v>433441</v>
      </c>
      <c r="I43" s="25">
        <v>433441</v>
      </c>
      <c r="J43" s="25">
        <v>0</v>
      </c>
      <c r="K43" s="25">
        <v>433441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0</v>
      </c>
      <c r="G48" s="23">
        <v>0</v>
      </c>
      <c r="I48" s="23">
        <v>12307776</v>
      </c>
      <c r="J48" s="23">
        <v>-12307776</v>
      </c>
      <c r="K48" s="23">
        <v>0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7058298</v>
      </c>
      <c r="F51" s="28">
        <v>0</v>
      </c>
      <c r="G51" s="28">
        <v>7058298</v>
      </c>
      <c r="I51" s="28">
        <v>1054761</v>
      </c>
      <c r="J51" s="28">
        <v>0</v>
      </c>
      <c r="K51" s="28">
        <v>1054761</v>
      </c>
      <c r="M51" s="28">
        <v>6003537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0</v>
      </c>
      <c r="J52" s="23">
        <v>0</v>
      </c>
      <c r="K52" s="23">
        <v>0</v>
      </c>
      <c r="M52" s="23">
        <v>0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328371</v>
      </c>
      <c r="J53" s="25">
        <v>0</v>
      </c>
      <c r="K53" s="25">
        <v>328371</v>
      </c>
      <c r="M53" s="25">
        <v>-328371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410463</v>
      </c>
      <c r="J54" s="23">
        <v>0</v>
      </c>
      <c r="K54" s="23">
        <v>410463</v>
      </c>
      <c r="M54" s="23">
        <v>-410463</v>
      </c>
    </row>
    <row r="55" spans="2:13" x14ac:dyDescent="0.35">
      <c r="B55" s="32">
        <v>43</v>
      </c>
      <c r="C55" s="30" t="s">
        <v>117</v>
      </c>
      <c r="E55" s="25">
        <v>7058298</v>
      </c>
      <c r="F55" s="25">
        <v>0</v>
      </c>
      <c r="G55" s="25">
        <v>7058298</v>
      </c>
      <c r="I55" s="25">
        <v>0</v>
      </c>
      <c r="J55" s="25">
        <v>0</v>
      </c>
      <c r="K55" s="25">
        <v>0</v>
      </c>
      <c r="M55" s="25">
        <v>7058298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205232</v>
      </c>
      <c r="J56" s="23">
        <v>0</v>
      </c>
      <c r="K56" s="23">
        <v>205232</v>
      </c>
      <c r="M56" s="23">
        <v>-205232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110695</v>
      </c>
      <c r="J57" s="25">
        <v>0</v>
      </c>
      <c r="K57" s="25">
        <v>110695</v>
      </c>
      <c r="M57" s="25">
        <v>-110695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12750040</v>
      </c>
      <c r="F67" s="28">
        <v>0</v>
      </c>
      <c r="G67" s="28">
        <v>12750040</v>
      </c>
      <c r="I67" s="28">
        <v>12750040</v>
      </c>
      <c r="J67" s="28">
        <v>0</v>
      </c>
      <c r="K67" s="28">
        <v>12750040</v>
      </c>
      <c r="M67" s="28">
        <v>0</v>
      </c>
    </row>
    <row r="68" spans="2:13" x14ac:dyDescent="0.35">
      <c r="B68" s="31">
        <v>53</v>
      </c>
      <c r="C68" s="29" t="s">
        <v>129</v>
      </c>
      <c r="E68" s="23">
        <v>12750040</v>
      </c>
      <c r="F68" s="23">
        <v>0</v>
      </c>
      <c r="G68" s="23">
        <v>12750040</v>
      </c>
      <c r="I68" s="23">
        <v>12750040</v>
      </c>
      <c r="J68" s="23">
        <v>0</v>
      </c>
      <c r="K68" s="23">
        <v>12750040</v>
      </c>
      <c r="M68" s="23">
        <v>0</v>
      </c>
    </row>
    <row r="69" spans="2:13" x14ac:dyDescent="0.35">
      <c r="B69" s="26"/>
      <c r="C69" s="27" t="s">
        <v>130</v>
      </c>
      <c r="E69" s="28">
        <v>37000000</v>
      </c>
      <c r="F69" s="28">
        <v>0</v>
      </c>
      <c r="G69" s="28">
        <v>37000000</v>
      </c>
      <c r="I69" s="28">
        <v>37000000</v>
      </c>
      <c r="J69" s="28">
        <v>0</v>
      </c>
      <c r="K69" s="28">
        <v>37000000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37000000</v>
      </c>
      <c r="F70" s="25">
        <v>0</v>
      </c>
      <c r="G70" s="25">
        <v>37000000</v>
      </c>
      <c r="I70" s="25">
        <v>37000000</v>
      </c>
      <c r="J70" s="25">
        <v>0</v>
      </c>
      <c r="K70" s="25">
        <v>37000000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79383BB6-7350-4D04-90AE-ACE18BD5797F}">
      <formula1>Compadjust</formula1>
    </dataValidation>
    <dataValidation type="list" allowBlank="1" showInputMessage="1" showErrorMessage="1" sqref="J201:J598 K73:M598" xr:uid="{63B614A2-6459-408F-A5DD-AEDD37880B73}">
      <formula1>Taxes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CD70-70C4-4C25-8B22-8C6F84394147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21" x14ac:dyDescent="0.35">
      <c r="C1" s="7" t="s">
        <v>53</v>
      </c>
      <c r="E1" s="9" t="s">
        <v>42</v>
      </c>
      <c r="F1" s="9" t="s">
        <v>172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253955288</v>
      </c>
      <c r="F8" s="20">
        <v>3000000</v>
      </c>
      <c r="G8" s="20">
        <v>256955288</v>
      </c>
      <c r="I8" s="20">
        <v>253480221</v>
      </c>
      <c r="J8" s="20">
        <v>1796719</v>
      </c>
      <c r="K8" s="20">
        <v>255276940</v>
      </c>
      <c r="M8" s="20">
        <v>1678348</v>
      </c>
    </row>
    <row r="9" spans="2:13" x14ac:dyDescent="0.35">
      <c r="B9" s="26"/>
      <c r="C9" s="27" t="s">
        <v>70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247434243</v>
      </c>
      <c r="F35" s="28">
        <v>3000000</v>
      </c>
      <c r="G35" s="28">
        <v>250434243</v>
      </c>
      <c r="I35" s="28">
        <v>248578885</v>
      </c>
      <c r="J35" s="28">
        <v>1796719</v>
      </c>
      <c r="K35" s="28">
        <v>250375604</v>
      </c>
      <c r="M35" s="28">
        <v>58639</v>
      </c>
    </row>
    <row r="36" spans="2:13" x14ac:dyDescent="0.35">
      <c r="B36" s="31">
        <v>26</v>
      </c>
      <c r="C36" s="29" t="s">
        <v>96</v>
      </c>
      <c r="E36" s="23">
        <v>58639</v>
      </c>
      <c r="F36" s="23">
        <v>0</v>
      </c>
      <c r="G36" s="23">
        <v>58639</v>
      </c>
      <c r="I36" s="23">
        <v>0</v>
      </c>
      <c r="J36" s="23">
        <v>0</v>
      </c>
      <c r="K36" s="23">
        <v>0</v>
      </c>
      <c r="M36" s="23">
        <v>58639</v>
      </c>
    </row>
    <row r="37" spans="2:13" x14ac:dyDescent="0.35">
      <c r="B37" s="32">
        <v>27</v>
      </c>
      <c r="C37" s="30" t="s">
        <v>97</v>
      </c>
      <c r="E37" s="25">
        <v>224440682</v>
      </c>
      <c r="F37" s="25">
        <v>0</v>
      </c>
      <c r="G37" s="25">
        <v>224440682</v>
      </c>
      <c r="I37" s="25">
        <v>224440682</v>
      </c>
      <c r="J37" s="25">
        <v>0</v>
      </c>
      <c r="K37" s="25">
        <v>224440682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3000000</v>
      </c>
      <c r="G38" s="23">
        <v>3000000</v>
      </c>
      <c r="I38" s="23">
        <v>3000000</v>
      </c>
      <c r="J38" s="23">
        <v>0</v>
      </c>
      <c r="K38" s="23">
        <v>3000000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0</v>
      </c>
      <c r="J40" s="23">
        <v>0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22934922</v>
      </c>
      <c r="F41" s="25">
        <v>-313446</v>
      </c>
      <c r="G41" s="25">
        <v>22621476</v>
      </c>
      <c r="I41" s="25">
        <v>20824757</v>
      </c>
      <c r="J41" s="25">
        <v>1796719</v>
      </c>
      <c r="K41" s="25">
        <v>22621476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0</v>
      </c>
      <c r="F43" s="25">
        <v>313446</v>
      </c>
      <c r="G43" s="25">
        <v>313446</v>
      </c>
      <c r="I43" s="25">
        <v>313446</v>
      </c>
      <c r="J43" s="25">
        <v>0</v>
      </c>
      <c r="K43" s="25">
        <v>313446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0</v>
      </c>
      <c r="G48" s="23">
        <v>0</v>
      </c>
      <c r="I48" s="23">
        <v>0</v>
      </c>
      <c r="J48" s="23">
        <v>0</v>
      </c>
      <c r="K48" s="23">
        <v>0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1736050</v>
      </c>
      <c r="F51" s="28">
        <v>0</v>
      </c>
      <c r="G51" s="28">
        <v>1736050</v>
      </c>
      <c r="I51" s="28">
        <v>116341</v>
      </c>
      <c r="J51" s="28">
        <v>0</v>
      </c>
      <c r="K51" s="28">
        <v>116341</v>
      </c>
      <c r="M51" s="28">
        <v>1619709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0</v>
      </c>
      <c r="J52" s="23">
        <v>0</v>
      </c>
      <c r="K52" s="23">
        <v>0</v>
      </c>
      <c r="M52" s="23">
        <v>0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40466</v>
      </c>
      <c r="J53" s="25">
        <v>0</v>
      </c>
      <c r="K53" s="25">
        <v>40466</v>
      </c>
      <c r="M53" s="25">
        <v>-40466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50583</v>
      </c>
      <c r="J54" s="23">
        <v>0</v>
      </c>
      <c r="K54" s="23">
        <v>50583</v>
      </c>
      <c r="M54" s="23">
        <v>-50583</v>
      </c>
    </row>
    <row r="55" spans="2:13" x14ac:dyDescent="0.35">
      <c r="B55" s="32">
        <v>43</v>
      </c>
      <c r="C55" s="30" t="s">
        <v>117</v>
      </c>
      <c r="E55" s="25">
        <v>1736050</v>
      </c>
      <c r="F55" s="25">
        <v>0</v>
      </c>
      <c r="G55" s="25">
        <v>1736050</v>
      </c>
      <c r="I55" s="25">
        <v>0</v>
      </c>
      <c r="J55" s="25">
        <v>0</v>
      </c>
      <c r="K55" s="25">
        <v>0</v>
      </c>
      <c r="M55" s="25">
        <v>1736050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25292</v>
      </c>
      <c r="J56" s="23">
        <v>0</v>
      </c>
      <c r="K56" s="23">
        <v>25292</v>
      </c>
      <c r="M56" s="23">
        <v>-25292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294840</v>
      </c>
      <c r="F67" s="28">
        <v>0</v>
      </c>
      <c r="G67" s="28">
        <v>294840</v>
      </c>
      <c r="I67" s="28">
        <v>294840</v>
      </c>
      <c r="J67" s="28">
        <v>0</v>
      </c>
      <c r="K67" s="28">
        <v>294840</v>
      </c>
      <c r="M67" s="28">
        <v>0</v>
      </c>
    </row>
    <row r="68" spans="2:13" x14ac:dyDescent="0.35">
      <c r="B68" s="31">
        <v>53</v>
      </c>
      <c r="C68" s="29" t="s">
        <v>129</v>
      </c>
      <c r="E68" s="23">
        <v>294840</v>
      </c>
      <c r="F68" s="23">
        <v>0</v>
      </c>
      <c r="G68" s="23">
        <v>294840</v>
      </c>
      <c r="I68" s="23">
        <v>294840</v>
      </c>
      <c r="J68" s="23">
        <v>0</v>
      </c>
      <c r="K68" s="23">
        <v>294840</v>
      </c>
      <c r="M68" s="23">
        <v>0</v>
      </c>
    </row>
    <row r="69" spans="2:13" x14ac:dyDescent="0.35">
      <c r="B69" s="26"/>
      <c r="C69" s="27" t="s">
        <v>130</v>
      </c>
      <c r="E69" s="28">
        <v>4490155</v>
      </c>
      <c r="F69" s="28">
        <v>0</v>
      </c>
      <c r="G69" s="28">
        <v>4490155</v>
      </c>
      <c r="I69" s="28">
        <v>4490155</v>
      </c>
      <c r="J69" s="28">
        <v>0</v>
      </c>
      <c r="K69" s="28">
        <v>4490155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4490155</v>
      </c>
      <c r="F70" s="25">
        <v>0</v>
      </c>
      <c r="G70" s="25">
        <v>4490155</v>
      </c>
      <c r="I70" s="25">
        <v>4490155</v>
      </c>
      <c r="J70" s="25">
        <v>0</v>
      </c>
      <c r="K70" s="25">
        <v>4490155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AFC2203D-C8B9-4B3A-9118-041F8DD77C31}">
      <formula1>Compadjust</formula1>
    </dataValidation>
    <dataValidation type="list" allowBlank="1" showInputMessage="1" showErrorMessage="1" sqref="J201:J598 K73:M598" xr:uid="{281EFD36-E6F9-4EEE-B580-5CB9DAAA2F3E}">
      <formula1>Taxes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01430-F5F4-4CCF-8ADE-048A343B276C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21" x14ac:dyDescent="0.35">
      <c r="C1" s="7" t="s">
        <v>53</v>
      </c>
      <c r="E1" s="9" t="s">
        <v>173</v>
      </c>
      <c r="F1" s="9" t="s">
        <v>174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5529588626</v>
      </c>
      <c r="F8" s="20">
        <v>0</v>
      </c>
      <c r="G8" s="20">
        <v>5529588626</v>
      </c>
      <c r="I8" s="20">
        <v>10475834738</v>
      </c>
      <c r="J8" s="20">
        <v>-4953958901</v>
      </c>
      <c r="K8" s="20">
        <v>5521875837</v>
      </c>
      <c r="M8" s="20">
        <v>7712789</v>
      </c>
    </row>
    <row r="9" spans="2:13" x14ac:dyDescent="0.35">
      <c r="B9" s="26"/>
      <c r="C9" s="27" t="s">
        <v>70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400000</v>
      </c>
      <c r="F24" s="28">
        <v>0</v>
      </c>
      <c r="G24" s="28">
        <v>400000</v>
      </c>
      <c r="I24" s="28">
        <v>0</v>
      </c>
      <c r="J24" s="28">
        <v>0</v>
      </c>
      <c r="K24" s="28">
        <v>0</v>
      </c>
      <c r="M24" s="28">
        <v>400000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400000</v>
      </c>
      <c r="F34" s="25">
        <v>0</v>
      </c>
      <c r="G34" s="25">
        <v>400000</v>
      </c>
      <c r="I34" s="25">
        <v>0</v>
      </c>
      <c r="J34" s="25">
        <v>0</v>
      </c>
      <c r="K34" s="25">
        <v>0</v>
      </c>
      <c r="M34" s="25">
        <v>400000</v>
      </c>
    </row>
    <row r="35" spans="2:13" x14ac:dyDescent="0.35">
      <c r="B35" s="26"/>
      <c r="C35" s="27" t="s">
        <v>95</v>
      </c>
      <c r="E35" s="28">
        <v>5525873906</v>
      </c>
      <c r="F35" s="28">
        <v>0</v>
      </c>
      <c r="G35" s="28">
        <v>5525873906</v>
      </c>
      <c r="I35" s="28">
        <v>10471824116</v>
      </c>
      <c r="J35" s="28">
        <v>-4953958901</v>
      </c>
      <c r="K35" s="28">
        <v>5517865215</v>
      </c>
      <c r="M35" s="28">
        <v>8008691</v>
      </c>
    </row>
    <row r="36" spans="2:13" x14ac:dyDescent="0.35">
      <c r="B36" s="31">
        <v>26</v>
      </c>
      <c r="C36" s="29" t="s">
        <v>96</v>
      </c>
      <c r="E36" s="23">
        <v>0</v>
      </c>
      <c r="F36" s="23">
        <v>0</v>
      </c>
      <c r="G36" s="23">
        <v>0</v>
      </c>
      <c r="I36" s="23">
        <v>0</v>
      </c>
      <c r="J36" s="23">
        <v>0</v>
      </c>
      <c r="K36" s="23">
        <v>0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281272165</v>
      </c>
      <c r="F37" s="25">
        <v>0</v>
      </c>
      <c r="G37" s="25">
        <v>281272165</v>
      </c>
      <c r="I37" s="25">
        <v>128119005</v>
      </c>
      <c r="J37" s="25">
        <v>153153160</v>
      </c>
      <c r="K37" s="25">
        <v>281272165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5205320445</v>
      </c>
      <c r="F38" s="23">
        <v>0</v>
      </c>
      <c r="G38" s="23">
        <v>5205320445</v>
      </c>
      <c r="I38" s="23">
        <v>5205520445</v>
      </c>
      <c r="J38" s="23">
        <v>0</v>
      </c>
      <c r="K38" s="23">
        <v>5205520445</v>
      </c>
      <c r="M38" s="23">
        <v>-200000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0</v>
      </c>
      <c r="J40" s="23">
        <v>0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39204717</v>
      </c>
      <c r="F41" s="25">
        <v>0</v>
      </c>
      <c r="G41" s="25">
        <v>39204717</v>
      </c>
      <c r="I41" s="25">
        <v>5138108087</v>
      </c>
      <c r="J41" s="25">
        <v>-5107112061</v>
      </c>
      <c r="K41" s="25">
        <v>30996026</v>
      </c>
      <c r="M41" s="25">
        <v>8208691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76579</v>
      </c>
      <c r="F43" s="25">
        <v>0</v>
      </c>
      <c r="G43" s="25">
        <v>76579</v>
      </c>
      <c r="I43" s="25">
        <v>76579</v>
      </c>
      <c r="J43" s="25">
        <v>0</v>
      </c>
      <c r="K43" s="25">
        <v>76579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0</v>
      </c>
      <c r="G48" s="23">
        <v>0</v>
      </c>
      <c r="I48" s="23">
        <v>0</v>
      </c>
      <c r="J48" s="23">
        <v>0</v>
      </c>
      <c r="K48" s="23">
        <v>0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0</v>
      </c>
      <c r="F51" s="28">
        <v>0</v>
      </c>
      <c r="G51" s="28">
        <v>0</v>
      </c>
      <c r="I51" s="28">
        <v>1800942</v>
      </c>
      <c r="J51" s="28">
        <v>0</v>
      </c>
      <c r="K51" s="28">
        <v>1800942</v>
      </c>
      <c r="M51" s="28">
        <v>-1800942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0</v>
      </c>
      <c r="J52" s="23">
        <v>0</v>
      </c>
      <c r="K52" s="23">
        <v>0</v>
      </c>
      <c r="M52" s="23">
        <v>0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629112</v>
      </c>
      <c r="J53" s="25">
        <v>0</v>
      </c>
      <c r="K53" s="25">
        <v>629112</v>
      </c>
      <c r="M53" s="25">
        <v>-629112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778636</v>
      </c>
      <c r="J54" s="23">
        <v>0</v>
      </c>
      <c r="K54" s="23">
        <v>778636</v>
      </c>
      <c r="M54" s="23">
        <v>-778636</v>
      </c>
    </row>
    <row r="55" spans="2:13" x14ac:dyDescent="0.35">
      <c r="B55" s="32">
        <v>43</v>
      </c>
      <c r="C55" s="30" t="s">
        <v>117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393194</v>
      </c>
      <c r="J56" s="23">
        <v>0</v>
      </c>
      <c r="K56" s="23">
        <v>393194</v>
      </c>
      <c r="M56" s="23">
        <v>-393194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204120</v>
      </c>
      <c r="F67" s="28">
        <v>0</v>
      </c>
      <c r="G67" s="28">
        <v>204120</v>
      </c>
      <c r="I67" s="28">
        <v>136080</v>
      </c>
      <c r="J67" s="28">
        <v>0</v>
      </c>
      <c r="K67" s="28">
        <v>136080</v>
      </c>
      <c r="M67" s="28">
        <v>68040</v>
      </c>
    </row>
    <row r="68" spans="2:13" x14ac:dyDescent="0.35">
      <c r="B68" s="31">
        <v>53</v>
      </c>
      <c r="C68" s="29" t="s">
        <v>129</v>
      </c>
      <c r="E68" s="23">
        <v>204120</v>
      </c>
      <c r="F68" s="23">
        <v>0</v>
      </c>
      <c r="G68" s="23">
        <v>204120</v>
      </c>
      <c r="I68" s="23">
        <v>136080</v>
      </c>
      <c r="J68" s="23">
        <v>0</v>
      </c>
      <c r="K68" s="23">
        <v>136080</v>
      </c>
      <c r="M68" s="23">
        <v>68040</v>
      </c>
    </row>
    <row r="69" spans="2:13" x14ac:dyDescent="0.35">
      <c r="B69" s="26"/>
      <c r="C69" s="27" t="s">
        <v>130</v>
      </c>
      <c r="E69" s="28">
        <v>3110600</v>
      </c>
      <c r="F69" s="28">
        <v>0</v>
      </c>
      <c r="G69" s="28">
        <v>3110600</v>
      </c>
      <c r="I69" s="28">
        <v>2073600</v>
      </c>
      <c r="J69" s="28">
        <v>0</v>
      </c>
      <c r="K69" s="28">
        <v>2073600</v>
      </c>
      <c r="M69" s="28">
        <v>1037000</v>
      </c>
    </row>
    <row r="70" spans="2:13" x14ac:dyDescent="0.35">
      <c r="B70" s="32">
        <v>54</v>
      </c>
      <c r="C70" s="30" t="s">
        <v>131</v>
      </c>
      <c r="E70" s="25">
        <v>3110600</v>
      </c>
      <c r="F70" s="25">
        <v>0</v>
      </c>
      <c r="G70" s="25">
        <v>3110600</v>
      </c>
      <c r="I70" s="25">
        <v>2073600</v>
      </c>
      <c r="J70" s="25">
        <v>0</v>
      </c>
      <c r="K70" s="25">
        <v>2073600</v>
      </c>
      <c r="M70" s="25">
        <v>1037000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F84BDBF1-48C2-48B7-9806-46C5F40DE0DD}">
      <formula1>Compadjust</formula1>
    </dataValidation>
    <dataValidation type="list" allowBlank="1" showInputMessage="1" showErrorMessage="1" sqref="J201:J598 K73:M598" xr:uid="{C5C0D6A9-458C-4093-887C-FA5950584B51}">
      <formula1>Taxes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98A5-0447-49C2-AA44-46BE08D979D3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8" style="8" bestFit="1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x14ac:dyDescent="0.35">
      <c r="C1" s="7" t="s">
        <v>53</v>
      </c>
      <c r="E1" s="9" t="s">
        <v>46</v>
      </c>
      <c r="F1" s="9" t="s">
        <v>175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318857825</v>
      </c>
      <c r="F8" s="20">
        <v>-82465814</v>
      </c>
      <c r="G8" s="20">
        <v>236392011</v>
      </c>
      <c r="I8" s="20">
        <v>235851585</v>
      </c>
      <c r="J8" s="20">
        <v>0</v>
      </c>
      <c r="K8" s="20">
        <v>235851585</v>
      </c>
      <c r="M8" s="20">
        <v>540426</v>
      </c>
    </row>
    <row r="9" spans="2:13" x14ac:dyDescent="0.35">
      <c r="B9" s="26"/>
      <c r="C9" s="27" t="s">
        <v>70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292983750</v>
      </c>
      <c r="F15" s="28">
        <v>-57855179</v>
      </c>
      <c r="G15" s="28">
        <v>235128571</v>
      </c>
      <c r="I15" s="28">
        <v>235670145</v>
      </c>
      <c r="J15" s="28">
        <v>0</v>
      </c>
      <c r="K15" s="28">
        <v>235670145</v>
      </c>
      <c r="M15" s="28">
        <v>-541574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0</v>
      </c>
      <c r="F17" s="25">
        <v>0</v>
      </c>
      <c r="G17" s="25">
        <v>0</v>
      </c>
      <c r="I17" s="25">
        <v>0</v>
      </c>
      <c r="J17" s="25">
        <v>0</v>
      </c>
      <c r="K17" s="25">
        <v>0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292983750</v>
      </c>
      <c r="F18" s="23">
        <v>-57855179</v>
      </c>
      <c r="G18" s="23">
        <v>235128571</v>
      </c>
      <c r="I18" s="23">
        <v>235670145</v>
      </c>
      <c r="J18" s="23">
        <v>0</v>
      </c>
      <c r="K18" s="23">
        <v>235670145</v>
      </c>
      <c r="M18" s="23">
        <v>-541574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132000</v>
      </c>
      <c r="F35" s="28">
        <v>0</v>
      </c>
      <c r="G35" s="28">
        <v>132000</v>
      </c>
      <c r="I35" s="28">
        <v>0</v>
      </c>
      <c r="J35" s="28">
        <v>0</v>
      </c>
      <c r="K35" s="28">
        <v>0</v>
      </c>
      <c r="M35" s="28">
        <v>132000</v>
      </c>
    </row>
    <row r="36" spans="2:13" x14ac:dyDescent="0.35">
      <c r="B36" s="31">
        <v>26</v>
      </c>
      <c r="C36" s="29" t="s">
        <v>96</v>
      </c>
      <c r="E36" s="23">
        <v>0</v>
      </c>
      <c r="F36" s="23">
        <v>0</v>
      </c>
      <c r="G36" s="23">
        <v>0</v>
      </c>
      <c r="I36" s="23">
        <v>0</v>
      </c>
      <c r="J36" s="23">
        <v>0</v>
      </c>
      <c r="K36" s="23">
        <v>0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132000</v>
      </c>
      <c r="F37" s="25">
        <v>0</v>
      </c>
      <c r="G37" s="25">
        <v>132000</v>
      </c>
      <c r="I37" s="25"/>
      <c r="J37" s="25">
        <v>0</v>
      </c>
      <c r="K37" s="25">
        <v>0</v>
      </c>
      <c r="M37" s="25">
        <v>132000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0</v>
      </c>
      <c r="J40" s="23">
        <v>0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0</v>
      </c>
      <c r="F41" s="25">
        <v>0</v>
      </c>
      <c r="G41" s="25">
        <v>0</v>
      </c>
      <c r="I41" s="25">
        <v>0</v>
      </c>
      <c r="J41" s="25">
        <v>0</v>
      </c>
      <c r="K41" s="25">
        <v>0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/>
      <c r="F43" s="25">
        <v>0</v>
      </c>
      <c r="G43" s="25">
        <v>0</v>
      </c>
      <c r="I43" s="25">
        <v>0</v>
      </c>
      <c r="J43" s="25">
        <v>0</v>
      </c>
      <c r="K43" s="25">
        <v>0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0</v>
      </c>
      <c r="G48" s="23">
        <v>0</v>
      </c>
      <c r="I48" s="23">
        <v>0</v>
      </c>
      <c r="J48" s="23">
        <v>0</v>
      </c>
      <c r="K48" s="23">
        <v>0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0</v>
      </c>
      <c r="F51" s="28">
        <v>0</v>
      </c>
      <c r="G51" s="28">
        <v>0</v>
      </c>
      <c r="I51" s="28">
        <v>0</v>
      </c>
      <c r="J51" s="28">
        <v>0</v>
      </c>
      <c r="K51" s="28">
        <v>0</v>
      </c>
      <c r="M51" s="28">
        <v>0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0</v>
      </c>
      <c r="J52" s="23">
        <v>0</v>
      </c>
      <c r="K52" s="23">
        <v>0</v>
      </c>
      <c r="M52" s="23">
        <v>0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0</v>
      </c>
      <c r="J53" s="25">
        <v>0</v>
      </c>
      <c r="K53" s="25">
        <v>0</v>
      </c>
      <c r="M53" s="25">
        <v>0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43</v>
      </c>
      <c r="C55" s="30" t="s">
        <v>117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181440</v>
      </c>
      <c r="F67" s="28">
        <v>0</v>
      </c>
      <c r="G67" s="28">
        <v>181440</v>
      </c>
      <c r="I67" s="28">
        <v>181440</v>
      </c>
      <c r="J67" s="28">
        <v>0</v>
      </c>
      <c r="K67" s="28">
        <v>181440</v>
      </c>
      <c r="M67" s="28">
        <v>0</v>
      </c>
    </row>
    <row r="68" spans="2:13" x14ac:dyDescent="0.35">
      <c r="B68" s="31">
        <v>53</v>
      </c>
      <c r="C68" s="29" t="s">
        <v>129</v>
      </c>
      <c r="E68" s="23">
        <v>181440</v>
      </c>
      <c r="F68" s="23">
        <v>0</v>
      </c>
      <c r="G68" s="23">
        <v>181440</v>
      </c>
      <c r="I68" s="23">
        <v>181440</v>
      </c>
      <c r="J68" s="23">
        <v>0</v>
      </c>
      <c r="K68" s="23">
        <v>181440</v>
      </c>
      <c r="M68" s="23">
        <v>0</v>
      </c>
    </row>
    <row r="69" spans="2:13" x14ac:dyDescent="0.35">
      <c r="B69" s="26"/>
      <c r="C69" s="27" t="s">
        <v>130</v>
      </c>
      <c r="E69" s="28">
        <v>950000</v>
      </c>
      <c r="F69" s="28">
        <v>0</v>
      </c>
      <c r="G69" s="28">
        <v>950000</v>
      </c>
      <c r="I69" s="28">
        <v>0</v>
      </c>
      <c r="J69" s="28">
        <v>0</v>
      </c>
      <c r="K69" s="28">
        <v>0</v>
      </c>
      <c r="M69" s="28">
        <v>950000</v>
      </c>
    </row>
    <row r="70" spans="2:13" x14ac:dyDescent="0.35">
      <c r="B70" s="32">
        <v>54</v>
      </c>
      <c r="C70" s="30" t="s">
        <v>131</v>
      </c>
      <c r="E70" s="25">
        <v>950000</v>
      </c>
      <c r="F70" s="25">
        <v>0</v>
      </c>
      <c r="G70" s="25">
        <v>950000</v>
      </c>
      <c r="I70" s="25"/>
      <c r="J70" s="25">
        <v>0</v>
      </c>
      <c r="K70" s="25">
        <v>0</v>
      </c>
      <c r="M70" s="25">
        <v>950000</v>
      </c>
    </row>
    <row r="71" spans="2:13" x14ac:dyDescent="0.35">
      <c r="B71" s="26"/>
      <c r="C71" s="27" t="s">
        <v>132</v>
      </c>
      <c r="E71" s="28">
        <v>24610635</v>
      </c>
      <c r="F71" s="28">
        <v>-24610635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>
        <v>24610635</v>
      </c>
      <c r="F72" s="23">
        <v>-24610635</v>
      </c>
      <c r="G72" s="23">
        <v>0</v>
      </c>
      <c r="I72" s="23">
        <v>0</v>
      </c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D911ED0A-F156-47D7-ABAF-BE03442DCB26}">
      <formula1>Compadjust</formula1>
    </dataValidation>
    <dataValidation type="list" allowBlank="1" showInputMessage="1" showErrorMessage="1" sqref="J201:J598 K73:M598" xr:uid="{C3578969-925E-44C0-A1AF-D15727277525}">
      <formula1>Taxes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A68A-39CA-42D3-A08C-7ECF57F784DD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x14ac:dyDescent="0.35">
      <c r="C1" s="7" t="s">
        <v>53</v>
      </c>
      <c r="E1" s="9" t="s">
        <v>176</v>
      </c>
      <c r="F1" s="9">
        <v>6501383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9191657603</v>
      </c>
      <c r="F8" s="20">
        <v>357000</v>
      </c>
      <c r="G8" s="20">
        <v>9192014603</v>
      </c>
      <c r="I8" s="20">
        <v>9536649215</v>
      </c>
      <c r="J8" s="20">
        <v>-249191100</v>
      </c>
      <c r="K8" s="20">
        <v>9287458115</v>
      </c>
      <c r="M8" s="20">
        <v>-95443512</v>
      </c>
    </row>
    <row r="9" spans="2:13" x14ac:dyDescent="0.35">
      <c r="B9" s="26"/>
      <c r="C9" s="27" t="s">
        <v>70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861588471.99999964</v>
      </c>
      <c r="F15" s="28">
        <v>0</v>
      </c>
      <c r="G15" s="28">
        <v>861588471.99999964</v>
      </c>
      <c r="I15" s="28">
        <v>861588472</v>
      </c>
      <c r="J15" s="28">
        <v>0</v>
      </c>
      <c r="K15" s="28">
        <v>861588472</v>
      </c>
      <c r="M15" s="28">
        <v>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861588471.99999964</v>
      </c>
      <c r="F17" s="25">
        <v>0</v>
      </c>
      <c r="G17" s="25">
        <v>861588471.99999964</v>
      </c>
      <c r="I17" s="25">
        <v>861588472</v>
      </c>
      <c r="J17" s="25">
        <v>0</v>
      </c>
      <c r="K17" s="25">
        <v>861588472</v>
      </c>
      <c r="M17" s="25">
        <v>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0</v>
      </c>
      <c r="J18" s="23">
        <v>0</v>
      </c>
      <c r="K18" s="23">
        <v>0</v>
      </c>
      <c r="M18" s="23">
        <v>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5911088178</v>
      </c>
      <c r="F24" s="28">
        <v>0</v>
      </c>
      <c r="G24" s="28">
        <v>5911088178</v>
      </c>
      <c r="I24" s="28">
        <v>5911088178</v>
      </c>
      <c r="J24" s="28">
        <v>0</v>
      </c>
      <c r="K24" s="28">
        <v>5911088178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5911088178</v>
      </c>
      <c r="F33" s="23">
        <v>0</v>
      </c>
      <c r="G33" s="23">
        <v>5911088178</v>
      </c>
      <c r="I33" s="23">
        <v>5911088178</v>
      </c>
      <c r="J33" s="23">
        <v>0</v>
      </c>
      <c r="K33" s="23">
        <v>5911088178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2407331965</v>
      </c>
      <c r="F35" s="28">
        <v>357000</v>
      </c>
      <c r="G35" s="28">
        <v>2407688965</v>
      </c>
      <c r="I35" s="28">
        <v>2622781233</v>
      </c>
      <c r="J35" s="28">
        <v>-249191100</v>
      </c>
      <c r="K35" s="28">
        <v>2373590133</v>
      </c>
      <c r="M35" s="28">
        <v>34098832</v>
      </c>
    </row>
    <row r="36" spans="2:13" x14ac:dyDescent="0.35">
      <c r="B36" s="31">
        <v>26</v>
      </c>
      <c r="C36" s="29" t="s">
        <v>96</v>
      </c>
      <c r="E36" s="23">
        <v>0</v>
      </c>
      <c r="F36" s="23">
        <v>0</v>
      </c>
      <c r="G36" s="23">
        <v>0</v>
      </c>
      <c r="I36" s="23">
        <v>0</v>
      </c>
      <c r="J36" s="23">
        <v>0</v>
      </c>
      <c r="K36" s="23">
        <v>0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324134853</v>
      </c>
      <c r="F37" s="25">
        <v>0</v>
      </c>
      <c r="G37" s="25">
        <v>324134853</v>
      </c>
      <c r="I37" s="25">
        <v>290036021</v>
      </c>
      <c r="J37" s="25">
        <v>0</v>
      </c>
      <c r="K37" s="25">
        <v>290036021</v>
      </c>
      <c r="M37" s="25">
        <v>34098832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124595550</v>
      </c>
      <c r="J38" s="23">
        <v>-124595550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0</v>
      </c>
      <c r="J40" s="23">
        <v>0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2082297112</v>
      </c>
      <c r="F41" s="25">
        <v>0</v>
      </c>
      <c r="G41" s="25">
        <v>2082297112</v>
      </c>
      <c r="I41" s="25">
        <v>2206892662</v>
      </c>
      <c r="J41" s="25">
        <v>-124595550</v>
      </c>
      <c r="K41" s="25">
        <v>2082297112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900000</v>
      </c>
      <c r="F43" s="25">
        <v>357000</v>
      </c>
      <c r="G43" s="25">
        <v>1257000</v>
      </c>
      <c r="I43" s="25">
        <v>1257000</v>
      </c>
      <c r="J43" s="25">
        <v>0</v>
      </c>
      <c r="K43" s="25">
        <v>1257000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0</v>
      </c>
      <c r="G48" s="23">
        <v>0</v>
      </c>
      <c r="I48" s="23">
        <v>0</v>
      </c>
      <c r="J48" s="23">
        <v>0</v>
      </c>
      <c r="K48" s="23">
        <v>0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0</v>
      </c>
      <c r="F51" s="28">
        <v>0</v>
      </c>
      <c r="G51" s="28">
        <v>0</v>
      </c>
      <c r="I51" s="28">
        <v>129542344</v>
      </c>
      <c r="J51" s="28">
        <v>0</v>
      </c>
      <c r="K51" s="28">
        <v>129542344</v>
      </c>
      <c r="M51" s="28">
        <v>-129542344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46926297</v>
      </c>
      <c r="J52" s="23">
        <v>0</v>
      </c>
      <c r="K52" s="23">
        <v>46926297</v>
      </c>
      <c r="M52" s="23">
        <v>-46926297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21939861</v>
      </c>
      <c r="J53" s="25">
        <v>0</v>
      </c>
      <c r="K53" s="25">
        <v>21939861</v>
      </c>
      <c r="M53" s="25">
        <v>-21939861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27421128</v>
      </c>
      <c r="J54" s="23">
        <v>0</v>
      </c>
      <c r="K54" s="23">
        <v>27421128</v>
      </c>
      <c r="M54" s="23">
        <v>-27421128</v>
      </c>
    </row>
    <row r="55" spans="2:13" x14ac:dyDescent="0.35">
      <c r="B55" s="32">
        <v>43</v>
      </c>
      <c r="C55" s="30" t="s">
        <v>117</v>
      </c>
      <c r="E55" s="25">
        <v>0</v>
      </c>
      <c r="F55" s="25">
        <v>0</v>
      </c>
      <c r="G55" s="25">
        <v>0</v>
      </c>
      <c r="I55" s="25">
        <v>18959883</v>
      </c>
      <c r="J55" s="25">
        <v>0</v>
      </c>
      <c r="K55" s="25">
        <v>18959883</v>
      </c>
      <c r="M55" s="25">
        <v>-18959883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13712413</v>
      </c>
      <c r="J56" s="23">
        <v>0</v>
      </c>
      <c r="K56" s="23">
        <v>13712413</v>
      </c>
      <c r="M56" s="23">
        <v>-13712413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582762</v>
      </c>
      <c r="J57" s="25">
        <v>0</v>
      </c>
      <c r="K57" s="25">
        <v>582762</v>
      </c>
      <c r="M57" s="25">
        <v>-582762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848988</v>
      </c>
      <c r="F67" s="28">
        <v>0</v>
      </c>
      <c r="G67" s="28">
        <v>848988</v>
      </c>
      <c r="I67" s="28">
        <v>848988</v>
      </c>
      <c r="J67" s="28">
        <v>0</v>
      </c>
      <c r="K67" s="28">
        <v>848988</v>
      </c>
      <c r="M67" s="28">
        <v>0</v>
      </c>
    </row>
    <row r="68" spans="2:13" x14ac:dyDescent="0.35">
      <c r="B68" s="31">
        <v>53</v>
      </c>
      <c r="C68" s="29" t="s">
        <v>129</v>
      </c>
      <c r="E68" s="23">
        <v>848988</v>
      </c>
      <c r="F68" s="23">
        <v>0</v>
      </c>
      <c r="G68" s="23">
        <v>848988</v>
      </c>
      <c r="I68" s="23">
        <v>848988</v>
      </c>
      <c r="J68" s="23">
        <v>0</v>
      </c>
      <c r="K68" s="23">
        <v>848988</v>
      </c>
      <c r="M68" s="23">
        <v>0</v>
      </c>
    </row>
    <row r="69" spans="2:13" x14ac:dyDescent="0.35">
      <c r="B69" s="26"/>
      <c r="C69" s="27" t="s">
        <v>130</v>
      </c>
      <c r="E69" s="28">
        <v>10800000</v>
      </c>
      <c r="F69" s="28">
        <v>0</v>
      </c>
      <c r="G69" s="28">
        <v>10800000</v>
      </c>
      <c r="I69" s="28">
        <v>10800000</v>
      </c>
      <c r="J69" s="28">
        <v>0</v>
      </c>
      <c r="K69" s="28">
        <v>10800000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10800000</v>
      </c>
      <c r="F70" s="25">
        <v>0</v>
      </c>
      <c r="G70" s="25">
        <v>10800000</v>
      </c>
      <c r="I70" s="25">
        <v>10800000</v>
      </c>
      <c r="J70" s="25">
        <v>0</v>
      </c>
      <c r="K70" s="25">
        <v>10800000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/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5F76164E-AC9E-485D-B842-5EE32D5D0842}">
      <formula1>Compadjust</formula1>
    </dataValidation>
    <dataValidation type="list" allowBlank="1" showInputMessage="1" showErrorMessage="1" sqref="J201:J598 K73:M598" xr:uid="{B0F4754D-9AB5-490B-B616-E5BE5AF725FA}">
      <formula1>Taxes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B54F-A44E-4C53-AD2A-2306E0AB114F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31.5" x14ac:dyDescent="0.35">
      <c r="C1" s="7" t="s">
        <v>53</v>
      </c>
      <c r="E1" s="9" t="s">
        <v>50</v>
      </c>
      <c r="F1" s="9" t="s">
        <v>177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2970508068</v>
      </c>
      <c r="F8" s="20">
        <v>-113373419</v>
      </c>
      <c r="G8" s="20">
        <v>2857134649</v>
      </c>
      <c r="I8" s="20">
        <v>2858278749</v>
      </c>
      <c r="J8" s="20">
        <v>0</v>
      </c>
      <c r="K8" s="20">
        <v>2858278749</v>
      </c>
      <c r="M8" s="20">
        <v>-1144100</v>
      </c>
    </row>
    <row r="9" spans="2:13" x14ac:dyDescent="0.35">
      <c r="B9" s="26"/>
      <c r="C9" s="27" t="s">
        <v>70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496751413</v>
      </c>
      <c r="F15" s="28">
        <v>0</v>
      </c>
      <c r="G15" s="28">
        <v>496751413</v>
      </c>
      <c r="I15" s="28">
        <v>497895513</v>
      </c>
      <c r="J15" s="28">
        <v>0</v>
      </c>
      <c r="K15" s="28">
        <v>497895513</v>
      </c>
      <c r="M15" s="28">
        <v>-1144100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19566383</v>
      </c>
      <c r="F17" s="25">
        <v>0</v>
      </c>
      <c r="G17" s="25">
        <v>19566383</v>
      </c>
      <c r="I17" s="25">
        <v>19882008</v>
      </c>
      <c r="J17" s="25">
        <v>0</v>
      </c>
      <c r="K17" s="25">
        <v>19882008</v>
      </c>
      <c r="M17" s="25">
        <v>-315625</v>
      </c>
    </row>
    <row r="18" spans="2:13" x14ac:dyDescent="0.35">
      <c r="B18" s="21">
        <v>10</v>
      </c>
      <c r="C18" s="29" t="s">
        <v>79</v>
      </c>
      <c r="E18" s="23">
        <v>477185030</v>
      </c>
      <c r="F18" s="23">
        <v>0</v>
      </c>
      <c r="G18" s="23">
        <v>477185030</v>
      </c>
      <c r="I18" s="23">
        <v>478013505</v>
      </c>
      <c r="J18" s="23">
        <v>0</v>
      </c>
      <c r="K18" s="23">
        <v>478013505</v>
      </c>
      <c r="M18" s="23">
        <v>-828475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0</v>
      </c>
      <c r="F20" s="23">
        <v>0</v>
      </c>
      <c r="G20" s="23">
        <v>0</v>
      </c>
      <c r="I20" s="23">
        <v>0</v>
      </c>
      <c r="J20" s="23">
        <v>0</v>
      </c>
      <c r="K20" s="23">
        <v>0</v>
      </c>
      <c r="M20" s="23">
        <v>0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2306029180</v>
      </c>
      <c r="F35" s="28">
        <v>-113373419</v>
      </c>
      <c r="G35" s="28">
        <v>2192655761</v>
      </c>
      <c r="I35" s="28">
        <v>2192655761</v>
      </c>
      <c r="J35" s="28">
        <v>0</v>
      </c>
      <c r="K35" s="28">
        <v>2192655761</v>
      </c>
      <c r="M35" s="28">
        <v>0</v>
      </c>
    </row>
    <row r="36" spans="2:13" x14ac:dyDescent="0.35">
      <c r="B36" s="31">
        <v>26</v>
      </c>
      <c r="C36" s="29" t="s">
        <v>96</v>
      </c>
      <c r="E36" s="23">
        <v>0</v>
      </c>
      <c r="F36" s="23">
        <v>0</v>
      </c>
      <c r="G36" s="23">
        <v>0</v>
      </c>
      <c r="I36" s="23">
        <v>0</v>
      </c>
      <c r="J36" s="23">
        <v>0</v>
      </c>
      <c r="K36" s="23">
        <v>0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1083766735</v>
      </c>
      <c r="F37" s="25">
        <v>-107484991</v>
      </c>
      <c r="G37" s="25">
        <v>976281744</v>
      </c>
      <c r="I37" s="25">
        <v>976281744</v>
      </c>
      <c r="J37" s="25">
        <v>0</v>
      </c>
      <c r="K37" s="25">
        <v>976281744</v>
      </c>
      <c r="M37" s="25">
        <v>0</v>
      </c>
    </row>
    <row r="38" spans="2:13" x14ac:dyDescent="0.35">
      <c r="B38" s="31">
        <v>28</v>
      </c>
      <c r="C38" s="29" t="s">
        <v>98</v>
      </c>
      <c r="E38" s="23">
        <v>0</v>
      </c>
      <c r="F38" s="23">
        <v>0</v>
      </c>
      <c r="G38" s="23">
        <v>0</v>
      </c>
      <c r="I38" s="23">
        <v>0</v>
      </c>
      <c r="J38" s="23">
        <v>0</v>
      </c>
      <c r="K38" s="23">
        <v>0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0</v>
      </c>
      <c r="J40" s="23">
        <v>0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1204597165</v>
      </c>
      <c r="F41" s="25">
        <v>0</v>
      </c>
      <c r="G41" s="25">
        <v>1204597165</v>
      </c>
      <c r="I41" s="25">
        <v>1204597165</v>
      </c>
      <c r="J41" s="25">
        <v>0</v>
      </c>
      <c r="K41" s="25">
        <v>1204597165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17665280</v>
      </c>
      <c r="F43" s="25">
        <v>-5888428</v>
      </c>
      <c r="G43" s="25">
        <v>11776852</v>
      </c>
      <c r="I43" s="25">
        <v>11776852</v>
      </c>
      <c r="J43" s="25">
        <v>0</v>
      </c>
      <c r="K43" s="25">
        <v>11776852</v>
      </c>
      <c r="M43" s="25">
        <v>0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0</v>
      </c>
      <c r="G48" s="23">
        <v>0</v>
      </c>
      <c r="I48" s="23">
        <v>0</v>
      </c>
      <c r="J48" s="23">
        <v>0</v>
      </c>
      <c r="K48" s="23">
        <v>0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139492675</v>
      </c>
      <c r="F51" s="28">
        <v>0</v>
      </c>
      <c r="G51" s="28">
        <v>139492675</v>
      </c>
      <c r="I51" s="28">
        <v>139492675</v>
      </c>
      <c r="J51" s="28">
        <v>0</v>
      </c>
      <c r="K51" s="28">
        <v>139492675</v>
      </c>
      <c r="M51" s="28">
        <v>0</v>
      </c>
    </row>
    <row r="52" spans="2:13" x14ac:dyDescent="0.35">
      <c r="B52" s="31">
        <v>40</v>
      </c>
      <c r="C52" s="29" t="s">
        <v>114</v>
      </c>
      <c r="E52" s="23">
        <v>134932</v>
      </c>
      <c r="F52" s="23">
        <v>0</v>
      </c>
      <c r="G52" s="23">
        <v>134932</v>
      </c>
      <c r="I52" s="23">
        <v>134932</v>
      </c>
      <c r="J52" s="23">
        <v>0</v>
      </c>
      <c r="K52" s="23">
        <v>134932</v>
      </c>
      <c r="M52" s="23">
        <v>0</v>
      </c>
    </row>
    <row r="53" spans="2:13" x14ac:dyDescent="0.35">
      <c r="B53" s="32">
        <v>41</v>
      </c>
      <c r="C53" s="30" t="s">
        <v>115</v>
      </c>
      <c r="E53" s="25">
        <v>48459962</v>
      </c>
      <c r="F53" s="25">
        <v>0</v>
      </c>
      <c r="G53" s="25">
        <v>48459962</v>
      </c>
      <c r="I53" s="25">
        <v>48459962</v>
      </c>
      <c r="J53" s="25">
        <v>0</v>
      </c>
      <c r="K53" s="25">
        <v>48459962</v>
      </c>
      <c r="M53" s="25">
        <v>0</v>
      </c>
    </row>
    <row r="54" spans="2:13" x14ac:dyDescent="0.35">
      <c r="B54" s="31">
        <v>42</v>
      </c>
      <c r="C54" s="29" t="s">
        <v>116</v>
      </c>
      <c r="E54" s="23">
        <v>60574948</v>
      </c>
      <c r="F54" s="23">
        <v>0</v>
      </c>
      <c r="G54" s="23">
        <v>60574948</v>
      </c>
      <c r="I54" s="23">
        <v>60574948</v>
      </c>
      <c r="J54" s="23">
        <v>0</v>
      </c>
      <c r="K54" s="23">
        <v>60574948</v>
      </c>
      <c r="M54" s="23">
        <v>0</v>
      </c>
    </row>
    <row r="55" spans="2:13" x14ac:dyDescent="0.35">
      <c r="B55" s="32">
        <v>43</v>
      </c>
      <c r="C55" s="30" t="s">
        <v>117</v>
      </c>
      <c r="E55" s="25">
        <v>35360</v>
      </c>
      <c r="F55" s="25">
        <v>0</v>
      </c>
      <c r="G55" s="25">
        <v>35360</v>
      </c>
      <c r="I55" s="25">
        <v>35360</v>
      </c>
      <c r="J55" s="25">
        <v>0</v>
      </c>
      <c r="K55" s="25">
        <v>35360</v>
      </c>
      <c r="M55" s="25">
        <v>0</v>
      </c>
    </row>
    <row r="56" spans="2:13" x14ac:dyDescent="0.35">
      <c r="B56" s="31">
        <v>44</v>
      </c>
      <c r="C56" s="29" t="s">
        <v>118</v>
      </c>
      <c r="E56" s="23">
        <v>30287473</v>
      </c>
      <c r="F56" s="23">
        <v>0</v>
      </c>
      <c r="G56" s="23">
        <v>30287473</v>
      </c>
      <c r="I56" s="23">
        <v>30287473</v>
      </c>
      <c r="J56" s="23">
        <v>0</v>
      </c>
      <c r="K56" s="23">
        <v>30287473</v>
      </c>
      <c r="M56" s="23">
        <v>0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1738800</v>
      </c>
      <c r="F67" s="28">
        <v>0</v>
      </c>
      <c r="G67" s="28">
        <v>1738800</v>
      </c>
      <c r="I67" s="28">
        <v>1738800</v>
      </c>
      <c r="J67" s="28">
        <v>0</v>
      </c>
      <c r="K67" s="28">
        <v>1738800</v>
      </c>
      <c r="M67" s="28">
        <v>0</v>
      </c>
    </row>
    <row r="68" spans="2:13" x14ac:dyDescent="0.35">
      <c r="B68" s="31">
        <v>53</v>
      </c>
      <c r="C68" s="29" t="s">
        <v>129</v>
      </c>
      <c r="E68" s="23">
        <v>1738800</v>
      </c>
      <c r="F68" s="23">
        <v>0</v>
      </c>
      <c r="G68" s="23">
        <v>1738800</v>
      </c>
      <c r="I68" s="23">
        <v>1738800</v>
      </c>
      <c r="J68" s="23">
        <v>0</v>
      </c>
      <c r="K68" s="23">
        <v>1738800</v>
      </c>
      <c r="M68" s="23">
        <v>0</v>
      </c>
    </row>
    <row r="69" spans="2:13" x14ac:dyDescent="0.35">
      <c r="B69" s="26"/>
      <c r="C69" s="27" t="s">
        <v>130</v>
      </c>
      <c r="E69" s="28">
        <v>26496000</v>
      </c>
      <c r="F69" s="28">
        <v>0</v>
      </c>
      <c r="G69" s="28">
        <v>26496000</v>
      </c>
      <c r="I69" s="28">
        <v>26496000</v>
      </c>
      <c r="J69" s="28">
        <v>0</v>
      </c>
      <c r="K69" s="28">
        <v>26496000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26496000</v>
      </c>
      <c r="F70" s="25">
        <v>0</v>
      </c>
      <c r="G70" s="25">
        <v>26496000</v>
      </c>
      <c r="I70" s="25">
        <v>26496000</v>
      </c>
      <c r="J70" s="25">
        <v>0</v>
      </c>
      <c r="K70" s="25">
        <v>26496000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>
        <v>0</v>
      </c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F74229B1-0BAB-4467-ADDC-F7F77D15BCB9}">
      <formula1>Compadjust</formula1>
    </dataValidation>
    <dataValidation type="list" allowBlank="1" showInputMessage="1" showErrorMessage="1" sqref="J201:J598 K73:M598" xr:uid="{7F3104E9-9771-439A-A22B-3E9981C8002C}">
      <formula1>Taxes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2E32-EC33-47AD-B63A-54BD72295BD7}">
  <dimension ref="B1:M603"/>
  <sheetViews>
    <sheetView showGridLines="0" zoomScale="80" zoomScaleNormal="80" workbookViewId="0">
      <selection activeCell="B15" sqref="B15"/>
    </sheetView>
  </sheetViews>
  <sheetFormatPr baseColWidth="10" defaultColWidth="11.453125" defaultRowHeight="14.5" x14ac:dyDescent="0.35"/>
  <cols>
    <col min="2" max="2" width="6.08984375" style="6" bestFit="1" customWidth="1"/>
    <col min="3" max="3" width="59.08984375" style="38" bestFit="1" customWidth="1"/>
    <col min="4" max="4" width="0.90625" style="8" customWidth="1"/>
    <col min="5" max="5" width="15.54296875" style="8" customWidth="1"/>
    <col min="6" max="6" width="15.36328125" style="6" bestFit="1" customWidth="1"/>
    <col min="7" max="7" width="15.36328125" style="8" customWidth="1"/>
    <col min="8" max="8" width="0.90625" style="8" customWidth="1"/>
    <col min="9" max="9" width="15.36328125" style="8" bestFit="1" customWidth="1"/>
    <col min="10" max="10" width="14.453125" style="8" bestFit="1" customWidth="1"/>
    <col min="11" max="11" width="15.36328125" style="8" bestFit="1" customWidth="1"/>
    <col min="12" max="12" width="0.90625" style="8" customWidth="1"/>
    <col min="13" max="13" width="14.90625" style="8" customWidth="1"/>
  </cols>
  <sheetData>
    <row r="1" spans="2:13" ht="21" x14ac:dyDescent="0.35">
      <c r="C1" s="7" t="s">
        <v>53</v>
      </c>
      <c r="E1" s="9" t="s">
        <v>52</v>
      </c>
      <c r="F1" s="9">
        <v>6011291</v>
      </c>
      <c r="G1" s="10"/>
      <c r="J1" s="10" t="s">
        <v>56</v>
      </c>
      <c r="K1" s="10">
        <v>2019</v>
      </c>
    </row>
    <row r="2" spans="2:13" x14ac:dyDescent="0.35">
      <c r="C2" s="11"/>
      <c r="F2" s="8"/>
      <c r="I2" s="12" t="s">
        <v>57</v>
      </c>
      <c r="J2" s="12">
        <f>[1]Cours!$E$4</f>
        <v>585.96749999999997</v>
      </c>
    </row>
    <row r="3" spans="2:13" x14ac:dyDescent="0.35">
      <c r="B3" s="13" t="s">
        <v>58</v>
      </c>
      <c r="C3" s="14" t="s">
        <v>59</v>
      </c>
      <c r="E3" s="15" t="s">
        <v>60</v>
      </c>
      <c r="F3" s="15"/>
      <c r="G3" s="15"/>
      <c r="I3" s="15" t="s">
        <v>61</v>
      </c>
      <c r="J3" s="15"/>
      <c r="K3" s="15"/>
      <c r="M3" s="16" t="s">
        <v>62</v>
      </c>
    </row>
    <row r="4" spans="2:13" x14ac:dyDescent="0.35">
      <c r="B4" s="13"/>
      <c r="C4" s="14"/>
      <c r="E4" s="17" t="s">
        <v>63</v>
      </c>
      <c r="F4" s="17" t="s">
        <v>64</v>
      </c>
      <c r="G4" s="17" t="s">
        <v>65</v>
      </c>
      <c r="I4" s="17" t="s">
        <v>63</v>
      </c>
      <c r="J4" s="17" t="s">
        <v>64</v>
      </c>
      <c r="K4" s="17" t="s">
        <v>65</v>
      </c>
      <c r="M4" s="16"/>
    </row>
    <row r="5" spans="2:13" x14ac:dyDescent="0.35">
      <c r="B5" s="18" t="s">
        <v>66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</row>
    <row r="6" spans="2:13" x14ac:dyDescent="0.35">
      <c r="B6" s="21">
        <v>1</v>
      </c>
      <c r="C6" s="22" t="s">
        <v>67</v>
      </c>
      <c r="E6" s="23">
        <v>0</v>
      </c>
      <c r="F6" s="23">
        <v>0</v>
      </c>
      <c r="G6" s="23">
        <v>0</v>
      </c>
      <c r="I6" s="23">
        <v>0</v>
      </c>
      <c r="J6" s="23">
        <v>0</v>
      </c>
      <c r="K6" s="23">
        <v>0</v>
      </c>
      <c r="M6" s="23">
        <v>0</v>
      </c>
    </row>
    <row r="7" spans="2:13" x14ac:dyDescent="0.35">
      <c r="B7" s="6">
        <v>2</v>
      </c>
      <c r="C7" s="24" t="s">
        <v>68</v>
      </c>
      <c r="E7" s="25">
        <v>0</v>
      </c>
      <c r="F7" s="25">
        <v>0</v>
      </c>
      <c r="G7" s="25">
        <v>0</v>
      </c>
      <c r="I7" s="25">
        <v>0</v>
      </c>
      <c r="J7" s="25">
        <v>0</v>
      </c>
      <c r="K7" s="25">
        <v>0</v>
      </c>
      <c r="M7" s="25">
        <v>0</v>
      </c>
    </row>
    <row r="8" spans="2:13" x14ac:dyDescent="0.35">
      <c r="B8" s="18" t="s">
        <v>69</v>
      </c>
      <c r="C8" s="19"/>
      <c r="E8" s="20">
        <v>3262408116</v>
      </c>
      <c r="F8" s="20">
        <v>0</v>
      </c>
      <c r="G8" s="20">
        <v>3262408116</v>
      </c>
      <c r="I8" s="20">
        <v>2150901559</v>
      </c>
      <c r="J8" s="20">
        <v>1060861755</v>
      </c>
      <c r="K8" s="20">
        <v>3211763314</v>
      </c>
      <c r="M8" s="20">
        <v>50644802</v>
      </c>
    </row>
    <row r="9" spans="2:13" x14ac:dyDescent="0.35">
      <c r="B9" s="26"/>
      <c r="C9" s="27" t="s">
        <v>70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</row>
    <row r="10" spans="2:13" x14ac:dyDescent="0.35">
      <c r="B10" s="21">
        <v>3</v>
      </c>
      <c r="C10" s="29" t="s">
        <v>71</v>
      </c>
      <c r="E10" s="23">
        <v>0</v>
      </c>
      <c r="F10" s="23">
        <v>0</v>
      </c>
      <c r="G10" s="23">
        <v>0</v>
      </c>
      <c r="I10" s="23">
        <v>0</v>
      </c>
      <c r="J10" s="23">
        <v>0</v>
      </c>
      <c r="K10" s="23">
        <v>0</v>
      </c>
      <c r="M10" s="23">
        <v>0</v>
      </c>
    </row>
    <row r="11" spans="2:13" x14ac:dyDescent="0.35">
      <c r="B11" s="6">
        <v>4</v>
      </c>
      <c r="C11" s="30" t="s">
        <v>72</v>
      </c>
      <c r="E11" s="25">
        <v>0</v>
      </c>
      <c r="F11" s="25">
        <v>0</v>
      </c>
      <c r="G11" s="25">
        <v>0</v>
      </c>
      <c r="I11" s="25">
        <v>0</v>
      </c>
      <c r="J11" s="25">
        <v>0</v>
      </c>
      <c r="K11" s="25">
        <v>0</v>
      </c>
      <c r="M11" s="25">
        <v>0</v>
      </c>
    </row>
    <row r="12" spans="2:13" x14ac:dyDescent="0.35">
      <c r="B12" s="21">
        <v>5</v>
      </c>
      <c r="C12" s="29" t="s">
        <v>73</v>
      </c>
      <c r="E12" s="23">
        <v>0</v>
      </c>
      <c r="F12" s="23">
        <v>0</v>
      </c>
      <c r="G12" s="23">
        <v>0</v>
      </c>
      <c r="I12" s="23">
        <v>0</v>
      </c>
      <c r="J12" s="23">
        <v>0</v>
      </c>
      <c r="K12" s="23">
        <v>0</v>
      </c>
      <c r="M12" s="23">
        <v>0</v>
      </c>
    </row>
    <row r="13" spans="2:13" x14ac:dyDescent="0.35">
      <c r="B13" s="6">
        <v>6</v>
      </c>
      <c r="C13" s="30" t="s">
        <v>74</v>
      </c>
      <c r="E13" s="25">
        <v>0</v>
      </c>
      <c r="F13" s="25">
        <v>0</v>
      </c>
      <c r="G13" s="25">
        <v>0</v>
      </c>
      <c r="I13" s="25">
        <v>0</v>
      </c>
      <c r="J13" s="25">
        <v>0</v>
      </c>
      <c r="K13" s="25">
        <v>0</v>
      </c>
      <c r="M13" s="25">
        <v>0</v>
      </c>
    </row>
    <row r="14" spans="2:13" x14ac:dyDescent="0.35">
      <c r="B14" s="21">
        <v>7</v>
      </c>
      <c r="C14" s="29" t="s">
        <v>75</v>
      </c>
      <c r="E14" s="23">
        <v>0</v>
      </c>
      <c r="F14" s="23">
        <v>0</v>
      </c>
      <c r="G14" s="23">
        <v>0</v>
      </c>
      <c r="I14" s="23">
        <v>0</v>
      </c>
      <c r="J14" s="23">
        <v>0</v>
      </c>
      <c r="K14" s="23">
        <v>0</v>
      </c>
      <c r="M14" s="23">
        <v>0</v>
      </c>
    </row>
    <row r="15" spans="2:13" x14ac:dyDescent="0.35">
      <c r="B15" s="26"/>
      <c r="C15" s="27" t="s">
        <v>76</v>
      </c>
      <c r="E15" s="28">
        <v>179305751</v>
      </c>
      <c r="F15" s="28">
        <v>0</v>
      </c>
      <c r="G15" s="28">
        <v>179305751</v>
      </c>
      <c r="I15" s="28">
        <v>176616065</v>
      </c>
      <c r="J15" s="28">
        <v>0</v>
      </c>
      <c r="K15" s="28">
        <v>176616065</v>
      </c>
      <c r="M15" s="28">
        <v>2689686</v>
      </c>
    </row>
    <row r="16" spans="2:13" x14ac:dyDescent="0.35">
      <c r="B16" s="21">
        <v>8</v>
      </c>
      <c r="C16" s="29" t="s">
        <v>77</v>
      </c>
      <c r="E16" s="23">
        <v>0</v>
      </c>
      <c r="F16" s="23">
        <v>0</v>
      </c>
      <c r="G16" s="23">
        <v>0</v>
      </c>
      <c r="I16" s="23">
        <v>0</v>
      </c>
      <c r="J16" s="23">
        <v>0</v>
      </c>
      <c r="K16" s="23">
        <v>0</v>
      </c>
      <c r="M16" s="23">
        <v>0</v>
      </c>
    </row>
    <row r="17" spans="2:13" x14ac:dyDescent="0.35">
      <c r="B17" s="6">
        <v>9</v>
      </c>
      <c r="C17" s="30" t="s">
        <v>78</v>
      </c>
      <c r="E17" s="25">
        <v>116575000</v>
      </c>
      <c r="F17" s="25">
        <v>0</v>
      </c>
      <c r="G17" s="25">
        <v>116575000</v>
      </c>
      <c r="I17" s="25">
        <v>0</v>
      </c>
      <c r="J17" s="25">
        <v>0</v>
      </c>
      <c r="K17" s="25">
        <v>0</v>
      </c>
      <c r="M17" s="25">
        <v>116575000</v>
      </c>
    </row>
    <row r="18" spans="2:13" x14ac:dyDescent="0.35">
      <c r="B18" s="21">
        <v>10</v>
      </c>
      <c r="C18" s="29" t="s">
        <v>79</v>
      </c>
      <c r="E18" s="23">
        <v>0</v>
      </c>
      <c r="F18" s="23">
        <v>0</v>
      </c>
      <c r="G18" s="23">
        <v>0</v>
      </c>
      <c r="I18" s="23">
        <v>114200000</v>
      </c>
      <c r="J18" s="23">
        <v>0</v>
      </c>
      <c r="K18" s="23">
        <v>114200000</v>
      </c>
      <c r="M18" s="23">
        <v>-114200000</v>
      </c>
    </row>
    <row r="19" spans="2:13" x14ac:dyDescent="0.35">
      <c r="B19" s="6">
        <v>11</v>
      </c>
      <c r="C19" s="30" t="s">
        <v>80</v>
      </c>
      <c r="E19" s="25">
        <v>0</v>
      </c>
      <c r="F19" s="25">
        <v>0</v>
      </c>
      <c r="G19" s="25">
        <v>0</v>
      </c>
      <c r="I19" s="25">
        <v>0</v>
      </c>
      <c r="J19" s="25">
        <v>0</v>
      </c>
      <c r="K19" s="25">
        <v>0</v>
      </c>
      <c r="M19" s="25">
        <v>0</v>
      </c>
    </row>
    <row r="20" spans="2:13" x14ac:dyDescent="0.35">
      <c r="B20" s="21">
        <v>12</v>
      </c>
      <c r="C20" s="29" t="s">
        <v>81</v>
      </c>
      <c r="E20" s="23">
        <v>62730751</v>
      </c>
      <c r="F20" s="23">
        <v>0</v>
      </c>
      <c r="G20" s="23">
        <v>62730751</v>
      </c>
      <c r="I20" s="23">
        <v>62416065</v>
      </c>
      <c r="J20" s="23">
        <v>0</v>
      </c>
      <c r="K20" s="23">
        <v>62416065</v>
      </c>
      <c r="M20" s="23">
        <v>314686</v>
      </c>
    </row>
    <row r="21" spans="2:13" x14ac:dyDescent="0.35">
      <c r="B21" s="6">
        <v>13</v>
      </c>
      <c r="C21" s="30" t="s">
        <v>82</v>
      </c>
      <c r="E21" s="25">
        <v>0</v>
      </c>
      <c r="F21" s="25">
        <v>0</v>
      </c>
      <c r="G21" s="25">
        <v>0</v>
      </c>
      <c r="I21" s="25">
        <v>0</v>
      </c>
      <c r="J21" s="25">
        <v>0</v>
      </c>
      <c r="K21" s="25">
        <v>0</v>
      </c>
      <c r="M21" s="25">
        <v>0</v>
      </c>
    </row>
    <row r="22" spans="2:13" x14ac:dyDescent="0.35">
      <c r="B22" s="21">
        <v>14</v>
      </c>
      <c r="C22" s="29" t="s">
        <v>83</v>
      </c>
      <c r="E22" s="23">
        <v>0</v>
      </c>
      <c r="F22" s="23">
        <v>0</v>
      </c>
      <c r="G22" s="23">
        <v>0</v>
      </c>
      <c r="I22" s="23">
        <v>0</v>
      </c>
      <c r="J22" s="23">
        <v>0</v>
      </c>
      <c r="K22" s="23">
        <v>0</v>
      </c>
      <c r="M22" s="23">
        <v>0</v>
      </c>
    </row>
    <row r="23" spans="2:13" x14ac:dyDescent="0.35">
      <c r="B23" s="6">
        <v>15</v>
      </c>
      <c r="C23" s="30" t="s">
        <v>84</v>
      </c>
      <c r="E23" s="25">
        <v>0</v>
      </c>
      <c r="F23" s="25">
        <v>0</v>
      </c>
      <c r="G23" s="25">
        <v>0</v>
      </c>
      <c r="I23" s="25">
        <v>0</v>
      </c>
      <c r="J23" s="25">
        <v>0</v>
      </c>
      <c r="K23" s="25">
        <v>0</v>
      </c>
      <c r="M23" s="25">
        <v>0</v>
      </c>
    </row>
    <row r="24" spans="2:13" x14ac:dyDescent="0.35">
      <c r="B24" s="26"/>
      <c r="C24" s="27" t="s">
        <v>85</v>
      </c>
      <c r="E24" s="28">
        <v>0</v>
      </c>
      <c r="F24" s="28">
        <v>0</v>
      </c>
      <c r="G24" s="28">
        <v>0</v>
      </c>
      <c r="I24" s="28">
        <v>0</v>
      </c>
      <c r="J24" s="28">
        <v>0</v>
      </c>
      <c r="K24" s="28">
        <v>0</v>
      </c>
      <c r="M24" s="28">
        <v>0</v>
      </c>
    </row>
    <row r="25" spans="2:13" x14ac:dyDescent="0.35">
      <c r="B25" s="31">
        <v>16</v>
      </c>
      <c r="C25" s="29" t="s">
        <v>80</v>
      </c>
      <c r="E25" s="23">
        <v>0</v>
      </c>
      <c r="F25" s="23">
        <v>0</v>
      </c>
      <c r="G25" s="23">
        <v>0</v>
      </c>
      <c r="I25" s="23">
        <v>0</v>
      </c>
      <c r="J25" s="23">
        <v>0</v>
      </c>
      <c r="K25" s="23">
        <v>0</v>
      </c>
      <c r="M25" s="23">
        <v>0</v>
      </c>
    </row>
    <row r="26" spans="2:13" x14ac:dyDescent="0.35">
      <c r="B26" s="32">
        <v>17</v>
      </c>
      <c r="C26" s="30" t="s">
        <v>86</v>
      </c>
      <c r="E26" s="25">
        <v>0</v>
      </c>
      <c r="F26" s="25">
        <v>0</v>
      </c>
      <c r="G26" s="25">
        <v>0</v>
      </c>
      <c r="I26" s="25">
        <v>0</v>
      </c>
      <c r="J26" s="25">
        <v>0</v>
      </c>
      <c r="K26" s="25">
        <v>0</v>
      </c>
      <c r="M26" s="25">
        <v>0</v>
      </c>
    </row>
    <row r="27" spans="2:13" x14ac:dyDescent="0.35">
      <c r="B27" s="31">
        <v>18</v>
      </c>
      <c r="C27" s="29" t="s">
        <v>87</v>
      </c>
      <c r="E27" s="23">
        <v>0</v>
      </c>
      <c r="F27" s="23">
        <v>0</v>
      </c>
      <c r="G27" s="23">
        <v>0</v>
      </c>
      <c r="I27" s="23">
        <v>0</v>
      </c>
      <c r="J27" s="23">
        <v>0</v>
      </c>
      <c r="K27" s="23">
        <v>0</v>
      </c>
      <c r="M27" s="23">
        <v>0</v>
      </c>
    </row>
    <row r="28" spans="2:13" x14ac:dyDescent="0.35">
      <c r="B28" s="32">
        <v>19</v>
      </c>
      <c r="C28" s="30" t="s">
        <v>88</v>
      </c>
      <c r="E28" s="25">
        <v>0</v>
      </c>
      <c r="F28" s="25">
        <v>0</v>
      </c>
      <c r="G28" s="25">
        <v>0</v>
      </c>
      <c r="I28" s="25">
        <v>0</v>
      </c>
      <c r="J28" s="25">
        <v>0</v>
      </c>
      <c r="K28" s="25">
        <v>0</v>
      </c>
      <c r="M28" s="25">
        <v>0</v>
      </c>
    </row>
    <row r="29" spans="2:13" x14ac:dyDescent="0.35">
      <c r="B29" s="31">
        <v>20</v>
      </c>
      <c r="C29" s="29" t="s">
        <v>89</v>
      </c>
      <c r="E29" s="23">
        <v>0</v>
      </c>
      <c r="F29" s="23">
        <v>0</v>
      </c>
      <c r="G29" s="23">
        <v>0</v>
      </c>
      <c r="I29" s="23">
        <v>0</v>
      </c>
      <c r="J29" s="23">
        <v>0</v>
      </c>
      <c r="K29" s="23">
        <v>0</v>
      </c>
      <c r="M29" s="23">
        <v>0</v>
      </c>
    </row>
    <row r="30" spans="2:13" x14ac:dyDescent="0.35">
      <c r="B30" s="32">
        <v>21</v>
      </c>
      <c r="C30" s="30" t="s">
        <v>90</v>
      </c>
      <c r="E30" s="25">
        <v>0</v>
      </c>
      <c r="F30" s="25">
        <v>0</v>
      </c>
      <c r="G30" s="25">
        <v>0</v>
      </c>
      <c r="I30" s="25">
        <v>0</v>
      </c>
      <c r="J30" s="25">
        <v>0</v>
      </c>
      <c r="K30" s="25">
        <v>0</v>
      </c>
      <c r="M30" s="25">
        <v>0</v>
      </c>
    </row>
    <row r="31" spans="2:13" x14ac:dyDescent="0.35">
      <c r="B31" s="31">
        <v>22</v>
      </c>
      <c r="C31" s="29" t="s">
        <v>91</v>
      </c>
      <c r="E31" s="23">
        <v>0</v>
      </c>
      <c r="F31" s="23">
        <v>0</v>
      </c>
      <c r="G31" s="23">
        <v>0</v>
      </c>
      <c r="I31" s="23">
        <v>0</v>
      </c>
      <c r="J31" s="23">
        <v>0</v>
      </c>
      <c r="K31" s="23">
        <v>0</v>
      </c>
      <c r="M31" s="23">
        <v>0</v>
      </c>
    </row>
    <row r="32" spans="2:13" x14ac:dyDescent="0.35">
      <c r="B32" s="32">
        <v>23</v>
      </c>
      <c r="C32" s="30" t="s">
        <v>92</v>
      </c>
      <c r="E32" s="25">
        <v>0</v>
      </c>
      <c r="F32" s="25">
        <v>0</v>
      </c>
      <c r="G32" s="25">
        <v>0</v>
      </c>
      <c r="I32" s="25">
        <v>0</v>
      </c>
      <c r="J32" s="25">
        <v>0</v>
      </c>
      <c r="K32" s="25">
        <v>0</v>
      </c>
      <c r="M32" s="25">
        <v>0</v>
      </c>
    </row>
    <row r="33" spans="2:13" x14ac:dyDescent="0.35">
      <c r="B33" s="31">
        <v>24</v>
      </c>
      <c r="C33" s="29" t="s">
        <v>93</v>
      </c>
      <c r="E33" s="23">
        <v>0</v>
      </c>
      <c r="F33" s="23">
        <v>0</v>
      </c>
      <c r="G33" s="23">
        <v>0</v>
      </c>
      <c r="I33" s="23">
        <v>0</v>
      </c>
      <c r="J33" s="23">
        <v>0</v>
      </c>
      <c r="K33" s="23">
        <v>0</v>
      </c>
      <c r="M33" s="23">
        <v>0</v>
      </c>
    </row>
    <row r="34" spans="2:13" x14ac:dyDescent="0.35">
      <c r="B34" s="32">
        <v>25</v>
      </c>
      <c r="C34" s="30" t="s">
        <v>94</v>
      </c>
      <c r="E34" s="25">
        <v>0</v>
      </c>
      <c r="F34" s="25">
        <v>0</v>
      </c>
      <c r="G34" s="25">
        <v>0</v>
      </c>
      <c r="I34" s="25">
        <v>0</v>
      </c>
      <c r="J34" s="25">
        <v>0</v>
      </c>
      <c r="K34" s="25">
        <v>0</v>
      </c>
      <c r="M34" s="25">
        <v>0</v>
      </c>
    </row>
    <row r="35" spans="2:13" x14ac:dyDescent="0.35">
      <c r="B35" s="26"/>
      <c r="C35" s="27" t="s">
        <v>95</v>
      </c>
      <c r="E35" s="28">
        <v>3075859525</v>
      </c>
      <c r="F35" s="28">
        <v>0</v>
      </c>
      <c r="G35" s="28">
        <v>3075859525</v>
      </c>
      <c r="I35" s="28">
        <v>1967163614</v>
      </c>
      <c r="J35" s="28">
        <v>1060861755</v>
      </c>
      <c r="K35" s="28">
        <v>3028025369</v>
      </c>
      <c r="M35" s="28">
        <v>47834156</v>
      </c>
    </row>
    <row r="36" spans="2:13" x14ac:dyDescent="0.35">
      <c r="B36" s="31">
        <v>26</v>
      </c>
      <c r="C36" s="29" t="s">
        <v>96</v>
      </c>
      <c r="E36" s="23">
        <v>0</v>
      </c>
      <c r="F36" s="23">
        <v>0</v>
      </c>
      <c r="G36" s="23">
        <v>0</v>
      </c>
      <c r="I36" s="23">
        <v>0</v>
      </c>
      <c r="J36" s="23">
        <v>0</v>
      </c>
      <c r="K36" s="23">
        <v>0</v>
      </c>
      <c r="M36" s="23">
        <v>0</v>
      </c>
    </row>
    <row r="37" spans="2:13" x14ac:dyDescent="0.35">
      <c r="B37" s="32">
        <v>27</v>
      </c>
      <c r="C37" s="30" t="s">
        <v>97</v>
      </c>
      <c r="E37" s="25">
        <v>512768308</v>
      </c>
      <c r="F37" s="25">
        <v>0</v>
      </c>
      <c r="G37" s="25">
        <v>512768308</v>
      </c>
      <c r="I37" s="25">
        <v>11687263</v>
      </c>
      <c r="J37" s="25">
        <v>453801142</v>
      </c>
      <c r="K37" s="25">
        <v>465488405</v>
      </c>
      <c r="M37" s="25">
        <v>47279903</v>
      </c>
    </row>
    <row r="38" spans="2:13" x14ac:dyDescent="0.35">
      <c r="B38" s="31">
        <v>28</v>
      </c>
      <c r="C38" s="29" t="s">
        <v>98</v>
      </c>
      <c r="E38" s="23">
        <v>983581807</v>
      </c>
      <c r="F38" s="23">
        <v>0</v>
      </c>
      <c r="G38" s="23">
        <v>983581807</v>
      </c>
      <c r="I38" s="23">
        <v>983581807</v>
      </c>
      <c r="J38" s="23">
        <v>0</v>
      </c>
      <c r="K38" s="23">
        <v>983581807</v>
      </c>
      <c r="M38" s="23">
        <v>0</v>
      </c>
    </row>
    <row r="39" spans="2:13" x14ac:dyDescent="0.35">
      <c r="B39" s="32" t="s">
        <v>99</v>
      </c>
      <c r="C39" s="30" t="s">
        <v>100</v>
      </c>
      <c r="E39" s="25">
        <v>0</v>
      </c>
      <c r="F39" s="25">
        <v>0</v>
      </c>
      <c r="G39" s="25">
        <v>0</v>
      </c>
      <c r="I39" s="25">
        <v>0</v>
      </c>
      <c r="J39" s="25">
        <v>0</v>
      </c>
      <c r="K39" s="25">
        <v>0</v>
      </c>
      <c r="M39" s="25">
        <v>0</v>
      </c>
    </row>
    <row r="40" spans="2:13" x14ac:dyDescent="0.35">
      <c r="B40" s="31" t="s">
        <v>101</v>
      </c>
      <c r="C40" s="29" t="s">
        <v>102</v>
      </c>
      <c r="E40" s="23">
        <v>0</v>
      </c>
      <c r="F40" s="23">
        <v>0</v>
      </c>
      <c r="G40" s="23">
        <v>0</v>
      </c>
      <c r="I40" s="23">
        <v>0</v>
      </c>
      <c r="J40" s="23">
        <v>0</v>
      </c>
      <c r="K40" s="23">
        <v>0</v>
      </c>
      <c r="M40" s="23">
        <v>0</v>
      </c>
    </row>
    <row r="41" spans="2:13" x14ac:dyDescent="0.35">
      <c r="B41" s="32">
        <v>30</v>
      </c>
      <c r="C41" s="30" t="s">
        <v>103</v>
      </c>
      <c r="E41" s="25">
        <v>1578955157</v>
      </c>
      <c r="F41" s="25">
        <v>0</v>
      </c>
      <c r="G41" s="25">
        <v>1578955157</v>
      </c>
      <c r="I41" s="25">
        <v>971894544</v>
      </c>
      <c r="J41" s="25">
        <v>607060613</v>
      </c>
      <c r="K41" s="25">
        <v>1578955157</v>
      </c>
      <c r="M41" s="25">
        <v>0</v>
      </c>
    </row>
    <row r="42" spans="2:13" x14ac:dyDescent="0.35">
      <c r="B42" s="31">
        <v>31</v>
      </c>
      <c r="C42" s="29" t="s">
        <v>104</v>
      </c>
      <c r="E42" s="23">
        <v>0</v>
      </c>
      <c r="F42" s="23">
        <v>0</v>
      </c>
      <c r="G42" s="23">
        <v>0</v>
      </c>
      <c r="I42" s="23">
        <v>0</v>
      </c>
      <c r="J42" s="23">
        <v>0</v>
      </c>
      <c r="K42" s="23">
        <v>0</v>
      </c>
      <c r="M42" s="23">
        <v>0</v>
      </c>
    </row>
    <row r="43" spans="2:13" x14ac:dyDescent="0.35">
      <c r="B43" s="32">
        <v>32</v>
      </c>
      <c r="C43" s="30" t="s">
        <v>105</v>
      </c>
      <c r="E43" s="25">
        <v>554253</v>
      </c>
      <c r="F43" s="25">
        <v>0</v>
      </c>
      <c r="G43" s="25">
        <v>554253</v>
      </c>
      <c r="I43" s="25">
        <v>0</v>
      </c>
      <c r="J43" s="25">
        <v>0</v>
      </c>
      <c r="K43" s="25">
        <v>0</v>
      </c>
      <c r="M43" s="25">
        <v>554253</v>
      </c>
    </row>
    <row r="44" spans="2:13" x14ac:dyDescent="0.35">
      <c r="B44" s="31">
        <v>33</v>
      </c>
      <c r="C44" s="29" t="s">
        <v>106</v>
      </c>
      <c r="E44" s="23">
        <v>0</v>
      </c>
      <c r="F44" s="23">
        <v>0</v>
      </c>
      <c r="G44" s="23">
        <v>0</v>
      </c>
      <c r="I44" s="23">
        <v>0</v>
      </c>
      <c r="J44" s="23">
        <v>0</v>
      </c>
      <c r="K44" s="23">
        <v>0</v>
      </c>
      <c r="M44" s="23">
        <v>0</v>
      </c>
    </row>
    <row r="45" spans="2:13" x14ac:dyDescent="0.35">
      <c r="B45" s="32">
        <v>34</v>
      </c>
      <c r="C45" s="30" t="s">
        <v>107</v>
      </c>
      <c r="E45" s="25">
        <v>0</v>
      </c>
      <c r="F45" s="25">
        <v>0</v>
      </c>
      <c r="G45" s="25">
        <v>0</v>
      </c>
      <c r="I45" s="25">
        <v>0</v>
      </c>
      <c r="J45" s="25">
        <v>0</v>
      </c>
      <c r="K45" s="25">
        <v>0</v>
      </c>
      <c r="M45" s="25">
        <v>0</v>
      </c>
    </row>
    <row r="46" spans="2:13" x14ac:dyDescent="0.35">
      <c r="B46" s="31">
        <v>35</v>
      </c>
      <c r="C46" s="29" t="s">
        <v>108</v>
      </c>
      <c r="E46" s="23">
        <v>0</v>
      </c>
      <c r="F46" s="23">
        <v>0</v>
      </c>
      <c r="G46" s="23">
        <v>0</v>
      </c>
      <c r="I46" s="23">
        <v>0</v>
      </c>
      <c r="J46" s="23">
        <v>0</v>
      </c>
      <c r="K46" s="23">
        <v>0</v>
      </c>
      <c r="M46" s="23">
        <v>0</v>
      </c>
    </row>
    <row r="47" spans="2:13" x14ac:dyDescent="0.35">
      <c r="B47" s="32">
        <v>36</v>
      </c>
      <c r="C47" s="30" t="s">
        <v>109</v>
      </c>
      <c r="E47" s="25">
        <v>0</v>
      </c>
      <c r="F47" s="25">
        <v>0</v>
      </c>
      <c r="G47" s="25">
        <v>0</v>
      </c>
      <c r="I47" s="25">
        <v>0</v>
      </c>
      <c r="J47" s="25">
        <v>0</v>
      </c>
      <c r="K47" s="25">
        <v>0</v>
      </c>
      <c r="M47" s="25">
        <v>0</v>
      </c>
    </row>
    <row r="48" spans="2:13" x14ac:dyDescent="0.35">
      <c r="B48" s="31">
        <v>37</v>
      </c>
      <c r="C48" s="29" t="s">
        <v>110</v>
      </c>
      <c r="E48" s="23">
        <v>0</v>
      </c>
      <c r="F48" s="23">
        <v>0</v>
      </c>
      <c r="G48" s="23">
        <v>0</v>
      </c>
      <c r="I48" s="23">
        <v>0</v>
      </c>
      <c r="J48" s="23">
        <v>0</v>
      </c>
      <c r="K48" s="23">
        <v>0</v>
      </c>
      <c r="M48" s="23">
        <v>0</v>
      </c>
    </row>
    <row r="49" spans="2:13" x14ac:dyDescent="0.35">
      <c r="B49" s="32">
        <v>38</v>
      </c>
      <c r="C49" s="30" t="s">
        <v>111</v>
      </c>
      <c r="E49" s="25">
        <v>0</v>
      </c>
      <c r="F49" s="25">
        <v>0</v>
      </c>
      <c r="G49" s="25">
        <v>0</v>
      </c>
      <c r="I49" s="25">
        <v>0</v>
      </c>
      <c r="J49" s="25">
        <v>0</v>
      </c>
      <c r="K49" s="25">
        <v>0</v>
      </c>
      <c r="M49" s="25">
        <v>0</v>
      </c>
    </row>
    <row r="50" spans="2:13" x14ac:dyDescent="0.35">
      <c r="B50" s="31">
        <v>39</v>
      </c>
      <c r="C50" s="29" t="s">
        <v>112</v>
      </c>
      <c r="E50" s="23">
        <v>0</v>
      </c>
      <c r="F50" s="23">
        <v>0</v>
      </c>
      <c r="G50" s="23">
        <v>0</v>
      </c>
      <c r="I50" s="23">
        <v>0</v>
      </c>
      <c r="J50" s="23">
        <v>0</v>
      </c>
      <c r="K50" s="23">
        <v>0</v>
      </c>
      <c r="M50" s="23">
        <v>0</v>
      </c>
    </row>
    <row r="51" spans="2:13" x14ac:dyDescent="0.35">
      <c r="B51" s="26"/>
      <c r="C51" s="27" t="s">
        <v>113</v>
      </c>
      <c r="E51" s="28">
        <v>0</v>
      </c>
      <c r="F51" s="28">
        <v>0</v>
      </c>
      <c r="G51" s="28">
        <v>0</v>
      </c>
      <c r="I51" s="28">
        <v>0</v>
      </c>
      <c r="J51" s="28">
        <v>0</v>
      </c>
      <c r="K51" s="28">
        <v>0</v>
      </c>
      <c r="M51" s="28">
        <v>0</v>
      </c>
    </row>
    <row r="52" spans="2:13" x14ac:dyDescent="0.35">
      <c r="B52" s="31">
        <v>40</v>
      </c>
      <c r="C52" s="29" t="s">
        <v>114</v>
      </c>
      <c r="E52" s="23">
        <v>0</v>
      </c>
      <c r="F52" s="23">
        <v>0</v>
      </c>
      <c r="G52" s="23">
        <v>0</v>
      </c>
      <c r="I52" s="23">
        <v>0</v>
      </c>
      <c r="J52" s="23">
        <v>0</v>
      </c>
      <c r="K52" s="23">
        <v>0</v>
      </c>
      <c r="M52" s="23">
        <v>0</v>
      </c>
    </row>
    <row r="53" spans="2:13" x14ac:dyDescent="0.35">
      <c r="B53" s="32">
        <v>41</v>
      </c>
      <c r="C53" s="30" t="s">
        <v>115</v>
      </c>
      <c r="E53" s="25">
        <v>0</v>
      </c>
      <c r="F53" s="25">
        <v>0</v>
      </c>
      <c r="G53" s="25">
        <v>0</v>
      </c>
      <c r="I53" s="25">
        <v>0</v>
      </c>
      <c r="J53" s="25">
        <v>0</v>
      </c>
      <c r="K53" s="25">
        <v>0</v>
      </c>
      <c r="M53" s="25">
        <v>0</v>
      </c>
    </row>
    <row r="54" spans="2:13" x14ac:dyDescent="0.35">
      <c r="B54" s="31">
        <v>42</v>
      </c>
      <c r="C54" s="29" t="s">
        <v>116</v>
      </c>
      <c r="E54" s="23">
        <v>0</v>
      </c>
      <c r="F54" s="23">
        <v>0</v>
      </c>
      <c r="G54" s="23">
        <v>0</v>
      </c>
      <c r="I54" s="23">
        <v>0</v>
      </c>
      <c r="J54" s="23">
        <v>0</v>
      </c>
      <c r="K54" s="23">
        <v>0</v>
      </c>
      <c r="M54" s="23">
        <v>0</v>
      </c>
    </row>
    <row r="55" spans="2:13" x14ac:dyDescent="0.35">
      <c r="B55" s="32">
        <v>43</v>
      </c>
      <c r="C55" s="30" t="s">
        <v>117</v>
      </c>
      <c r="E55" s="25">
        <v>0</v>
      </c>
      <c r="F55" s="25">
        <v>0</v>
      </c>
      <c r="G55" s="25">
        <v>0</v>
      </c>
      <c r="I55" s="25">
        <v>0</v>
      </c>
      <c r="J55" s="25">
        <v>0</v>
      </c>
      <c r="K55" s="25">
        <v>0</v>
      </c>
      <c r="M55" s="25">
        <v>0</v>
      </c>
    </row>
    <row r="56" spans="2:13" x14ac:dyDescent="0.35">
      <c r="B56" s="31">
        <v>44</v>
      </c>
      <c r="C56" s="29" t="s">
        <v>118</v>
      </c>
      <c r="E56" s="23">
        <v>0</v>
      </c>
      <c r="F56" s="23">
        <v>0</v>
      </c>
      <c r="G56" s="23">
        <v>0</v>
      </c>
      <c r="I56" s="23">
        <v>0</v>
      </c>
      <c r="J56" s="23">
        <v>0</v>
      </c>
      <c r="K56" s="23">
        <v>0</v>
      </c>
      <c r="M56" s="23">
        <v>0</v>
      </c>
    </row>
    <row r="57" spans="2:13" x14ac:dyDescent="0.35">
      <c r="B57" s="32">
        <v>45</v>
      </c>
      <c r="C57" s="30" t="s">
        <v>119</v>
      </c>
      <c r="E57" s="25">
        <v>0</v>
      </c>
      <c r="F57" s="25">
        <v>0</v>
      </c>
      <c r="G57" s="25">
        <v>0</v>
      </c>
      <c r="I57" s="25">
        <v>0</v>
      </c>
      <c r="J57" s="25">
        <v>0</v>
      </c>
      <c r="K57" s="25">
        <v>0</v>
      </c>
      <c r="M57" s="25">
        <v>0</v>
      </c>
    </row>
    <row r="58" spans="2:13" x14ac:dyDescent="0.35">
      <c r="B58" s="31">
        <v>46</v>
      </c>
      <c r="C58" s="29" t="s">
        <v>120</v>
      </c>
      <c r="E58" s="23">
        <v>0</v>
      </c>
      <c r="F58" s="23">
        <v>0</v>
      </c>
      <c r="G58" s="23">
        <v>0</v>
      </c>
      <c r="I58" s="23">
        <v>0</v>
      </c>
      <c r="J58" s="23">
        <v>0</v>
      </c>
      <c r="K58" s="23">
        <v>0</v>
      </c>
      <c r="M58" s="23">
        <v>0</v>
      </c>
    </row>
    <row r="59" spans="2:13" x14ac:dyDescent="0.35">
      <c r="B59" s="32">
        <v>47</v>
      </c>
      <c r="C59" s="30" t="s">
        <v>121</v>
      </c>
      <c r="E59" s="25">
        <v>0</v>
      </c>
      <c r="F59" s="25">
        <v>0</v>
      </c>
      <c r="G59" s="25">
        <v>0</v>
      </c>
      <c r="I59" s="25">
        <v>0</v>
      </c>
      <c r="J59" s="25">
        <v>0</v>
      </c>
      <c r="K59" s="25">
        <v>0</v>
      </c>
      <c r="M59" s="25">
        <v>0</v>
      </c>
    </row>
    <row r="60" spans="2:13" x14ac:dyDescent="0.35">
      <c r="B60" s="26"/>
      <c r="C60" s="27" t="s">
        <v>122</v>
      </c>
      <c r="E60" s="28">
        <v>0</v>
      </c>
      <c r="F60" s="28">
        <v>0</v>
      </c>
      <c r="G60" s="28">
        <v>0</v>
      </c>
      <c r="I60" s="28">
        <v>0</v>
      </c>
      <c r="J60" s="28">
        <v>0</v>
      </c>
      <c r="K60" s="28">
        <v>0</v>
      </c>
      <c r="M60" s="28">
        <v>0</v>
      </c>
    </row>
    <row r="61" spans="2:13" x14ac:dyDescent="0.35">
      <c r="B61" s="31">
        <v>48</v>
      </c>
      <c r="C61" s="29" t="s">
        <v>123</v>
      </c>
      <c r="E61" s="23">
        <v>0</v>
      </c>
      <c r="F61" s="23">
        <v>0</v>
      </c>
      <c r="G61" s="23">
        <v>0</v>
      </c>
      <c r="I61" s="23">
        <v>0</v>
      </c>
      <c r="J61" s="23">
        <v>0</v>
      </c>
      <c r="K61" s="23">
        <v>0</v>
      </c>
      <c r="M61" s="23">
        <v>0</v>
      </c>
    </row>
    <row r="62" spans="2:13" x14ac:dyDescent="0.35">
      <c r="B62" s="32">
        <v>49</v>
      </c>
      <c r="C62" s="30" t="s">
        <v>124</v>
      </c>
      <c r="E62" s="25">
        <v>0</v>
      </c>
      <c r="F62" s="25">
        <v>0</v>
      </c>
      <c r="G62" s="25">
        <v>0</v>
      </c>
      <c r="I62" s="25">
        <v>0</v>
      </c>
      <c r="J62" s="25">
        <v>0</v>
      </c>
      <c r="K62" s="25">
        <v>0</v>
      </c>
      <c r="M62" s="25">
        <v>0</v>
      </c>
    </row>
    <row r="63" spans="2:13" x14ac:dyDescent="0.35">
      <c r="B63" s="31">
        <v>50</v>
      </c>
      <c r="C63" s="29" t="s">
        <v>125</v>
      </c>
      <c r="E63" s="23">
        <v>0</v>
      </c>
      <c r="F63" s="23">
        <v>0</v>
      </c>
      <c r="G63" s="23">
        <v>0</v>
      </c>
      <c r="I63" s="23">
        <v>0</v>
      </c>
      <c r="J63" s="23">
        <v>0</v>
      </c>
      <c r="K63" s="23">
        <v>0</v>
      </c>
      <c r="M63" s="23">
        <v>0</v>
      </c>
    </row>
    <row r="64" spans="2:13" x14ac:dyDescent="0.35">
      <c r="B64" s="26"/>
      <c r="C64" s="27" t="s">
        <v>126</v>
      </c>
      <c r="E64" s="28">
        <v>0</v>
      </c>
      <c r="F64" s="28">
        <v>0</v>
      </c>
      <c r="G64" s="28">
        <v>0</v>
      </c>
      <c r="I64" s="28">
        <v>0</v>
      </c>
      <c r="J64" s="28">
        <v>0</v>
      </c>
      <c r="K64" s="28">
        <v>0</v>
      </c>
      <c r="M64" s="28">
        <v>0</v>
      </c>
    </row>
    <row r="65" spans="2:13" x14ac:dyDescent="0.35">
      <c r="B65" s="31">
        <v>51</v>
      </c>
      <c r="C65" s="29" t="s">
        <v>127</v>
      </c>
      <c r="E65" s="23">
        <v>0</v>
      </c>
      <c r="F65" s="23">
        <v>0</v>
      </c>
      <c r="G65" s="23">
        <v>0</v>
      </c>
      <c r="I65" s="23">
        <v>0</v>
      </c>
      <c r="J65" s="23">
        <v>0</v>
      </c>
      <c r="K65" s="23">
        <v>0</v>
      </c>
      <c r="M65" s="23">
        <v>0</v>
      </c>
    </row>
    <row r="66" spans="2:13" x14ac:dyDescent="0.35">
      <c r="B66" s="32">
        <v>52</v>
      </c>
      <c r="C66" s="30" t="s">
        <v>125</v>
      </c>
      <c r="E66" s="25">
        <v>0</v>
      </c>
      <c r="F66" s="25">
        <v>0</v>
      </c>
      <c r="G66" s="25">
        <v>0</v>
      </c>
      <c r="I66" s="25">
        <v>0</v>
      </c>
      <c r="J66" s="25">
        <v>0</v>
      </c>
      <c r="K66" s="25">
        <v>0</v>
      </c>
      <c r="M66" s="25">
        <v>0</v>
      </c>
    </row>
    <row r="67" spans="2:13" x14ac:dyDescent="0.35">
      <c r="B67" s="26"/>
      <c r="C67" s="27" t="s">
        <v>128</v>
      </c>
      <c r="E67" s="28">
        <v>446040</v>
      </c>
      <c r="F67" s="28">
        <v>0</v>
      </c>
      <c r="G67" s="28">
        <v>446040</v>
      </c>
      <c r="I67" s="28">
        <v>325080</v>
      </c>
      <c r="J67" s="28">
        <v>0</v>
      </c>
      <c r="K67" s="28">
        <v>325080</v>
      </c>
      <c r="M67" s="28">
        <v>120960</v>
      </c>
    </row>
    <row r="68" spans="2:13" x14ac:dyDescent="0.35">
      <c r="B68" s="31">
        <v>53</v>
      </c>
      <c r="C68" s="29" t="s">
        <v>129</v>
      </c>
      <c r="E68" s="23">
        <v>446040</v>
      </c>
      <c r="F68" s="23">
        <v>0</v>
      </c>
      <c r="G68" s="23">
        <v>446040</v>
      </c>
      <c r="I68" s="23">
        <v>325080</v>
      </c>
      <c r="J68" s="23">
        <v>0</v>
      </c>
      <c r="K68" s="23">
        <v>325080</v>
      </c>
      <c r="M68" s="23">
        <v>120960</v>
      </c>
    </row>
    <row r="69" spans="2:13" x14ac:dyDescent="0.35">
      <c r="B69" s="26"/>
      <c r="C69" s="27" t="s">
        <v>130</v>
      </c>
      <c r="E69" s="28">
        <v>6796800</v>
      </c>
      <c r="F69" s="28">
        <v>0</v>
      </c>
      <c r="G69" s="28">
        <v>6796800</v>
      </c>
      <c r="I69" s="28">
        <v>6796800</v>
      </c>
      <c r="J69" s="28">
        <v>0</v>
      </c>
      <c r="K69" s="28">
        <v>6796800</v>
      </c>
      <c r="M69" s="28">
        <v>0</v>
      </c>
    </row>
    <row r="70" spans="2:13" x14ac:dyDescent="0.35">
      <c r="B70" s="32">
        <v>54</v>
      </c>
      <c r="C70" s="30" t="s">
        <v>131</v>
      </c>
      <c r="E70" s="25">
        <v>6796800</v>
      </c>
      <c r="F70" s="25">
        <v>0</v>
      </c>
      <c r="G70" s="25">
        <v>6796800</v>
      </c>
      <c r="I70" s="25">
        <v>6796800</v>
      </c>
      <c r="J70" s="25">
        <v>0</v>
      </c>
      <c r="K70" s="25">
        <v>6796800</v>
      </c>
      <c r="M70" s="25">
        <v>0</v>
      </c>
    </row>
    <row r="71" spans="2:13" x14ac:dyDescent="0.35">
      <c r="B71" s="26"/>
      <c r="C71" s="27" t="s">
        <v>132</v>
      </c>
      <c r="E71" s="28">
        <v>0</v>
      </c>
      <c r="F71" s="28">
        <v>0</v>
      </c>
      <c r="G71" s="28">
        <v>0</v>
      </c>
      <c r="H71" s="33">
        <v>808920</v>
      </c>
      <c r="I71" s="28">
        <v>0</v>
      </c>
      <c r="J71" s="28">
        <v>0</v>
      </c>
      <c r="K71" s="28">
        <v>0</v>
      </c>
      <c r="M71" s="28">
        <v>0</v>
      </c>
    </row>
    <row r="72" spans="2:13" x14ac:dyDescent="0.35">
      <c r="B72" s="31">
        <v>55</v>
      </c>
      <c r="C72" s="29" t="s">
        <v>133</v>
      </c>
      <c r="E72" s="23"/>
      <c r="F72" s="23">
        <v>0</v>
      </c>
      <c r="G72" s="23">
        <v>0</v>
      </c>
      <c r="I72" s="23">
        <v>0</v>
      </c>
      <c r="J72" s="23">
        <v>0</v>
      </c>
      <c r="K72" s="23">
        <v>0</v>
      </c>
      <c r="M72" s="23">
        <v>0</v>
      </c>
    </row>
    <row r="73" spans="2:13" x14ac:dyDescent="0.35">
      <c r="B73" s="24"/>
      <c r="E73" s="39"/>
      <c r="F73" s="40"/>
      <c r="G73" s="39"/>
      <c r="J73" s="24"/>
      <c r="K73" s="24"/>
      <c r="L73" s="38"/>
    </row>
    <row r="74" spans="2:13" x14ac:dyDescent="0.35">
      <c r="B74" s="24"/>
      <c r="E74" s="39"/>
      <c r="F74" s="40"/>
      <c r="G74" s="39"/>
      <c r="J74" s="24"/>
      <c r="K74" s="24"/>
      <c r="L74" s="38"/>
    </row>
    <row r="75" spans="2:13" x14ac:dyDescent="0.35">
      <c r="B75" s="24"/>
      <c r="E75" s="39"/>
      <c r="F75" s="40"/>
      <c r="G75" s="39"/>
      <c r="J75" s="24"/>
      <c r="K75" s="24"/>
      <c r="L75" s="38"/>
    </row>
    <row r="76" spans="2:13" x14ac:dyDescent="0.35">
      <c r="B76" s="24"/>
      <c r="E76" s="39"/>
      <c r="F76" s="40"/>
      <c r="G76" s="39"/>
      <c r="J76" s="24"/>
      <c r="K76" s="24"/>
      <c r="L76" s="38"/>
    </row>
    <row r="77" spans="2:13" x14ac:dyDescent="0.35">
      <c r="B77" s="24"/>
      <c r="E77" s="39"/>
      <c r="F77" s="40"/>
      <c r="G77" s="39"/>
      <c r="J77" s="24"/>
      <c r="K77" s="24"/>
      <c r="L77" s="38"/>
    </row>
    <row r="78" spans="2:13" x14ac:dyDescent="0.35">
      <c r="B78" s="24"/>
      <c r="E78" s="39"/>
      <c r="F78" s="40"/>
      <c r="G78" s="39"/>
      <c r="J78" s="24"/>
      <c r="K78" s="24"/>
      <c r="L78" s="38"/>
    </row>
    <row r="79" spans="2:13" x14ac:dyDescent="0.35">
      <c r="B79" s="24"/>
      <c r="E79" s="39"/>
      <c r="F79" s="40"/>
      <c r="G79" s="39"/>
      <c r="J79" s="24"/>
      <c r="K79" s="24"/>
      <c r="L79" s="38"/>
    </row>
    <row r="80" spans="2:13" x14ac:dyDescent="0.35">
      <c r="B80" s="24"/>
      <c r="E80" s="39"/>
      <c r="F80" s="40"/>
      <c r="G80" s="39"/>
      <c r="J80" s="24"/>
      <c r="K80" s="24"/>
      <c r="L80" s="38"/>
    </row>
    <row r="81" spans="2:12" x14ac:dyDescent="0.35">
      <c r="B81" s="24"/>
      <c r="E81" s="39"/>
      <c r="F81" s="40"/>
      <c r="G81" s="39"/>
      <c r="J81" s="24"/>
      <c r="K81" s="24"/>
      <c r="L81" s="38"/>
    </row>
    <row r="82" spans="2:12" x14ac:dyDescent="0.35">
      <c r="B82" s="24"/>
      <c r="E82" s="39"/>
      <c r="F82" s="40"/>
      <c r="G82" s="39"/>
      <c r="J82" s="24"/>
      <c r="K82" s="24"/>
      <c r="L82" s="38"/>
    </row>
    <row r="83" spans="2:12" x14ac:dyDescent="0.35">
      <c r="B83" s="24"/>
      <c r="E83" s="39"/>
      <c r="F83" s="40"/>
      <c r="G83" s="39"/>
      <c r="J83" s="24"/>
      <c r="K83" s="24"/>
      <c r="L83" s="38"/>
    </row>
    <row r="84" spans="2:12" x14ac:dyDescent="0.35">
      <c r="B84" s="24"/>
      <c r="E84" s="39"/>
      <c r="F84" s="40"/>
      <c r="G84" s="39"/>
      <c r="J84" s="24"/>
      <c r="K84" s="24"/>
      <c r="L84" s="38"/>
    </row>
    <row r="85" spans="2:12" x14ac:dyDescent="0.35">
      <c r="B85" s="24"/>
      <c r="E85" s="39"/>
      <c r="F85" s="40"/>
      <c r="G85" s="39"/>
      <c r="J85" s="24"/>
      <c r="K85" s="24"/>
      <c r="L85" s="38"/>
    </row>
    <row r="86" spans="2:12" x14ac:dyDescent="0.35">
      <c r="B86" s="24"/>
      <c r="E86" s="39"/>
      <c r="F86" s="40"/>
      <c r="G86" s="39"/>
      <c r="J86" s="24"/>
      <c r="K86" s="24"/>
      <c r="L86" s="38"/>
    </row>
    <row r="87" spans="2:12" x14ac:dyDescent="0.35">
      <c r="B87" s="24"/>
      <c r="E87" s="39"/>
      <c r="F87" s="40"/>
      <c r="G87" s="39"/>
      <c r="J87" s="24"/>
      <c r="K87" s="24"/>
      <c r="L87" s="38"/>
    </row>
    <row r="88" spans="2:12" x14ac:dyDescent="0.35">
      <c r="B88" s="24"/>
      <c r="E88" s="39"/>
      <c r="F88" s="40"/>
      <c r="G88" s="39"/>
      <c r="J88" s="24"/>
      <c r="K88" s="24"/>
      <c r="L88" s="38"/>
    </row>
    <row r="89" spans="2:12" x14ac:dyDescent="0.35">
      <c r="B89" s="24"/>
      <c r="E89" s="39"/>
      <c r="F89" s="40"/>
      <c r="G89" s="39"/>
      <c r="J89" s="24"/>
      <c r="K89" s="24"/>
      <c r="L89" s="38"/>
    </row>
    <row r="90" spans="2:12" x14ac:dyDescent="0.35">
      <c r="B90" s="24"/>
      <c r="E90" s="39"/>
      <c r="F90" s="40"/>
      <c r="G90" s="39"/>
      <c r="J90" s="24"/>
      <c r="K90" s="24"/>
      <c r="L90" s="38"/>
    </row>
    <row r="91" spans="2:12" x14ac:dyDescent="0.35">
      <c r="B91" s="24"/>
      <c r="E91" s="39"/>
      <c r="F91" s="40"/>
      <c r="G91" s="39"/>
      <c r="J91" s="24"/>
      <c r="K91" s="24"/>
      <c r="L91" s="38"/>
    </row>
    <row r="92" spans="2:12" x14ac:dyDescent="0.35">
      <c r="B92" s="24"/>
      <c r="E92" s="39"/>
      <c r="F92" s="40"/>
      <c r="G92" s="39"/>
      <c r="J92" s="24"/>
      <c r="K92" s="24"/>
      <c r="L92" s="38"/>
    </row>
    <row r="93" spans="2:12" x14ac:dyDescent="0.35">
      <c r="B93" s="24"/>
      <c r="E93" s="39"/>
      <c r="F93" s="40"/>
      <c r="G93" s="39"/>
      <c r="J93" s="24"/>
      <c r="K93" s="24"/>
      <c r="L93" s="38"/>
    </row>
    <row r="94" spans="2:12" x14ac:dyDescent="0.35">
      <c r="B94" s="24"/>
      <c r="E94" s="39"/>
      <c r="F94" s="40"/>
      <c r="G94" s="39"/>
      <c r="J94" s="24"/>
      <c r="K94" s="24"/>
      <c r="L94" s="38"/>
    </row>
    <row r="95" spans="2:12" x14ac:dyDescent="0.35">
      <c r="B95" s="24"/>
      <c r="E95" s="39"/>
      <c r="F95" s="40"/>
      <c r="G95" s="39"/>
      <c r="J95" s="24"/>
      <c r="K95" s="24"/>
      <c r="L95" s="38"/>
    </row>
    <row r="96" spans="2:12" x14ac:dyDescent="0.35">
      <c r="B96" s="24"/>
      <c r="E96" s="39"/>
      <c r="F96" s="40"/>
      <c r="G96" s="39"/>
      <c r="J96" s="24"/>
      <c r="K96" s="24"/>
      <c r="L96" s="38"/>
    </row>
    <row r="97" spans="2:12" x14ac:dyDescent="0.35">
      <c r="B97" s="24"/>
      <c r="E97" s="39"/>
      <c r="F97" s="40"/>
      <c r="G97" s="39"/>
      <c r="J97" s="24"/>
      <c r="K97" s="24"/>
      <c r="L97" s="38"/>
    </row>
    <row r="98" spans="2:12" x14ac:dyDescent="0.35">
      <c r="B98" s="24"/>
      <c r="E98" s="39"/>
      <c r="F98" s="40"/>
      <c r="G98" s="39"/>
      <c r="J98" s="24"/>
      <c r="K98" s="24"/>
      <c r="L98" s="38"/>
    </row>
    <row r="99" spans="2:12" x14ac:dyDescent="0.35">
      <c r="B99" s="24"/>
      <c r="E99" s="39"/>
      <c r="F99" s="40"/>
      <c r="G99" s="39"/>
      <c r="J99" s="24"/>
      <c r="K99" s="24"/>
      <c r="L99" s="38"/>
    </row>
    <row r="100" spans="2:12" x14ac:dyDescent="0.35">
      <c r="B100" s="24"/>
      <c r="E100" s="39"/>
      <c r="F100" s="40"/>
      <c r="G100" s="39"/>
      <c r="J100" s="24"/>
      <c r="K100" s="24"/>
      <c r="L100" s="38"/>
    </row>
    <row r="101" spans="2:12" x14ac:dyDescent="0.35">
      <c r="B101" s="24"/>
      <c r="E101" s="39"/>
      <c r="F101" s="40"/>
      <c r="G101" s="39"/>
      <c r="J101" s="24"/>
      <c r="K101" s="24"/>
      <c r="L101" s="38"/>
    </row>
    <row r="102" spans="2:12" x14ac:dyDescent="0.35">
      <c r="B102" s="24"/>
      <c r="E102" s="39"/>
      <c r="F102" s="40"/>
      <c r="G102" s="39"/>
      <c r="J102" s="24"/>
      <c r="K102" s="24"/>
      <c r="L102" s="38"/>
    </row>
    <row r="103" spans="2:12" x14ac:dyDescent="0.35">
      <c r="B103" s="24"/>
      <c r="E103" s="39"/>
      <c r="F103" s="40"/>
      <c r="G103" s="39"/>
      <c r="J103" s="24"/>
      <c r="K103" s="24"/>
      <c r="L103" s="38"/>
    </row>
    <row r="104" spans="2:12" x14ac:dyDescent="0.35">
      <c r="B104" s="24"/>
      <c r="E104" s="39"/>
      <c r="F104" s="40"/>
      <c r="G104" s="39"/>
      <c r="J104" s="24"/>
      <c r="K104" s="24"/>
      <c r="L104" s="38"/>
    </row>
    <row r="105" spans="2:12" x14ac:dyDescent="0.35">
      <c r="B105" s="24"/>
      <c r="E105" s="39"/>
      <c r="F105" s="40"/>
      <c r="G105" s="39"/>
      <c r="J105" s="24"/>
      <c r="K105" s="24"/>
      <c r="L105" s="38"/>
    </row>
    <row r="106" spans="2:12" x14ac:dyDescent="0.35">
      <c r="B106" s="24"/>
      <c r="E106" s="39"/>
      <c r="F106" s="40"/>
      <c r="G106" s="39"/>
      <c r="J106" s="24"/>
      <c r="K106" s="24"/>
      <c r="L106" s="38"/>
    </row>
    <row r="107" spans="2:12" x14ac:dyDescent="0.35">
      <c r="B107" s="24"/>
      <c r="E107" s="39"/>
      <c r="F107" s="40"/>
      <c r="G107" s="39"/>
      <c r="J107" s="24"/>
      <c r="K107" s="24"/>
      <c r="L107" s="38"/>
    </row>
    <row r="108" spans="2:12" x14ac:dyDescent="0.35">
      <c r="B108" s="24"/>
      <c r="E108" s="39"/>
      <c r="F108" s="40"/>
      <c r="G108" s="39"/>
      <c r="J108" s="24"/>
      <c r="K108" s="24"/>
      <c r="L108" s="38"/>
    </row>
    <row r="109" spans="2:12" x14ac:dyDescent="0.35">
      <c r="B109" s="24"/>
      <c r="E109" s="39"/>
      <c r="F109" s="40"/>
      <c r="G109" s="39"/>
      <c r="J109" s="24"/>
      <c r="K109" s="24"/>
      <c r="L109" s="38"/>
    </row>
    <row r="110" spans="2:12" x14ac:dyDescent="0.35">
      <c r="B110" s="24"/>
      <c r="E110" s="39"/>
      <c r="F110" s="40"/>
      <c r="G110" s="39"/>
      <c r="J110" s="24"/>
      <c r="K110" s="24"/>
      <c r="L110" s="38"/>
    </row>
    <row r="111" spans="2:12" x14ac:dyDescent="0.35">
      <c r="B111" s="24"/>
      <c r="E111" s="39"/>
      <c r="F111" s="40"/>
      <c r="G111" s="39"/>
      <c r="J111" s="24"/>
      <c r="K111" s="24"/>
      <c r="L111" s="38"/>
    </row>
    <row r="112" spans="2:12" x14ac:dyDescent="0.35">
      <c r="B112" s="24"/>
      <c r="E112" s="39"/>
      <c r="F112" s="40"/>
      <c r="G112" s="39"/>
      <c r="J112" s="24"/>
      <c r="K112" s="24"/>
      <c r="L112" s="38"/>
    </row>
    <row r="113" spans="2:12" x14ac:dyDescent="0.35">
      <c r="B113" s="24"/>
      <c r="E113" s="39"/>
      <c r="F113" s="40"/>
      <c r="G113" s="39"/>
      <c r="J113" s="24"/>
      <c r="K113" s="24"/>
      <c r="L113" s="38"/>
    </row>
    <row r="114" spans="2:12" x14ac:dyDescent="0.35">
      <c r="B114" s="24"/>
      <c r="E114" s="39"/>
      <c r="F114" s="40"/>
      <c r="G114" s="39"/>
      <c r="J114" s="24"/>
      <c r="K114" s="24"/>
      <c r="L114" s="38"/>
    </row>
    <row r="115" spans="2:12" x14ac:dyDescent="0.35">
      <c r="B115" s="24"/>
      <c r="E115" s="39"/>
      <c r="F115" s="40"/>
      <c r="G115" s="39"/>
      <c r="J115" s="24"/>
      <c r="K115" s="24"/>
      <c r="L115" s="38"/>
    </row>
    <row r="116" spans="2:12" x14ac:dyDescent="0.35">
      <c r="B116" s="24"/>
      <c r="E116" s="39"/>
      <c r="F116" s="40"/>
      <c r="G116" s="39"/>
      <c r="J116" s="24"/>
      <c r="K116" s="24"/>
      <c r="L116" s="38"/>
    </row>
    <row r="117" spans="2:12" x14ac:dyDescent="0.35">
      <c r="B117" s="24"/>
      <c r="E117" s="39"/>
      <c r="F117" s="40"/>
      <c r="G117" s="39"/>
      <c r="J117" s="24"/>
      <c r="K117" s="24"/>
      <c r="L117" s="38"/>
    </row>
    <row r="118" spans="2:12" x14ac:dyDescent="0.35">
      <c r="B118" s="24"/>
      <c r="E118" s="39"/>
      <c r="F118" s="40"/>
      <c r="G118" s="39"/>
      <c r="J118" s="24"/>
      <c r="K118" s="24"/>
      <c r="L118" s="38"/>
    </row>
    <row r="119" spans="2:12" x14ac:dyDescent="0.35">
      <c r="B119" s="24"/>
      <c r="E119" s="39"/>
      <c r="F119" s="40"/>
      <c r="G119" s="39"/>
      <c r="J119" s="24"/>
      <c r="K119" s="24"/>
      <c r="L119" s="38"/>
    </row>
    <row r="120" spans="2:12" x14ac:dyDescent="0.35">
      <c r="B120" s="24"/>
      <c r="E120" s="39"/>
      <c r="F120" s="40"/>
      <c r="G120" s="39"/>
      <c r="J120" s="24"/>
      <c r="K120" s="24"/>
      <c r="L120" s="38"/>
    </row>
    <row r="121" spans="2:12" x14ac:dyDescent="0.35">
      <c r="B121" s="24"/>
      <c r="E121" s="39"/>
      <c r="F121" s="40"/>
      <c r="G121" s="39"/>
      <c r="J121" s="24"/>
      <c r="K121" s="24"/>
      <c r="L121" s="38"/>
    </row>
    <row r="122" spans="2:12" x14ac:dyDescent="0.35">
      <c r="B122" s="24"/>
      <c r="E122" s="39"/>
      <c r="F122" s="40"/>
      <c r="G122" s="39"/>
      <c r="J122" s="24"/>
      <c r="K122" s="24"/>
      <c r="L122" s="38"/>
    </row>
    <row r="123" spans="2:12" x14ac:dyDescent="0.35">
      <c r="B123" s="24"/>
      <c r="E123" s="39"/>
      <c r="F123" s="40"/>
      <c r="G123" s="39"/>
      <c r="J123" s="24"/>
      <c r="K123" s="24"/>
      <c r="L123" s="38"/>
    </row>
    <row r="124" spans="2:12" x14ac:dyDescent="0.35">
      <c r="B124" s="24"/>
      <c r="E124" s="39"/>
      <c r="F124" s="40"/>
      <c r="G124" s="39"/>
      <c r="J124" s="24"/>
      <c r="K124" s="24"/>
      <c r="L124" s="38"/>
    </row>
    <row r="125" spans="2:12" x14ac:dyDescent="0.35">
      <c r="B125" s="24"/>
      <c r="E125" s="39"/>
      <c r="F125" s="40"/>
      <c r="G125" s="39"/>
      <c r="J125" s="24"/>
      <c r="K125" s="24"/>
      <c r="L125" s="38"/>
    </row>
    <row r="126" spans="2:12" x14ac:dyDescent="0.35">
      <c r="B126" s="24"/>
      <c r="E126" s="39"/>
      <c r="F126" s="40"/>
      <c r="G126" s="39"/>
      <c r="J126" s="24"/>
      <c r="K126" s="24"/>
      <c r="L126" s="38"/>
    </row>
    <row r="127" spans="2:12" x14ac:dyDescent="0.35">
      <c r="B127" s="24"/>
      <c r="E127" s="39"/>
      <c r="F127" s="40"/>
      <c r="G127" s="39"/>
      <c r="J127" s="24"/>
      <c r="K127" s="24"/>
      <c r="L127" s="38"/>
    </row>
    <row r="128" spans="2:12" x14ac:dyDescent="0.35">
      <c r="B128" s="24"/>
      <c r="E128" s="39"/>
      <c r="F128" s="40"/>
      <c r="G128" s="39"/>
      <c r="J128" s="24"/>
      <c r="K128" s="24"/>
      <c r="L128" s="38"/>
    </row>
    <row r="129" spans="2:12" x14ac:dyDescent="0.35">
      <c r="B129" s="24"/>
      <c r="E129" s="39"/>
      <c r="F129" s="40"/>
      <c r="G129" s="39"/>
      <c r="J129" s="24"/>
      <c r="K129" s="24"/>
      <c r="L129" s="38"/>
    </row>
    <row r="130" spans="2:12" x14ac:dyDescent="0.35">
      <c r="B130" s="24"/>
      <c r="E130" s="39"/>
      <c r="F130" s="40"/>
      <c r="G130" s="39"/>
      <c r="J130" s="24"/>
      <c r="K130" s="24"/>
      <c r="L130" s="38"/>
    </row>
    <row r="131" spans="2:12" x14ac:dyDescent="0.35">
      <c r="B131" s="24"/>
      <c r="E131" s="39"/>
      <c r="F131" s="40"/>
      <c r="G131" s="39"/>
      <c r="J131" s="24"/>
      <c r="K131" s="24"/>
      <c r="L131" s="38"/>
    </row>
    <row r="132" spans="2:12" x14ac:dyDescent="0.35">
      <c r="B132" s="24"/>
      <c r="E132" s="39"/>
      <c r="F132" s="40"/>
      <c r="G132" s="39"/>
      <c r="J132" s="24"/>
      <c r="K132" s="24"/>
      <c r="L132" s="38"/>
    </row>
    <row r="133" spans="2:12" x14ac:dyDescent="0.35">
      <c r="B133" s="24"/>
      <c r="E133" s="39"/>
      <c r="F133" s="40"/>
      <c r="G133" s="39"/>
      <c r="J133" s="24"/>
      <c r="K133" s="24"/>
      <c r="L133" s="38"/>
    </row>
    <row r="134" spans="2:12" x14ac:dyDescent="0.35">
      <c r="B134" s="24"/>
      <c r="E134" s="39"/>
      <c r="F134" s="40"/>
      <c r="G134" s="39"/>
      <c r="J134" s="24"/>
      <c r="K134" s="24"/>
      <c r="L134" s="38"/>
    </row>
    <row r="135" spans="2:12" x14ac:dyDescent="0.35">
      <c r="B135" s="24"/>
      <c r="E135" s="39"/>
      <c r="F135" s="40"/>
      <c r="G135" s="39"/>
      <c r="J135" s="24"/>
      <c r="K135" s="24"/>
      <c r="L135" s="38"/>
    </row>
    <row r="136" spans="2:12" x14ac:dyDescent="0.35">
      <c r="B136" s="24"/>
      <c r="E136" s="39"/>
      <c r="F136" s="40"/>
      <c r="G136" s="39"/>
      <c r="J136" s="24"/>
      <c r="K136" s="24"/>
      <c r="L136" s="38"/>
    </row>
    <row r="137" spans="2:12" x14ac:dyDescent="0.35">
      <c r="B137" s="24"/>
      <c r="E137" s="39"/>
      <c r="F137" s="40"/>
      <c r="G137" s="39"/>
      <c r="J137" s="24"/>
      <c r="K137" s="24"/>
      <c r="L137" s="38"/>
    </row>
    <row r="138" spans="2:12" x14ac:dyDescent="0.35">
      <c r="B138" s="24"/>
      <c r="E138" s="39"/>
      <c r="F138" s="40"/>
      <c r="G138" s="39"/>
      <c r="J138" s="24"/>
      <c r="K138" s="24"/>
      <c r="L138" s="38"/>
    </row>
    <row r="139" spans="2:12" x14ac:dyDescent="0.35">
      <c r="B139" s="24"/>
      <c r="E139" s="39"/>
      <c r="F139" s="40"/>
      <c r="G139" s="39"/>
      <c r="J139" s="24"/>
      <c r="K139" s="24"/>
      <c r="L139" s="38"/>
    </row>
    <row r="140" spans="2:12" x14ac:dyDescent="0.35">
      <c r="B140" s="24"/>
      <c r="E140" s="39"/>
      <c r="F140" s="40"/>
      <c r="G140" s="39"/>
      <c r="J140" s="24"/>
      <c r="K140" s="24"/>
      <c r="L140" s="38"/>
    </row>
    <row r="141" spans="2:12" x14ac:dyDescent="0.35">
      <c r="B141" s="24"/>
      <c r="E141" s="39"/>
      <c r="F141" s="40"/>
      <c r="G141" s="39"/>
      <c r="J141" s="24"/>
      <c r="K141" s="24"/>
      <c r="L141" s="38"/>
    </row>
    <row r="142" spans="2:12" x14ac:dyDescent="0.35">
      <c r="B142" s="24"/>
      <c r="E142" s="39"/>
      <c r="F142" s="40"/>
      <c r="G142" s="39"/>
      <c r="J142" s="24"/>
      <c r="K142" s="24"/>
      <c r="L142" s="38"/>
    </row>
    <row r="143" spans="2:12" x14ac:dyDescent="0.35">
      <c r="B143" s="24"/>
      <c r="E143" s="39"/>
      <c r="F143" s="40"/>
      <c r="G143" s="39"/>
      <c r="J143" s="24"/>
      <c r="K143" s="24"/>
      <c r="L143" s="38"/>
    </row>
    <row r="144" spans="2:12" x14ac:dyDescent="0.35">
      <c r="B144" s="24"/>
      <c r="E144" s="39"/>
      <c r="F144" s="40"/>
      <c r="G144" s="39"/>
      <c r="J144" s="24"/>
      <c r="K144" s="24"/>
      <c r="L144" s="38"/>
    </row>
    <row r="145" spans="2:12" x14ac:dyDescent="0.35">
      <c r="B145" s="24"/>
      <c r="E145" s="39"/>
      <c r="F145" s="40"/>
      <c r="G145" s="39"/>
      <c r="J145" s="24"/>
      <c r="K145" s="24"/>
      <c r="L145" s="38"/>
    </row>
    <row r="146" spans="2:12" x14ac:dyDescent="0.35">
      <c r="B146" s="24"/>
      <c r="E146" s="39"/>
      <c r="F146" s="40"/>
      <c r="G146" s="39"/>
      <c r="J146" s="24"/>
      <c r="K146" s="24"/>
      <c r="L146" s="38"/>
    </row>
    <row r="147" spans="2:12" x14ac:dyDescent="0.35">
      <c r="B147" s="24"/>
      <c r="E147" s="39"/>
      <c r="F147" s="40"/>
      <c r="G147" s="39"/>
      <c r="J147" s="24"/>
      <c r="K147" s="24"/>
      <c r="L147" s="38"/>
    </row>
    <row r="148" spans="2:12" x14ac:dyDescent="0.35">
      <c r="B148" s="24"/>
      <c r="E148" s="39"/>
      <c r="F148" s="40"/>
      <c r="G148" s="39"/>
      <c r="J148" s="24"/>
      <c r="K148" s="24"/>
      <c r="L148" s="38"/>
    </row>
    <row r="149" spans="2:12" x14ac:dyDescent="0.35">
      <c r="B149" s="24"/>
      <c r="E149" s="39"/>
      <c r="F149" s="40"/>
      <c r="G149" s="39"/>
      <c r="J149" s="24"/>
      <c r="K149" s="24"/>
      <c r="L149" s="38"/>
    </row>
    <row r="150" spans="2:12" x14ac:dyDescent="0.35">
      <c r="B150" s="24"/>
      <c r="E150" s="39"/>
      <c r="F150" s="40"/>
      <c r="G150" s="39"/>
      <c r="J150" s="24"/>
      <c r="K150" s="24"/>
      <c r="L150" s="38"/>
    </row>
    <row r="151" spans="2:12" x14ac:dyDescent="0.35">
      <c r="B151" s="24"/>
      <c r="E151" s="39"/>
      <c r="F151" s="40"/>
      <c r="G151" s="39"/>
      <c r="J151" s="24"/>
      <c r="K151" s="24"/>
      <c r="L151" s="38"/>
    </row>
    <row r="152" spans="2:12" x14ac:dyDescent="0.35">
      <c r="B152" s="24"/>
      <c r="E152" s="39"/>
      <c r="F152" s="40"/>
      <c r="G152" s="39"/>
      <c r="J152" s="24"/>
      <c r="K152" s="24"/>
      <c r="L152" s="38"/>
    </row>
    <row r="153" spans="2:12" x14ac:dyDescent="0.35">
      <c r="B153" s="24"/>
      <c r="E153" s="39"/>
      <c r="F153" s="40"/>
      <c r="G153" s="39"/>
      <c r="J153" s="24"/>
      <c r="K153" s="24"/>
      <c r="L153" s="38"/>
    </row>
    <row r="154" spans="2:12" x14ac:dyDescent="0.35">
      <c r="B154" s="24"/>
      <c r="E154" s="39"/>
      <c r="F154" s="40"/>
      <c r="G154" s="39"/>
      <c r="J154" s="24"/>
      <c r="K154" s="24"/>
      <c r="L154" s="38"/>
    </row>
    <row r="155" spans="2:12" x14ac:dyDescent="0.35">
      <c r="B155" s="24"/>
      <c r="E155" s="39"/>
      <c r="F155" s="40"/>
      <c r="G155" s="39"/>
      <c r="J155" s="24"/>
      <c r="K155" s="24"/>
      <c r="L155" s="38"/>
    </row>
    <row r="156" spans="2:12" x14ac:dyDescent="0.35">
      <c r="B156" s="24"/>
      <c r="E156" s="39"/>
      <c r="F156" s="40"/>
      <c r="G156" s="39"/>
      <c r="J156" s="24"/>
      <c r="K156" s="24"/>
      <c r="L156" s="38"/>
    </row>
    <row r="157" spans="2:12" x14ac:dyDescent="0.35">
      <c r="B157" s="24"/>
      <c r="E157" s="39"/>
      <c r="F157" s="40"/>
      <c r="G157" s="39"/>
      <c r="J157" s="24"/>
      <c r="K157" s="24"/>
      <c r="L157" s="38"/>
    </row>
    <row r="158" spans="2:12" x14ac:dyDescent="0.35">
      <c r="B158" s="24"/>
      <c r="E158" s="39"/>
      <c r="F158" s="40"/>
      <c r="G158" s="39"/>
      <c r="J158" s="24"/>
      <c r="K158" s="24"/>
      <c r="L158" s="38"/>
    </row>
    <row r="159" spans="2:12" x14ac:dyDescent="0.35">
      <c r="B159" s="24"/>
      <c r="E159" s="39"/>
      <c r="F159" s="40"/>
      <c r="G159" s="39"/>
      <c r="J159" s="24"/>
      <c r="K159" s="24"/>
      <c r="L159" s="38"/>
    </row>
    <row r="160" spans="2:12" x14ac:dyDescent="0.35">
      <c r="B160" s="24"/>
      <c r="E160" s="39"/>
      <c r="F160" s="40"/>
      <c r="G160" s="39"/>
      <c r="J160" s="24"/>
      <c r="K160" s="24"/>
      <c r="L160" s="38"/>
    </row>
    <row r="161" spans="2:12" x14ac:dyDescent="0.35">
      <c r="B161" s="24"/>
      <c r="E161" s="39"/>
      <c r="F161" s="40"/>
      <c r="G161" s="39"/>
      <c r="J161" s="24"/>
      <c r="K161" s="24"/>
      <c r="L161" s="38"/>
    </row>
    <row r="162" spans="2:12" x14ac:dyDescent="0.35">
      <c r="B162" s="24"/>
      <c r="E162" s="39"/>
      <c r="F162" s="40"/>
      <c r="G162" s="39"/>
      <c r="J162" s="24"/>
      <c r="K162" s="24"/>
      <c r="L162" s="38"/>
    </row>
    <row r="163" spans="2:12" x14ac:dyDescent="0.35">
      <c r="B163" s="24"/>
      <c r="E163" s="39"/>
      <c r="F163" s="40"/>
      <c r="G163" s="39"/>
      <c r="J163" s="24"/>
      <c r="K163" s="24"/>
      <c r="L163" s="38"/>
    </row>
    <row r="164" spans="2:12" x14ac:dyDescent="0.35">
      <c r="B164" s="24"/>
      <c r="E164" s="39"/>
      <c r="F164" s="40"/>
      <c r="G164" s="39"/>
      <c r="J164" s="24"/>
      <c r="K164" s="24"/>
      <c r="L164" s="38"/>
    </row>
    <row r="165" spans="2:12" x14ac:dyDescent="0.35">
      <c r="B165" s="24"/>
      <c r="E165" s="39"/>
      <c r="F165" s="40"/>
      <c r="G165" s="39"/>
      <c r="J165" s="24"/>
      <c r="K165" s="24"/>
      <c r="L165" s="38"/>
    </row>
    <row r="166" spans="2:12" x14ac:dyDescent="0.35">
      <c r="B166" s="24"/>
      <c r="E166" s="39"/>
      <c r="F166" s="40"/>
      <c r="G166" s="39"/>
      <c r="J166" s="24"/>
      <c r="K166" s="24"/>
      <c r="L166" s="38"/>
    </row>
    <row r="167" spans="2:12" x14ac:dyDescent="0.35">
      <c r="B167" s="24"/>
      <c r="E167" s="39"/>
      <c r="F167" s="40"/>
      <c r="G167" s="39"/>
      <c r="J167" s="24"/>
      <c r="K167" s="24"/>
      <c r="L167" s="38"/>
    </row>
    <row r="168" spans="2:12" x14ac:dyDescent="0.35">
      <c r="B168" s="24"/>
      <c r="E168" s="39"/>
      <c r="F168" s="40"/>
      <c r="G168" s="39"/>
      <c r="J168" s="24"/>
      <c r="K168" s="24"/>
      <c r="L168" s="38"/>
    </row>
    <row r="169" spans="2:12" x14ac:dyDescent="0.35">
      <c r="B169" s="24"/>
      <c r="E169" s="39"/>
      <c r="F169" s="40"/>
      <c r="G169" s="39"/>
      <c r="J169" s="24"/>
      <c r="K169" s="24"/>
      <c r="L169" s="38"/>
    </row>
    <row r="170" spans="2:12" x14ac:dyDescent="0.35">
      <c r="B170" s="24"/>
      <c r="E170" s="39"/>
      <c r="F170" s="40"/>
      <c r="G170" s="39"/>
      <c r="J170" s="24"/>
      <c r="K170" s="24"/>
      <c r="L170" s="38"/>
    </row>
    <row r="171" spans="2:12" x14ac:dyDescent="0.35">
      <c r="B171" s="24"/>
      <c r="E171" s="39"/>
      <c r="F171" s="40"/>
      <c r="G171" s="39"/>
      <c r="J171" s="24"/>
      <c r="K171" s="24"/>
      <c r="L171" s="38"/>
    </row>
    <row r="172" spans="2:12" x14ac:dyDescent="0.35">
      <c r="B172" s="24"/>
      <c r="E172" s="39"/>
      <c r="F172" s="40"/>
      <c r="G172" s="39"/>
      <c r="J172" s="24"/>
      <c r="K172" s="24"/>
      <c r="L172" s="38"/>
    </row>
    <row r="173" spans="2:12" x14ac:dyDescent="0.35">
      <c r="B173" s="24"/>
      <c r="E173" s="39"/>
      <c r="F173" s="40"/>
      <c r="G173" s="39"/>
      <c r="J173" s="24"/>
      <c r="K173" s="24"/>
      <c r="L173" s="38"/>
    </row>
    <row r="174" spans="2:12" x14ac:dyDescent="0.35">
      <c r="B174" s="24"/>
      <c r="E174" s="39"/>
      <c r="F174" s="40"/>
      <c r="G174" s="39"/>
      <c r="J174" s="24"/>
      <c r="K174" s="24"/>
      <c r="L174" s="38"/>
    </row>
    <row r="175" spans="2:12" x14ac:dyDescent="0.35">
      <c r="B175" s="24"/>
      <c r="E175" s="39"/>
      <c r="F175" s="40"/>
      <c r="G175" s="39"/>
      <c r="J175" s="24"/>
      <c r="K175" s="24"/>
      <c r="L175" s="38"/>
    </row>
    <row r="176" spans="2:12" x14ac:dyDescent="0.35">
      <c r="B176" s="24"/>
      <c r="E176" s="39"/>
      <c r="F176" s="40"/>
      <c r="G176" s="39"/>
      <c r="J176" s="24"/>
      <c r="K176" s="24"/>
      <c r="L176" s="38"/>
    </row>
    <row r="177" spans="2:12" x14ac:dyDescent="0.35">
      <c r="B177" s="24"/>
      <c r="E177" s="39"/>
      <c r="F177" s="40"/>
      <c r="G177" s="39"/>
      <c r="J177" s="24"/>
      <c r="K177" s="24"/>
      <c r="L177" s="38"/>
    </row>
    <row r="178" spans="2:12" x14ac:dyDescent="0.35">
      <c r="B178" s="24"/>
      <c r="E178" s="39"/>
      <c r="F178" s="40"/>
      <c r="G178" s="39"/>
      <c r="J178" s="24"/>
      <c r="K178" s="24"/>
      <c r="L178" s="38"/>
    </row>
    <row r="179" spans="2:12" x14ac:dyDescent="0.35">
      <c r="B179" s="24"/>
      <c r="E179" s="39"/>
      <c r="F179" s="40"/>
      <c r="G179" s="39"/>
      <c r="J179" s="24"/>
      <c r="K179" s="24"/>
      <c r="L179" s="38"/>
    </row>
    <row r="180" spans="2:12" x14ac:dyDescent="0.35">
      <c r="B180" s="24"/>
      <c r="E180" s="39"/>
      <c r="F180" s="40"/>
      <c r="G180" s="39"/>
      <c r="J180" s="24"/>
      <c r="K180" s="24"/>
      <c r="L180" s="38"/>
    </row>
    <row r="181" spans="2:12" x14ac:dyDescent="0.35">
      <c r="B181" s="24"/>
      <c r="E181" s="39"/>
      <c r="F181" s="40"/>
      <c r="G181" s="39"/>
      <c r="J181" s="24"/>
      <c r="K181" s="24"/>
      <c r="L181" s="38"/>
    </row>
    <row r="182" spans="2:12" x14ac:dyDescent="0.35">
      <c r="B182" s="24"/>
      <c r="E182" s="39"/>
      <c r="F182" s="40"/>
      <c r="G182" s="39"/>
      <c r="J182" s="24"/>
      <c r="K182" s="24"/>
      <c r="L182" s="38"/>
    </row>
    <row r="183" spans="2:12" x14ac:dyDescent="0.35">
      <c r="B183" s="24"/>
      <c r="E183" s="39"/>
      <c r="F183" s="40"/>
      <c r="G183" s="39"/>
      <c r="J183" s="24"/>
      <c r="K183" s="24"/>
      <c r="L183" s="38"/>
    </row>
    <row r="184" spans="2:12" x14ac:dyDescent="0.35">
      <c r="B184" s="24"/>
      <c r="E184" s="39"/>
      <c r="F184" s="40"/>
      <c r="G184" s="39"/>
      <c r="J184" s="24"/>
      <c r="K184" s="24"/>
      <c r="L184" s="38"/>
    </row>
    <row r="185" spans="2:12" x14ac:dyDescent="0.35">
      <c r="B185" s="24"/>
      <c r="E185" s="39"/>
      <c r="F185" s="40"/>
      <c r="G185" s="39"/>
      <c r="J185" s="24"/>
      <c r="K185" s="24"/>
      <c r="L185" s="38"/>
    </row>
    <row r="186" spans="2:12" x14ac:dyDescent="0.35">
      <c r="B186" s="24"/>
      <c r="E186" s="39"/>
      <c r="F186" s="40"/>
      <c r="G186" s="39"/>
      <c r="J186" s="24"/>
      <c r="K186" s="24"/>
      <c r="L186" s="38"/>
    </row>
    <row r="187" spans="2:12" x14ac:dyDescent="0.35">
      <c r="B187" s="24"/>
      <c r="E187" s="39"/>
      <c r="F187" s="40"/>
      <c r="G187" s="39"/>
      <c r="J187" s="24"/>
      <c r="K187" s="24"/>
      <c r="L187" s="38"/>
    </row>
    <row r="188" spans="2:12" x14ac:dyDescent="0.35">
      <c r="B188" s="24"/>
      <c r="E188" s="39"/>
      <c r="F188" s="40"/>
      <c r="G188" s="39"/>
      <c r="J188" s="24"/>
      <c r="K188" s="24"/>
      <c r="L188" s="38"/>
    </row>
    <row r="189" spans="2:12" x14ac:dyDescent="0.35">
      <c r="B189" s="24"/>
      <c r="E189" s="39"/>
      <c r="F189" s="40"/>
      <c r="G189" s="39"/>
      <c r="J189" s="24"/>
      <c r="K189" s="24"/>
      <c r="L189" s="38"/>
    </row>
    <row r="190" spans="2:12" x14ac:dyDescent="0.35">
      <c r="B190" s="24"/>
      <c r="E190" s="39"/>
      <c r="F190" s="40"/>
      <c r="G190" s="39"/>
      <c r="J190" s="24"/>
      <c r="K190" s="24"/>
      <c r="L190" s="38"/>
    </row>
    <row r="191" spans="2:12" x14ac:dyDescent="0.35">
      <c r="B191" s="24"/>
      <c r="E191" s="39"/>
      <c r="F191" s="40"/>
      <c r="G191" s="39"/>
      <c r="J191" s="24"/>
      <c r="K191" s="24"/>
      <c r="L191" s="38"/>
    </row>
    <row r="192" spans="2:12" x14ac:dyDescent="0.35">
      <c r="B192" s="24"/>
      <c r="E192" s="39"/>
      <c r="F192" s="40"/>
      <c r="G192" s="39"/>
      <c r="J192" s="24"/>
      <c r="K192" s="24"/>
      <c r="L192" s="38"/>
    </row>
    <row r="193" spans="2:12" x14ac:dyDescent="0.35">
      <c r="B193" s="24"/>
      <c r="E193" s="39"/>
      <c r="F193" s="40"/>
      <c r="G193" s="39"/>
      <c r="J193" s="24"/>
      <c r="K193" s="24"/>
      <c r="L193" s="38"/>
    </row>
    <row r="194" spans="2:12" x14ac:dyDescent="0.35">
      <c r="B194" s="24"/>
      <c r="E194" s="39"/>
      <c r="F194" s="40"/>
      <c r="G194" s="39"/>
      <c r="J194" s="24"/>
      <c r="K194" s="24"/>
      <c r="L194" s="38"/>
    </row>
    <row r="195" spans="2:12" x14ac:dyDescent="0.35">
      <c r="B195" s="24"/>
      <c r="E195" s="39"/>
      <c r="F195" s="40"/>
      <c r="G195" s="39"/>
      <c r="J195" s="24"/>
      <c r="K195" s="24"/>
      <c r="L195" s="38"/>
    </row>
    <row r="196" spans="2:12" x14ac:dyDescent="0.35">
      <c r="B196" s="24"/>
      <c r="E196" s="39"/>
      <c r="F196" s="40"/>
      <c r="G196" s="39"/>
      <c r="J196" s="24"/>
      <c r="K196" s="24"/>
      <c r="L196" s="38"/>
    </row>
    <row r="197" spans="2:12" x14ac:dyDescent="0.35">
      <c r="B197" s="24"/>
      <c r="E197" s="39"/>
      <c r="F197" s="40"/>
      <c r="G197" s="39"/>
      <c r="J197" s="24"/>
      <c r="K197" s="24"/>
      <c r="L197" s="38"/>
    </row>
    <row r="198" spans="2:12" x14ac:dyDescent="0.35">
      <c r="B198" s="24"/>
      <c r="E198" s="39"/>
      <c r="F198" s="40"/>
      <c r="G198" s="39"/>
      <c r="J198" s="24"/>
      <c r="K198" s="24"/>
      <c r="L198" s="38"/>
    </row>
    <row r="199" spans="2:12" x14ac:dyDescent="0.35">
      <c r="B199" s="24"/>
      <c r="E199" s="39"/>
      <c r="F199" s="40"/>
      <c r="G199" s="39"/>
      <c r="J199" s="24"/>
      <c r="K199" s="24"/>
      <c r="L199" s="38"/>
    </row>
    <row r="200" spans="2:12" x14ac:dyDescent="0.35">
      <c r="B200" s="24"/>
      <c r="E200" s="39"/>
      <c r="F200" s="40"/>
      <c r="G200" s="39"/>
      <c r="J200" s="24"/>
      <c r="K200" s="24"/>
      <c r="L200" s="38"/>
    </row>
    <row r="201" spans="2:12" x14ac:dyDescent="0.35">
      <c r="B201" s="24"/>
      <c r="E201" s="39"/>
      <c r="F201" s="40"/>
      <c r="G201" s="39"/>
      <c r="J201" s="24"/>
      <c r="K201" s="24"/>
      <c r="L201" s="38"/>
    </row>
    <row r="202" spans="2:12" x14ac:dyDescent="0.35">
      <c r="B202" s="24"/>
      <c r="E202" s="39"/>
      <c r="F202" s="40"/>
      <c r="G202" s="39"/>
      <c r="J202" s="24"/>
      <c r="K202" s="24"/>
      <c r="L202" s="38"/>
    </row>
    <row r="203" spans="2:12" x14ac:dyDescent="0.35">
      <c r="B203" s="24"/>
      <c r="E203" s="39"/>
      <c r="F203" s="40"/>
      <c r="G203" s="39"/>
      <c r="J203" s="24"/>
      <c r="K203" s="24"/>
      <c r="L203" s="38"/>
    </row>
    <row r="204" spans="2:12" x14ac:dyDescent="0.35">
      <c r="B204" s="24"/>
      <c r="E204" s="39"/>
      <c r="F204" s="40"/>
      <c r="G204" s="39"/>
      <c r="J204" s="24"/>
      <c r="K204" s="24"/>
      <c r="L204" s="38"/>
    </row>
    <row r="205" spans="2:12" x14ac:dyDescent="0.35">
      <c r="B205" s="24"/>
      <c r="E205" s="39"/>
      <c r="F205" s="40"/>
      <c r="G205" s="39"/>
      <c r="J205" s="24"/>
      <c r="K205" s="24"/>
      <c r="L205" s="38"/>
    </row>
    <row r="206" spans="2:12" x14ac:dyDescent="0.35">
      <c r="B206" s="24"/>
      <c r="E206" s="39"/>
      <c r="F206" s="40"/>
      <c r="G206" s="39"/>
      <c r="J206" s="24"/>
      <c r="K206" s="24"/>
      <c r="L206" s="38"/>
    </row>
    <row r="207" spans="2:12" x14ac:dyDescent="0.35">
      <c r="B207" s="24"/>
      <c r="E207" s="39"/>
      <c r="F207" s="40"/>
      <c r="G207" s="39"/>
      <c r="J207" s="24"/>
      <c r="K207" s="24"/>
      <c r="L207" s="38"/>
    </row>
    <row r="208" spans="2:12" x14ac:dyDescent="0.35">
      <c r="B208" s="24"/>
      <c r="E208" s="39"/>
      <c r="F208" s="40"/>
      <c r="G208" s="39"/>
      <c r="J208" s="24"/>
      <c r="K208" s="24"/>
      <c r="L208" s="38"/>
    </row>
    <row r="209" spans="2:12" x14ac:dyDescent="0.35">
      <c r="B209" s="24"/>
      <c r="E209" s="39"/>
      <c r="F209" s="40"/>
      <c r="G209" s="39"/>
      <c r="J209" s="24"/>
      <c r="K209" s="24"/>
      <c r="L209" s="38"/>
    </row>
    <row r="210" spans="2:12" x14ac:dyDescent="0.35">
      <c r="B210" s="24"/>
      <c r="E210" s="39"/>
      <c r="F210" s="40"/>
      <c r="G210" s="39"/>
      <c r="J210" s="24"/>
      <c r="K210" s="24"/>
      <c r="L210" s="38"/>
    </row>
    <row r="211" spans="2:12" x14ac:dyDescent="0.35">
      <c r="B211" s="24"/>
      <c r="E211" s="39"/>
      <c r="F211" s="40"/>
      <c r="G211" s="39"/>
      <c r="J211" s="24"/>
      <c r="K211" s="24"/>
      <c r="L211" s="38"/>
    </row>
    <row r="212" spans="2:12" x14ac:dyDescent="0.35">
      <c r="B212" s="24"/>
      <c r="E212" s="39"/>
      <c r="F212" s="40"/>
      <c r="G212" s="39"/>
      <c r="J212" s="24"/>
      <c r="K212" s="24"/>
      <c r="L212" s="38"/>
    </row>
    <row r="213" spans="2:12" x14ac:dyDescent="0.35">
      <c r="B213" s="24"/>
      <c r="E213" s="39"/>
      <c r="F213" s="40"/>
      <c r="G213" s="39"/>
      <c r="J213" s="24"/>
      <c r="K213" s="24"/>
      <c r="L213" s="38"/>
    </row>
    <row r="214" spans="2:12" x14ac:dyDescent="0.35">
      <c r="B214" s="24"/>
      <c r="E214" s="39"/>
      <c r="F214" s="40"/>
      <c r="G214" s="39"/>
      <c r="J214" s="24"/>
      <c r="K214" s="24"/>
      <c r="L214" s="38"/>
    </row>
    <row r="215" spans="2:12" x14ac:dyDescent="0.35">
      <c r="B215" s="24"/>
      <c r="E215" s="39"/>
      <c r="F215" s="40"/>
      <c r="G215" s="39"/>
      <c r="J215" s="24"/>
      <c r="K215" s="24"/>
      <c r="L215" s="38"/>
    </row>
    <row r="216" spans="2:12" x14ac:dyDescent="0.35">
      <c r="B216" s="24"/>
      <c r="E216" s="39"/>
      <c r="F216" s="40"/>
      <c r="G216" s="39"/>
      <c r="J216" s="24"/>
      <c r="K216" s="24"/>
      <c r="L216" s="38"/>
    </row>
    <row r="217" spans="2:12" x14ac:dyDescent="0.35">
      <c r="B217" s="24"/>
      <c r="E217" s="39"/>
      <c r="F217" s="40"/>
      <c r="G217" s="39"/>
      <c r="J217" s="24"/>
      <c r="K217" s="24"/>
      <c r="L217" s="38"/>
    </row>
    <row r="218" spans="2:12" x14ac:dyDescent="0.35">
      <c r="B218" s="24"/>
      <c r="E218" s="39"/>
      <c r="F218" s="40"/>
      <c r="G218" s="39"/>
      <c r="J218" s="24"/>
      <c r="K218" s="24"/>
      <c r="L218" s="38"/>
    </row>
    <row r="219" spans="2:12" x14ac:dyDescent="0.35">
      <c r="B219" s="24"/>
      <c r="E219" s="39"/>
      <c r="F219" s="40"/>
      <c r="G219" s="39"/>
      <c r="J219" s="24"/>
      <c r="K219" s="24"/>
      <c r="L219" s="38"/>
    </row>
    <row r="220" spans="2:12" x14ac:dyDescent="0.35">
      <c r="B220" s="24"/>
      <c r="E220" s="39"/>
      <c r="F220" s="40"/>
      <c r="G220" s="39"/>
      <c r="J220" s="24"/>
      <c r="K220" s="24"/>
      <c r="L220" s="38"/>
    </row>
    <row r="221" spans="2:12" x14ac:dyDescent="0.35">
      <c r="B221" s="24"/>
      <c r="E221" s="39"/>
      <c r="F221" s="40"/>
      <c r="G221" s="39"/>
      <c r="J221" s="24"/>
      <c r="K221" s="24"/>
      <c r="L221" s="38"/>
    </row>
    <row r="222" spans="2:12" x14ac:dyDescent="0.35">
      <c r="B222" s="24"/>
      <c r="E222" s="39"/>
      <c r="F222" s="40"/>
      <c r="G222" s="39"/>
      <c r="J222" s="24"/>
      <c r="K222" s="24"/>
      <c r="L222" s="38"/>
    </row>
    <row r="223" spans="2:12" x14ac:dyDescent="0.35">
      <c r="B223" s="24"/>
      <c r="E223" s="39"/>
      <c r="F223" s="40"/>
      <c r="G223" s="39"/>
      <c r="J223" s="24"/>
      <c r="K223" s="24"/>
      <c r="L223" s="38"/>
    </row>
    <row r="224" spans="2:12" x14ac:dyDescent="0.35">
      <c r="B224" s="24"/>
      <c r="E224" s="39"/>
      <c r="F224" s="40"/>
      <c r="G224" s="39"/>
      <c r="J224" s="24"/>
      <c r="K224" s="24"/>
      <c r="L224" s="38"/>
    </row>
    <row r="225" spans="2:12" x14ac:dyDescent="0.35">
      <c r="B225" s="24"/>
      <c r="E225" s="39"/>
      <c r="F225" s="40"/>
      <c r="G225" s="39"/>
      <c r="J225" s="24"/>
      <c r="K225" s="24"/>
      <c r="L225" s="38"/>
    </row>
    <row r="226" spans="2:12" x14ac:dyDescent="0.35">
      <c r="B226" s="24"/>
      <c r="E226" s="39"/>
      <c r="F226" s="40"/>
      <c r="G226" s="39"/>
      <c r="J226" s="24"/>
      <c r="K226" s="24"/>
      <c r="L226" s="38"/>
    </row>
    <row r="227" spans="2:12" x14ac:dyDescent="0.35">
      <c r="B227" s="24"/>
      <c r="E227" s="39"/>
      <c r="F227" s="40"/>
      <c r="G227" s="39"/>
      <c r="J227" s="24"/>
      <c r="K227" s="24"/>
      <c r="L227" s="38"/>
    </row>
    <row r="228" spans="2:12" x14ac:dyDescent="0.35">
      <c r="B228" s="24"/>
      <c r="E228" s="39"/>
      <c r="F228" s="40"/>
      <c r="G228" s="39"/>
      <c r="J228" s="24"/>
      <c r="K228" s="24"/>
      <c r="L228" s="38"/>
    </row>
    <row r="229" spans="2:12" x14ac:dyDescent="0.35">
      <c r="B229" s="24"/>
      <c r="E229" s="39"/>
      <c r="F229" s="40"/>
      <c r="G229" s="39"/>
      <c r="J229" s="24"/>
      <c r="K229" s="24"/>
      <c r="L229" s="38"/>
    </row>
    <row r="230" spans="2:12" x14ac:dyDescent="0.35">
      <c r="B230" s="24"/>
      <c r="E230" s="39"/>
      <c r="F230" s="40"/>
      <c r="G230" s="39"/>
      <c r="J230" s="24"/>
      <c r="K230" s="24"/>
      <c r="L230" s="38"/>
    </row>
    <row r="231" spans="2:12" x14ac:dyDescent="0.35">
      <c r="B231" s="24"/>
      <c r="E231" s="39"/>
      <c r="F231" s="40"/>
      <c r="G231" s="39"/>
      <c r="J231" s="24"/>
      <c r="K231" s="24"/>
      <c r="L231" s="38"/>
    </row>
    <row r="232" spans="2:12" x14ac:dyDescent="0.35">
      <c r="B232" s="24"/>
      <c r="E232" s="39"/>
      <c r="F232" s="40"/>
      <c r="G232" s="39"/>
      <c r="J232" s="24"/>
      <c r="K232" s="24"/>
      <c r="L232" s="38"/>
    </row>
    <row r="233" spans="2:12" x14ac:dyDescent="0.35">
      <c r="B233" s="24"/>
      <c r="E233" s="39"/>
      <c r="F233" s="40"/>
      <c r="G233" s="39"/>
      <c r="J233" s="24"/>
      <c r="K233" s="24"/>
      <c r="L233" s="38"/>
    </row>
    <row r="234" spans="2:12" x14ac:dyDescent="0.35">
      <c r="B234" s="24"/>
      <c r="E234" s="39"/>
      <c r="F234" s="40"/>
      <c r="G234" s="39"/>
      <c r="J234" s="24"/>
      <c r="K234" s="24"/>
      <c r="L234" s="38"/>
    </row>
    <row r="235" spans="2:12" x14ac:dyDescent="0.35">
      <c r="B235" s="24"/>
      <c r="E235" s="39"/>
      <c r="F235" s="40"/>
      <c r="G235" s="39"/>
      <c r="J235" s="24"/>
      <c r="K235" s="24"/>
      <c r="L235" s="38"/>
    </row>
    <row r="236" spans="2:12" x14ac:dyDescent="0.35">
      <c r="B236" s="24"/>
      <c r="E236" s="39"/>
      <c r="F236" s="40"/>
      <c r="G236" s="39"/>
      <c r="J236" s="24"/>
      <c r="K236" s="24"/>
      <c r="L236" s="38"/>
    </row>
    <row r="237" spans="2:12" x14ac:dyDescent="0.35">
      <c r="B237" s="24"/>
      <c r="E237" s="39"/>
      <c r="F237" s="40"/>
      <c r="G237" s="39"/>
      <c r="J237" s="24"/>
      <c r="K237" s="24"/>
      <c r="L237" s="38"/>
    </row>
    <row r="238" spans="2:12" x14ac:dyDescent="0.35">
      <c r="B238" s="24"/>
      <c r="E238" s="39"/>
      <c r="F238" s="40"/>
      <c r="G238" s="39"/>
      <c r="J238" s="24"/>
      <c r="K238" s="24"/>
      <c r="L238" s="38"/>
    </row>
    <row r="239" spans="2:12" x14ac:dyDescent="0.35">
      <c r="B239" s="24"/>
      <c r="E239" s="39"/>
      <c r="F239" s="40"/>
      <c r="G239" s="39"/>
      <c r="J239" s="24"/>
      <c r="K239" s="24"/>
      <c r="L239" s="38"/>
    </row>
    <row r="240" spans="2:12" x14ac:dyDescent="0.35">
      <c r="B240" s="24"/>
      <c r="E240" s="39"/>
      <c r="F240" s="40"/>
      <c r="G240" s="39"/>
      <c r="J240" s="24"/>
      <c r="K240" s="24"/>
      <c r="L240" s="38"/>
    </row>
    <row r="241" spans="2:12" x14ac:dyDescent="0.35">
      <c r="B241" s="24"/>
      <c r="E241" s="39"/>
      <c r="F241" s="40"/>
      <c r="G241" s="39"/>
      <c r="J241" s="24"/>
      <c r="K241" s="24"/>
      <c r="L241" s="38"/>
    </row>
    <row r="242" spans="2:12" x14ac:dyDescent="0.35">
      <c r="B242" s="24"/>
      <c r="E242" s="39"/>
      <c r="F242" s="40"/>
      <c r="G242" s="39"/>
      <c r="J242" s="24"/>
      <c r="K242" s="24"/>
      <c r="L242" s="38"/>
    </row>
    <row r="243" spans="2:12" x14ac:dyDescent="0.35">
      <c r="B243" s="24"/>
      <c r="E243" s="39"/>
      <c r="F243" s="40"/>
      <c r="G243" s="39"/>
      <c r="J243" s="24"/>
      <c r="K243" s="24"/>
      <c r="L243" s="38"/>
    </row>
    <row r="244" spans="2:12" x14ac:dyDescent="0.35">
      <c r="B244" s="24"/>
      <c r="E244" s="39"/>
      <c r="F244" s="40"/>
      <c r="G244" s="39"/>
      <c r="J244" s="24"/>
      <c r="K244" s="24"/>
      <c r="L244" s="38"/>
    </row>
    <row r="245" spans="2:12" x14ac:dyDescent="0.35">
      <c r="B245" s="24"/>
      <c r="E245" s="39"/>
      <c r="F245" s="40"/>
      <c r="G245" s="39"/>
      <c r="J245" s="24"/>
      <c r="K245" s="24"/>
      <c r="L245" s="38"/>
    </row>
    <row r="246" spans="2:12" x14ac:dyDescent="0.35">
      <c r="B246" s="24"/>
      <c r="E246" s="39"/>
      <c r="F246" s="40"/>
      <c r="G246" s="39"/>
      <c r="J246" s="24"/>
      <c r="K246" s="24"/>
      <c r="L246" s="38"/>
    </row>
    <row r="247" spans="2:12" x14ac:dyDescent="0.35">
      <c r="B247" s="24"/>
      <c r="E247" s="39"/>
      <c r="F247" s="40"/>
      <c r="G247" s="39"/>
      <c r="J247" s="24"/>
      <c r="K247" s="24"/>
      <c r="L247" s="38"/>
    </row>
    <row r="248" spans="2:12" x14ac:dyDescent="0.35">
      <c r="B248" s="24"/>
      <c r="E248" s="39"/>
      <c r="F248" s="40"/>
      <c r="G248" s="39"/>
      <c r="J248" s="24"/>
      <c r="K248" s="24"/>
      <c r="L248" s="38"/>
    </row>
    <row r="249" spans="2:12" x14ac:dyDescent="0.35">
      <c r="B249" s="24"/>
      <c r="E249" s="39"/>
      <c r="F249" s="40"/>
      <c r="G249" s="39"/>
      <c r="J249" s="24"/>
      <c r="K249" s="24"/>
      <c r="L249" s="38"/>
    </row>
    <row r="250" spans="2:12" x14ac:dyDescent="0.35">
      <c r="B250" s="24"/>
      <c r="E250" s="39"/>
      <c r="F250" s="40"/>
      <c r="G250" s="39"/>
      <c r="J250" s="24"/>
      <c r="K250" s="24"/>
      <c r="L250" s="38"/>
    </row>
    <row r="251" spans="2:12" x14ac:dyDescent="0.35">
      <c r="B251" s="24"/>
      <c r="E251" s="39"/>
      <c r="F251" s="40"/>
      <c r="G251" s="39"/>
      <c r="J251" s="24"/>
      <c r="K251" s="24"/>
      <c r="L251" s="38"/>
    </row>
    <row r="252" spans="2:12" x14ac:dyDescent="0.35">
      <c r="B252" s="24"/>
      <c r="E252" s="39"/>
      <c r="F252" s="40"/>
      <c r="G252" s="39"/>
      <c r="J252" s="24"/>
      <c r="K252" s="24"/>
      <c r="L252" s="38"/>
    </row>
    <row r="253" spans="2:12" x14ac:dyDescent="0.35">
      <c r="B253" s="24"/>
      <c r="E253" s="39"/>
      <c r="F253" s="40"/>
      <c r="G253" s="39"/>
      <c r="J253" s="24"/>
      <c r="K253" s="24"/>
      <c r="L253" s="38"/>
    </row>
    <row r="254" spans="2:12" x14ac:dyDescent="0.35">
      <c r="B254" s="24"/>
      <c r="E254" s="39"/>
      <c r="F254" s="40"/>
      <c r="G254" s="39"/>
      <c r="J254" s="24"/>
      <c r="K254" s="24"/>
      <c r="L254" s="38"/>
    </row>
    <row r="255" spans="2:12" x14ac:dyDescent="0.35">
      <c r="B255" s="24"/>
      <c r="E255" s="39"/>
      <c r="F255" s="40"/>
      <c r="G255" s="39"/>
      <c r="J255" s="24"/>
      <c r="K255" s="24"/>
      <c r="L255" s="38"/>
    </row>
    <row r="256" spans="2:12" x14ac:dyDescent="0.35">
      <c r="B256" s="24"/>
      <c r="E256" s="39"/>
      <c r="F256" s="40"/>
      <c r="G256" s="39"/>
      <c r="J256" s="24"/>
      <c r="K256" s="24"/>
      <c r="L256" s="38"/>
    </row>
    <row r="257" spans="2:12" x14ac:dyDescent="0.35">
      <c r="B257" s="24"/>
      <c r="E257" s="39"/>
      <c r="F257" s="40"/>
      <c r="G257" s="39"/>
      <c r="J257" s="24"/>
      <c r="K257" s="24"/>
      <c r="L257" s="38"/>
    </row>
    <row r="258" spans="2:12" x14ac:dyDescent="0.35">
      <c r="B258" s="24"/>
      <c r="E258" s="39"/>
      <c r="F258" s="40"/>
      <c r="G258" s="39"/>
      <c r="J258" s="24"/>
      <c r="K258" s="24"/>
      <c r="L258" s="38"/>
    </row>
    <row r="259" spans="2:12" x14ac:dyDescent="0.35">
      <c r="B259" s="24"/>
      <c r="E259" s="39"/>
      <c r="F259" s="40"/>
      <c r="G259" s="39"/>
      <c r="J259" s="24"/>
      <c r="K259" s="24"/>
      <c r="L259" s="38"/>
    </row>
    <row r="260" spans="2:12" x14ac:dyDescent="0.35">
      <c r="B260" s="24"/>
      <c r="E260" s="39"/>
      <c r="F260" s="40"/>
      <c r="G260" s="39"/>
      <c r="J260" s="24"/>
      <c r="K260" s="24"/>
      <c r="L260" s="38"/>
    </row>
    <row r="261" spans="2:12" x14ac:dyDescent="0.35">
      <c r="B261" s="24"/>
      <c r="E261" s="39"/>
      <c r="F261" s="40"/>
      <c r="G261" s="39"/>
      <c r="J261" s="24"/>
      <c r="K261" s="24"/>
      <c r="L261" s="38"/>
    </row>
    <row r="262" spans="2:12" x14ac:dyDescent="0.35">
      <c r="B262" s="24"/>
      <c r="E262" s="39"/>
      <c r="F262" s="40"/>
      <c r="G262" s="39"/>
      <c r="J262" s="24"/>
      <c r="K262" s="24"/>
      <c r="L262" s="38"/>
    </row>
    <row r="263" spans="2:12" x14ac:dyDescent="0.35">
      <c r="B263" s="24"/>
      <c r="E263" s="39"/>
      <c r="F263" s="40"/>
      <c r="G263" s="39"/>
      <c r="J263" s="24"/>
      <c r="K263" s="24"/>
      <c r="L263" s="38"/>
    </row>
    <row r="264" spans="2:12" x14ac:dyDescent="0.35">
      <c r="B264" s="24"/>
      <c r="E264" s="39"/>
      <c r="F264" s="40"/>
      <c r="G264" s="39"/>
      <c r="J264" s="24"/>
      <c r="K264" s="24"/>
      <c r="L264" s="38"/>
    </row>
    <row r="265" spans="2:12" x14ac:dyDescent="0.35">
      <c r="B265" s="24"/>
      <c r="E265" s="39"/>
      <c r="F265" s="40"/>
      <c r="G265" s="39"/>
      <c r="J265" s="24"/>
      <c r="K265" s="24"/>
      <c r="L265" s="38"/>
    </row>
    <row r="266" spans="2:12" x14ac:dyDescent="0.35">
      <c r="B266" s="24"/>
      <c r="E266" s="39"/>
      <c r="F266" s="40"/>
      <c r="G266" s="39"/>
      <c r="J266" s="24"/>
      <c r="K266" s="24"/>
      <c r="L266" s="38"/>
    </row>
    <row r="267" spans="2:12" x14ac:dyDescent="0.35">
      <c r="B267" s="24"/>
      <c r="E267" s="39"/>
      <c r="F267" s="40"/>
      <c r="G267" s="39"/>
      <c r="J267" s="24"/>
      <c r="K267" s="24"/>
      <c r="L267" s="38"/>
    </row>
    <row r="268" spans="2:12" x14ac:dyDescent="0.35">
      <c r="B268" s="24"/>
      <c r="E268" s="39"/>
      <c r="F268" s="40"/>
      <c r="G268" s="39"/>
      <c r="J268" s="24"/>
      <c r="K268" s="24"/>
      <c r="L268" s="38"/>
    </row>
    <row r="269" spans="2:12" x14ac:dyDescent="0.35">
      <c r="B269" s="24"/>
      <c r="E269" s="39"/>
      <c r="F269" s="40"/>
      <c r="G269" s="39"/>
      <c r="J269" s="24"/>
      <c r="K269" s="24"/>
      <c r="L269" s="38"/>
    </row>
    <row r="270" spans="2:12" x14ac:dyDescent="0.35">
      <c r="B270" s="24"/>
      <c r="E270" s="39"/>
      <c r="F270" s="40"/>
      <c r="G270" s="39"/>
      <c r="J270" s="24"/>
      <c r="K270" s="24"/>
      <c r="L270" s="38"/>
    </row>
    <row r="271" spans="2:12" x14ac:dyDescent="0.35">
      <c r="B271" s="24"/>
      <c r="E271" s="39"/>
      <c r="F271" s="40"/>
      <c r="G271" s="39"/>
      <c r="J271" s="24"/>
      <c r="K271" s="24"/>
      <c r="L271" s="38"/>
    </row>
    <row r="272" spans="2:12" x14ac:dyDescent="0.35">
      <c r="B272" s="24"/>
      <c r="E272" s="39"/>
      <c r="F272" s="40"/>
      <c r="G272" s="39"/>
      <c r="J272" s="24"/>
      <c r="K272" s="24"/>
      <c r="L272" s="38"/>
    </row>
    <row r="273" spans="2:12" x14ac:dyDescent="0.35">
      <c r="B273" s="24"/>
      <c r="E273" s="39"/>
      <c r="F273" s="40"/>
      <c r="G273" s="39"/>
      <c r="J273" s="24"/>
      <c r="K273" s="24"/>
      <c r="L273" s="38"/>
    </row>
    <row r="274" spans="2:12" x14ac:dyDescent="0.35">
      <c r="B274" s="24"/>
      <c r="E274" s="39"/>
      <c r="F274" s="40"/>
      <c r="G274" s="39"/>
      <c r="J274" s="24"/>
      <c r="K274" s="24"/>
      <c r="L274" s="38"/>
    </row>
    <row r="275" spans="2:12" x14ac:dyDescent="0.35">
      <c r="B275" s="24"/>
      <c r="E275" s="39"/>
      <c r="F275" s="40"/>
      <c r="G275" s="39"/>
      <c r="J275" s="24"/>
      <c r="K275" s="24"/>
      <c r="L275" s="38"/>
    </row>
    <row r="276" spans="2:12" x14ac:dyDescent="0.35">
      <c r="B276" s="24"/>
      <c r="E276" s="39"/>
      <c r="F276" s="40"/>
      <c r="G276" s="39"/>
      <c r="J276" s="24"/>
      <c r="K276" s="24"/>
      <c r="L276" s="38"/>
    </row>
    <row r="277" spans="2:12" x14ac:dyDescent="0.35">
      <c r="B277" s="24"/>
      <c r="E277" s="39"/>
      <c r="F277" s="40"/>
      <c r="G277" s="39"/>
      <c r="J277" s="24"/>
      <c r="K277" s="24"/>
      <c r="L277" s="38"/>
    </row>
    <row r="278" spans="2:12" x14ac:dyDescent="0.35">
      <c r="B278" s="24"/>
      <c r="E278" s="39"/>
      <c r="F278" s="40"/>
      <c r="G278" s="39"/>
      <c r="J278" s="24"/>
      <c r="K278" s="24"/>
      <c r="L278" s="38"/>
    </row>
    <row r="279" spans="2:12" x14ac:dyDescent="0.35">
      <c r="B279" s="24"/>
      <c r="E279" s="39"/>
      <c r="F279" s="40"/>
      <c r="G279" s="39"/>
      <c r="J279" s="24"/>
      <c r="K279" s="24"/>
      <c r="L279" s="38"/>
    </row>
    <row r="280" spans="2:12" x14ac:dyDescent="0.35">
      <c r="B280" s="24"/>
      <c r="E280" s="39"/>
      <c r="F280" s="40"/>
      <c r="G280" s="39"/>
      <c r="J280" s="24"/>
      <c r="K280" s="24"/>
      <c r="L280" s="38"/>
    </row>
    <row r="281" spans="2:12" x14ac:dyDescent="0.35">
      <c r="B281" s="24"/>
      <c r="E281" s="39"/>
      <c r="F281" s="40"/>
      <c r="G281" s="39"/>
      <c r="J281" s="24"/>
      <c r="K281" s="24"/>
      <c r="L281" s="38"/>
    </row>
    <row r="282" spans="2:12" x14ac:dyDescent="0.35">
      <c r="B282" s="24"/>
      <c r="E282" s="39"/>
      <c r="F282" s="40"/>
      <c r="G282" s="39"/>
      <c r="J282" s="24"/>
      <c r="K282" s="24"/>
      <c r="L282" s="38"/>
    </row>
    <row r="283" spans="2:12" x14ac:dyDescent="0.35">
      <c r="B283" s="24"/>
      <c r="E283" s="39"/>
      <c r="F283" s="40"/>
      <c r="G283" s="39"/>
      <c r="J283" s="24"/>
      <c r="K283" s="24"/>
      <c r="L283" s="38"/>
    </row>
    <row r="284" spans="2:12" x14ac:dyDescent="0.35">
      <c r="B284" s="24"/>
      <c r="E284" s="39"/>
      <c r="F284" s="40"/>
      <c r="G284" s="39"/>
      <c r="J284" s="24"/>
      <c r="K284" s="24"/>
      <c r="L284" s="38"/>
    </row>
    <row r="285" spans="2:12" x14ac:dyDescent="0.35">
      <c r="B285" s="24"/>
      <c r="E285" s="39"/>
      <c r="F285" s="40"/>
      <c r="G285" s="39"/>
      <c r="J285" s="24"/>
      <c r="K285" s="24"/>
      <c r="L285" s="38"/>
    </row>
    <row r="286" spans="2:12" x14ac:dyDescent="0.35">
      <c r="B286" s="24"/>
      <c r="E286" s="39"/>
      <c r="F286" s="40"/>
      <c r="G286" s="39"/>
      <c r="J286" s="24"/>
      <c r="K286" s="24"/>
      <c r="L286" s="38"/>
    </row>
    <row r="287" spans="2:12" x14ac:dyDescent="0.35">
      <c r="B287" s="24"/>
      <c r="E287" s="39"/>
      <c r="F287" s="40"/>
      <c r="G287" s="39"/>
      <c r="J287" s="24"/>
      <c r="K287" s="24"/>
      <c r="L287" s="38"/>
    </row>
    <row r="288" spans="2:12" x14ac:dyDescent="0.35">
      <c r="B288" s="24"/>
      <c r="E288" s="39"/>
      <c r="F288" s="40"/>
      <c r="G288" s="39"/>
      <c r="J288" s="24"/>
      <c r="K288" s="24"/>
      <c r="L288" s="38"/>
    </row>
    <row r="289" spans="2:12" x14ac:dyDescent="0.35">
      <c r="B289" s="24"/>
      <c r="E289" s="39"/>
      <c r="F289" s="40"/>
      <c r="G289" s="39"/>
      <c r="J289" s="24"/>
      <c r="K289" s="24"/>
      <c r="L289" s="38"/>
    </row>
    <row r="290" spans="2:12" x14ac:dyDescent="0.35">
      <c r="B290" s="24"/>
      <c r="E290" s="39"/>
      <c r="F290" s="40"/>
      <c r="G290" s="39"/>
      <c r="J290" s="24"/>
      <c r="K290" s="24"/>
      <c r="L290" s="38"/>
    </row>
    <row r="291" spans="2:12" x14ac:dyDescent="0.35">
      <c r="B291" s="24"/>
      <c r="E291" s="39"/>
      <c r="F291" s="40"/>
      <c r="G291" s="39"/>
      <c r="J291" s="24"/>
      <c r="K291" s="24"/>
      <c r="L291" s="38"/>
    </row>
    <row r="292" spans="2:12" x14ac:dyDescent="0.35">
      <c r="B292" s="24"/>
      <c r="E292" s="39"/>
      <c r="F292" s="40"/>
      <c r="G292" s="39"/>
      <c r="J292" s="24"/>
      <c r="K292" s="24"/>
      <c r="L292" s="38"/>
    </row>
    <row r="293" spans="2:12" x14ac:dyDescent="0.35">
      <c r="B293" s="24"/>
      <c r="E293" s="39"/>
      <c r="F293" s="40"/>
      <c r="G293" s="39"/>
      <c r="J293" s="24"/>
      <c r="K293" s="24"/>
      <c r="L293" s="38"/>
    </row>
    <row r="294" spans="2:12" x14ac:dyDescent="0.35">
      <c r="B294" s="24"/>
      <c r="E294" s="39"/>
      <c r="F294" s="40"/>
      <c r="G294" s="39"/>
      <c r="J294" s="24"/>
      <c r="K294" s="24"/>
      <c r="L294" s="38"/>
    </row>
    <row r="295" spans="2:12" x14ac:dyDescent="0.35">
      <c r="B295" s="24"/>
      <c r="E295" s="39"/>
      <c r="F295" s="40"/>
      <c r="G295" s="39"/>
      <c r="J295" s="24"/>
      <c r="K295" s="24"/>
      <c r="L295" s="38"/>
    </row>
    <row r="296" spans="2:12" x14ac:dyDescent="0.35">
      <c r="B296" s="24"/>
      <c r="E296" s="39"/>
      <c r="F296" s="40"/>
      <c r="G296" s="39"/>
      <c r="J296" s="24"/>
      <c r="K296" s="24"/>
      <c r="L296" s="38"/>
    </row>
    <row r="297" spans="2:12" x14ac:dyDescent="0.35">
      <c r="B297" s="24"/>
      <c r="E297" s="39"/>
      <c r="F297" s="40"/>
      <c r="G297" s="39"/>
      <c r="J297" s="24"/>
      <c r="K297" s="24"/>
      <c r="L297" s="38"/>
    </row>
    <row r="298" spans="2:12" x14ac:dyDescent="0.35">
      <c r="B298" s="24"/>
      <c r="E298" s="39"/>
      <c r="F298" s="40"/>
      <c r="G298" s="39"/>
      <c r="J298" s="24"/>
      <c r="K298" s="24"/>
      <c r="L298" s="38"/>
    </row>
    <row r="299" spans="2:12" x14ac:dyDescent="0.35">
      <c r="B299" s="24"/>
      <c r="E299" s="39"/>
      <c r="F299" s="40"/>
      <c r="G299" s="39"/>
      <c r="J299" s="24"/>
      <c r="K299" s="24"/>
      <c r="L299" s="38"/>
    </row>
    <row r="300" spans="2:12" x14ac:dyDescent="0.35">
      <c r="B300" s="24"/>
      <c r="E300" s="39"/>
      <c r="F300" s="40"/>
      <c r="G300" s="39"/>
      <c r="J300" s="24"/>
      <c r="K300" s="24"/>
      <c r="L300" s="38"/>
    </row>
    <row r="301" spans="2:12" x14ac:dyDescent="0.35">
      <c r="B301" s="24"/>
      <c r="E301" s="39"/>
      <c r="F301" s="40"/>
      <c r="G301" s="39"/>
      <c r="J301" s="24"/>
      <c r="K301" s="24"/>
      <c r="L301" s="38"/>
    </row>
    <row r="302" spans="2:12" x14ac:dyDescent="0.35">
      <c r="B302" s="24"/>
      <c r="E302" s="39"/>
      <c r="F302" s="40"/>
      <c r="G302" s="39"/>
      <c r="J302" s="24"/>
      <c r="K302" s="24"/>
      <c r="L302" s="38"/>
    </row>
    <row r="303" spans="2:12" x14ac:dyDescent="0.35">
      <c r="B303" s="24"/>
      <c r="E303" s="39"/>
      <c r="F303" s="40"/>
      <c r="G303" s="39"/>
      <c r="J303" s="24"/>
      <c r="K303" s="24"/>
      <c r="L303" s="38"/>
    </row>
    <row r="304" spans="2:12" x14ac:dyDescent="0.35">
      <c r="B304" s="24"/>
      <c r="E304" s="39"/>
      <c r="F304" s="40"/>
      <c r="G304" s="39"/>
      <c r="J304" s="24"/>
      <c r="K304" s="24"/>
      <c r="L304" s="38"/>
    </row>
    <row r="305" spans="2:12" x14ac:dyDescent="0.35">
      <c r="B305" s="24"/>
      <c r="E305" s="39"/>
      <c r="F305" s="40"/>
      <c r="G305" s="39"/>
      <c r="J305" s="24"/>
      <c r="K305" s="24"/>
      <c r="L305" s="38"/>
    </row>
    <row r="306" spans="2:12" x14ac:dyDescent="0.35">
      <c r="B306" s="24"/>
      <c r="E306" s="39"/>
      <c r="F306" s="40"/>
      <c r="G306" s="39"/>
      <c r="J306" s="24"/>
      <c r="K306" s="24"/>
      <c r="L306" s="38"/>
    </row>
    <row r="307" spans="2:12" x14ac:dyDescent="0.35">
      <c r="B307" s="24"/>
      <c r="E307" s="39"/>
      <c r="F307" s="40"/>
      <c r="G307" s="39"/>
      <c r="J307" s="24"/>
      <c r="K307" s="24"/>
      <c r="L307" s="38"/>
    </row>
    <row r="308" spans="2:12" x14ac:dyDescent="0.35">
      <c r="B308" s="24"/>
      <c r="E308" s="39"/>
      <c r="F308" s="40"/>
      <c r="G308" s="39"/>
      <c r="J308" s="24"/>
      <c r="K308" s="24"/>
      <c r="L308" s="38"/>
    </row>
    <row r="309" spans="2:12" x14ac:dyDescent="0.35">
      <c r="B309" s="24"/>
      <c r="E309" s="39"/>
      <c r="F309" s="40"/>
      <c r="G309" s="39"/>
      <c r="J309" s="24"/>
      <c r="K309" s="24"/>
      <c r="L309" s="38"/>
    </row>
    <row r="310" spans="2:12" x14ac:dyDescent="0.35">
      <c r="B310" s="24"/>
      <c r="E310" s="39"/>
      <c r="F310" s="40"/>
      <c r="G310" s="39"/>
      <c r="J310" s="24"/>
      <c r="K310" s="24"/>
      <c r="L310" s="38"/>
    </row>
    <row r="311" spans="2:12" x14ac:dyDescent="0.35">
      <c r="B311" s="24"/>
      <c r="E311" s="39"/>
      <c r="F311" s="40"/>
      <c r="G311" s="39"/>
      <c r="J311" s="24"/>
      <c r="K311" s="24"/>
      <c r="L311" s="38"/>
    </row>
    <row r="312" spans="2:12" x14ac:dyDescent="0.35">
      <c r="B312" s="24"/>
      <c r="E312" s="39"/>
      <c r="F312" s="40"/>
      <c r="G312" s="39"/>
      <c r="J312" s="24"/>
      <c r="K312" s="24"/>
      <c r="L312" s="38"/>
    </row>
    <row r="313" spans="2:12" x14ac:dyDescent="0.35">
      <c r="B313" s="24"/>
      <c r="E313" s="39"/>
      <c r="F313" s="40"/>
      <c r="G313" s="39"/>
      <c r="J313" s="24"/>
      <c r="K313" s="24"/>
      <c r="L313" s="38"/>
    </row>
    <row r="314" spans="2:12" x14ac:dyDescent="0.35">
      <c r="B314" s="24"/>
      <c r="E314" s="39"/>
      <c r="F314" s="40"/>
      <c r="G314" s="39"/>
      <c r="J314" s="24"/>
      <c r="K314" s="24"/>
      <c r="L314" s="38"/>
    </row>
    <row r="315" spans="2:12" x14ac:dyDescent="0.35">
      <c r="B315" s="24"/>
      <c r="E315" s="39"/>
      <c r="F315" s="40"/>
      <c r="G315" s="39"/>
      <c r="J315" s="24"/>
      <c r="K315" s="24"/>
      <c r="L315" s="38"/>
    </row>
    <row r="316" spans="2:12" x14ac:dyDescent="0.35">
      <c r="B316" s="24"/>
      <c r="E316" s="39"/>
      <c r="F316" s="40"/>
      <c r="G316" s="39"/>
      <c r="J316" s="24"/>
      <c r="K316" s="24"/>
      <c r="L316" s="38"/>
    </row>
    <row r="317" spans="2:12" x14ac:dyDescent="0.35">
      <c r="B317" s="24"/>
      <c r="E317" s="39"/>
      <c r="F317" s="40"/>
      <c r="G317" s="39"/>
      <c r="J317" s="24"/>
      <c r="K317" s="24"/>
      <c r="L317" s="38"/>
    </row>
    <row r="318" spans="2:12" x14ac:dyDescent="0.35">
      <c r="B318" s="24"/>
      <c r="E318" s="39"/>
      <c r="F318" s="40"/>
      <c r="G318" s="39"/>
      <c r="J318" s="24"/>
      <c r="K318" s="24"/>
      <c r="L318" s="38"/>
    </row>
    <row r="319" spans="2:12" x14ac:dyDescent="0.35">
      <c r="B319" s="24"/>
      <c r="E319" s="39"/>
      <c r="F319" s="40"/>
      <c r="G319" s="39"/>
      <c r="J319" s="24"/>
      <c r="K319" s="24"/>
      <c r="L319" s="38"/>
    </row>
    <row r="320" spans="2:12" x14ac:dyDescent="0.35">
      <c r="B320" s="24"/>
      <c r="E320" s="39"/>
      <c r="F320" s="40"/>
      <c r="G320" s="39"/>
      <c r="J320" s="24"/>
      <c r="K320" s="24"/>
      <c r="L320" s="38"/>
    </row>
    <row r="321" spans="2:12" x14ac:dyDescent="0.35">
      <c r="B321" s="24"/>
      <c r="E321" s="39"/>
      <c r="F321" s="40"/>
      <c r="G321" s="39"/>
      <c r="J321" s="24"/>
      <c r="K321" s="24"/>
      <c r="L321" s="38"/>
    </row>
    <row r="322" spans="2:12" x14ac:dyDescent="0.35">
      <c r="B322" s="24"/>
      <c r="E322" s="39"/>
      <c r="F322" s="40"/>
      <c r="G322" s="39"/>
      <c r="J322" s="24"/>
      <c r="K322" s="24"/>
      <c r="L322" s="38"/>
    </row>
    <row r="323" spans="2:12" x14ac:dyDescent="0.35">
      <c r="B323" s="24"/>
      <c r="E323" s="39"/>
      <c r="F323" s="40"/>
      <c r="G323" s="39"/>
      <c r="J323" s="24"/>
      <c r="K323" s="24"/>
      <c r="L323" s="38"/>
    </row>
    <row r="324" spans="2:12" x14ac:dyDescent="0.35">
      <c r="B324" s="24"/>
      <c r="E324" s="39"/>
      <c r="F324" s="40"/>
      <c r="G324" s="39"/>
      <c r="J324" s="24"/>
      <c r="K324" s="24"/>
      <c r="L324" s="38"/>
    </row>
    <row r="325" spans="2:12" x14ac:dyDescent="0.35">
      <c r="B325" s="24"/>
      <c r="E325" s="39"/>
      <c r="F325" s="40"/>
      <c r="G325" s="39"/>
      <c r="J325" s="24"/>
      <c r="K325" s="24"/>
      <c r="L325" s="38"/>
    </row>
    <row r="326" spans="2:12" x14ac:dyDescent="0.35">
      <c r="B326" s="24"/>
      <c r="E326" s="39"/>
      <c r="F326" s="40"/>
      <c r="G326" s="39"/>
      <c r="J326" s="24"/>
      <c r="K326" s="24"/>
      <c r="L326" s="38"/>
    </row>
    <row r="327" spans="2:12" x14ac:dyDescent="0.35">
      <c r="B327" s="24"/>
      <c r="E327" s="39"/>
      <c r="F327" s="40"/>
      <c r="G327" s="39"/>
      <c r="J327" s="24"/>
      <c r="K327" s="24"/>
      <c r="L327" s="38"/>
    </row>
    <row r="328" spans="2:12" x14ac:dyDescent="0.35">
      <c r="B328" s="24"/>
      <c r="E328" s="39"/>
      <c r="F328" s="40"/>
      <c r="G328" s="39"/>
      <c r="J328" s="24"/>
      <c r="K328" s="24"/>
      <c r="L328" s="38"/>
    </row>
    <row r="329" spans="2:12" x14ac:dyDescent="0.35">
      <c r="B329" s="24"/>
      <c r="E329" s="39"/>
      <c r="F329" s="40"/>
      <c r="G329" s="39"/>
      <c r="J329" s="24"/>
      <c r="K329" s="24"/>
      <c r="L329" s="38"/>
    </row>
    <row r="330" spans="2:12" x14ac:dyDescent="0.35">
      <c r="B330" s="24"/>
      <c r="E330" s="39"/>
      <c r="F330" s="40"/>
      <c r="G330" s="39"/>
      <c r="J330" s="24"/>
      <c r="K330" s="24"/>
      <c r="L330" s="38"/>
    </row>
    <row r="331" spans="2:12" x14ac:dyDescent="0.35">
      <c r="B331" s="24"/>
      <c r="E331" s="39"/>
      <c r="F331" s="40"/>
      <c r="G331" s="39"/>
      <c r="J331" s="24"/>
      <c r="K331" s="24"/>
      <c r="L331" s="38"/>
    </row>
    <row r="332" spans="2:12" x14ac:dyDescent="0.35">
      <c r="B332" s="24"/>
      <c r="E332" s="39"/>
      <c r="F332" s="40"/>
      <c r="G332" s="39"/>
      <c r="J332" s="24"/>
      <c r="K332" s="24"/>
      <c r="L332" s="38"/>
    </row>
    <row r="333" spans="2:12" x14ac:dyDescent="0.35">
      <c r="B333" s="24"/>
      <c r="E333" s="39"/>
      <c r="F333" s="40"/>
      <c r="G333" s="39"/>
      <c r="J333" s="24"/>
      <c r="K333" s="24"/>
      <c r="L333" s="38"/>
    </row>
    <row r="334" spans="2:12" x14ac:dyDescent="0.35">
      <c r="B334" s="24"/>
      <c r="E334" s="39"/>
      <c r="F334" s="40"/>
      <c r="G334" s="39"/>
      <c r="J334" s="24"/>
      <c r="K334" s="24"/>
      <c r="L334" s="38"/>
    </row>
    <row r="335" spans="2:12" x14ac:dyDescent="0.35">
      <c r="B335" s="24"/>
      <c r="E335" s="39"/>
      <c r="F335" s="40"/>
      <c r="G335" s="39"/>
      <c r="J335" s="24"/>
      <c r="K335" s="24"/>
      <c r="L335" s="38"/>
    </row>
    <row r="336" spans="2:12" x14ac:dyDescent="0.35">
      <c r="B336" s="24"/>
      <c r="E336" s="39"/>
      <c r="F336" s="40"/>
      <c r="G336" s="39"/>
      <c r="J336" s="24"/>
      <c r="K336" s="24"/>
      <c r="L336" s="38"/>
    </row>
    <row r="337" spans="2:12" x14ac:dyDescent="0.35">
      <c r="B337" s="24"/>
      <c r="E337" s="39"/>
      <c r="F337" s="40"/>
      <c r="G337" s="39"/>
      <c r="J337" s="24"/>
      <c r="K337" s="24"/>
      <c r="L337" s="38"/>
    </row>
    <row r="338" spans="2:12" x14ac:dyDescent="0.35">
      <c r="B338" s="24"/>
      <c r="E338" s="39"/>
      <c r="F338" s="40"/>
      <c r="G338" s="39"/>
      <c r="J338" s="24"/>
      <c r="K338" s="24"/>
      <c r="L338" s="38"/>
    </row>
    <row r="339" spans="2:12" x14ac:dyDescent="0.35">
      <c r="B339" s="24"/>
      <c r="E339" s="39"/>
      <c r="F339" s="40"/>
      <c r="G339" s="39"/>
      <c r="J339" s="24"/>
      <c r="K339" s="24"/>
      <c r="L339" s="38"/>
    </row>
    <row r="340" spans="2:12" x14ac:dyDescent="0.35">
      <c r="B340" s="24"/>
      <c r="E340" s="39"/>
      <c r="F340" s="40"/>
      <c r="G340" s="39"/>
      <c r="J340" s="24"/>
      <c r="K340" s="24"/>
      <c r="L340" s="38"/>
    </row>
    <row r="341" spans="2:12" x14ac:dyDescent="0.35">
      <c r="B341" s="24"/>
      <c r="E341" s="39"/>
      <c r="F341" s="40"/>
      <c r="G341" s="39"/>
      <c r="J341" s="24"/>
      <c r="K341" s="24"/>
      <c r="L341" s="38"/>
    </row>
    <row r="342" spans="2:12" x14ac:dyDescent="0.35">
      <c r="B342" s="24"/>
      <c r="E342" s="39"/>
      <c r="F342" s="40"/>
      <c r="G342" s="39"/>
      <c r="J342" s="24"/>
      <c r="K342" s="24"/>
      <c r="L342" s="38"/>
    </row>
    <row r="343" spans="2:12" x14ac:dyDescent="0.35">
      <c r="B343" s="24"/>
      <c r="E343" s="39"/>
      <c r="F343" s="40"/>
      <c r="G343" s="39"/>
      <c r="J343" s="24"/>
      <c r="K343" s="24"/>
      <c r="L343" s="38"/>
    </row>
    <row r="344" spans="2:12" x14ac:dyDescent="0.35">
      <c r="B344" s="24"/>
      <c r="E344" s="39"/>
      <c r="F344" s="40"/>
      <c r="G344" s="39"/>
      <c r="J344" s="24"/>
      <c r="K344" s="24"/>
      <c r="L344" s="38"/>
    </row>
    <row r="345" spans="2:12" x14ac:dyDescent="0.35">
      <c r="B345" s="24"/>
      <c r="E345" s="39"/>
      <c r="F345" s="40"/>
      <c r="G345" s="39"/>
      <c r="J345" s="24"/>
      <c r="K345" s="24"/>
      <c r="L345" s="38"/>
    </row>
    <row r="346" spans="2:12" x14ac:dyDescent="0.35">
      <c r="B346" s="24"/>
      <c r="E346" s="39"/>
      <c r="F346" s="40"/>
      <c r="G346" s="39"/>
      <c r="J346" s="24"/>
      <c r="K346" s="24"/>
      <c r="L346" s="38"/>
    </row>
    <row r="347" spans="2:12" x14ac:dyDescent="0.35">
      <c r="B347" s="24"/>
      <c r="E347" s="39"/>
      <c r="F347" s="40"/>
      <c r="G347" s="39"/>
      <c r="J347" s="24"/>
      <c r="K347" s="24"/>
      <c r="L347" s="38"/>
    </row>
    <row r="348" spans="2:12" x14ac:dyDescent="0.35">
      <c r="B348" s="24"/>
      <c r="E348" s="39"/>
      <c r="F348" s="40"/>
      <c r="G348" s="39"/>
      <c r="J348" s="24"/>
      <c r="K348" s="24"/>
      <c r="L348" s="38"/>
    </row>
    <row r="349" spans="2:12" x14ac:dyDescent="0.35">
      <c r="B349" s="24"/>
      <c r="E349" s="39"/>
      <c r="F349" s="40"/>
      <c r="G349" s="39"/>
      <c r="J349" s="24"/>
      <c r="K349" s="24"/>
      <c r="L349" s="38"/>
    </row>
    <row r="350" spans="2:12" x14ac:dyDescent="0.35">
      <c r="B350" s="24"/>
      <c r="E350" s="39"/>
      <c r="F350" s="40"/>
      <c r="G350" s="39"/>
      <c r="J350" s="24"/>
      <c r="K350" s="24"/>
      <c r="L350" s="38"/>
    </row>
    <row r="351" spans="2:12" x14ac:dyDescent="0.35">
      <c r="B351" s="24"/>
      <c r="E351" s="39"/>
      <c r="F351" s="40"/>
      <c r="G351" s="39"/>
      <c r="J351" s="24"/>
      <c r="K351" s="24"/>
      <c r="L351" s="38"/>
    </row>
    <row r="352" spans="2:12" x14ac:dyDescent="0.35">
      <c r="B352" s="24"/>
      <c r="E352" s="39"/>
      <c r="F352" s="40"/>
      <c r="G352" s="39"/>
      <c r="J352" s="24"/>
      <c r="K352" s="24"/>
      <c r="L352" s="38"/>
    </row>
    <row r="353" spans="2:12" x14ac:dyDescent="0.35">
      <c r="B353" s="24"/>
      <c r="E353" s="39"/>
      <c r="F353" s="40"/>
      <c r="G353" s="39"/>
      <c r="J353" s="24"/>
      <c r="K353" s="24"/>
      <c r="L353" s="38"/>
    </row>
    <row r="354" spans="2:12" x14ac:dyDescent="0.35">
      <c r="B354" s="24"/>
      <c r="E354" s="39"/>
      <c r="F354" s="40"/>
      <c r="G354" s="39"/>
      <c r="J354" s="24"/>
      <c r="K354" s="24"/>
      <c r="L354" s="38"/>
    </row>
    <row r="355" spans="2:12" x14ac:dyDescent="0.35">
      <c r="B355" s="24"/>
      <c r="E355" s="39"/>
      <c r="F355" s="40"/>
      <c r="G355" s="39"/>
      <c r="J355" s="24"/>
      <c r="K355" s="24"/>
      <c r="L355" s="38"/>
    </row>
    <row r="356" spans="2:12" x14ac:dyDescent="0.35">
      <c r="B356" s="24"/>
      <c r="E356" s="39"/>
      <c r="F356" s="40"/>
      <c r="G356" s="39"/>
      <c r="J356" s="24"/>
      <c r="K356" s="24"/>
      <c r="L356" s="38"/>
    </row>
    <row r="357" spans="2:12" x14ac:dyDescent="0.35">
      <c r="B357" s="24"/>
      <c r="E357" s="39"/>
      <c r="F357" s="40"/>
      <c r="G357" s="39"/>
      <c r="J357" s="24"/>
      <c r="K357" s="24"/>
      <c r="L357" s="38"/>
    </row>
    <row r="358" spans="2:12" x14ac:dyDescent="0.35">
      <c r="B358" s="24"/>
      <c r="E358" s="39"/>
      <c r="F358" s="40"/>
      <c r="G358" s="39"/>
      <c r="J358" s="24"/>
      <c r="K358" s="24"/>
      <c r="L358" s="38"/>
    </row>
    <row r="359" spans="2:12" x14ac:dyDescent="0.35">
      <c r="B359" s="24"/>
      <c r="E359" s="39"/>
      <c r="F359" s="40"/>
      <c r="G359" s="39"/>
      <c r="J359" s="24"/>
      <c r="K359" s="24"/>
      <c r="L359" s="38"/>
    </row>
    <row r="360" spans="2:12" x14ac:dyDescent="0.35">
      <c r="B360" s="24"/>
      <c r="E360" s="39"/>
      <c r="F360" s="40"/>
      <c r="G360" s="39"/>
      <c r="J360" s="24"/>
      <c r="K360" s="24"/>
      <c r="L360" s="38"/>
    </row>
    <row r="361" spans="2:12" x14ac:dyDescent="0.35">
      <c r="B361" s="24"/>
      <c r="E361" s="39"/>
      <c r="F361" s="40"/>
      <c r="G361" s="39"/>
      <c r="J361" s="24"/>
      <c r="K361" s="24"/>
      <c r="L361" s="38"/>
    </row>
    <row r="362" spans="2:12" x14ac:dyDescent="0.35">
      <c r="B362" s="24"/>
      <c r="E362" s="39"/>
      <c r="F362" s="40"/>
      <c r="G362" s="39"/>
      <c r="J362" s="24"/>
      <c r="K362" s="24"/>
      <c r="L362" s="38"/>
    </row>
    <row r="363" spans="2:12" x14ac:dyDescent="0.35">
      <c r="B363" s="24"/>
      <c r="E363" s="39"/>
      <c r="F363" s="40"/>
      <c r="G363" s="39"/>
      <c r="J363" s="24"/>
      <c r="K363" s="24"/>
      <c r="L363" s="38"/>
    </row>
    <row r="364" spans="2:12" x14ac:dyDescent="0.35">
      <c r="B364" s="24"/>
      <c r="E364" s="39"/>
      <c r="F364" s="40"/>
      <c r="G364" s="39"/>
      <c r="J364" s="24"/>
      <c r="K364" s="24"/>
      <c r="L364" s="38"/>
    </row>
    <row r="365" spans="2:12" x14ac:dyDescent="0.35">
      <c r="B365" s="24"/>
      <c r="E365" s="39"/>
      <c r="F365" s="40"/>
      <c r="G365" s="39"/>
      <c r="J365" s="24"/>
      <c r="K365" s="24"/>
      <c r="L365" s="38"/>
    </row>
    <row r="366" spans="2:12" x14ac:dyDescent="0.35">
      <c r="B366" s="24"/>
      <c r="E366" s="39"/>
      <c r="F366" s="40"/>
      <c r="G366" s="39"/>
      <c r="J366" s="24"/>
      <c r="K366" s="24"/>
      <c r="L366" s="38"/>
    </row>
    <row r="367" spans="2:12" x14ac:dyDescent="0.35">
      <c r="B367" s="24"/>
      <c r="E367" s="39"/>
      <c r="F367" s="40"/>
      <c r="G367" s="39"/>
      <c r="J367" s="24"/>
      <c r="K367" s="24"/>
      <c r="L367" s="38"/>
    </row>
    <row r="368" spans="2:12" x14ac:dyDescent="0.35">
      <c r="B368" s="24"/>
      <c r="E368" s="39"/>
      <c r="F368" s="40"/>
      <c r="G368" s="39"/>
      <c r="J368" s="24"/>
      <c r="K368" s="24"/>
      <c r="L368" s="38"/>
    </row>
    <row r="369" spans="2:12" x14ac:dyDescent="0.35">
      <c r="B369" s="24"/>
      <c r="E369" s="39"/>
      <c r="F369" s="40"/>
      <c r="G369" s="39"/>
      <c r="J369" s="24"/>
      <c r="K369" s="24"/>
      <c r="L369" s="38"/>
    </row>
    <row r="370" spans="2:12" x14ac:dyDescent="0.35">
      <c r="B370" s="24"/>
      <c r="E370" s="39"/>
      <c r="F370" s="40"/>
      <c r="G370" s="39"/>
      <c r="J370" s="24"/>
      <c r="K370" s="24"/>
      <c r="L370" s="38"/>
    </row>
    <row r="371" spans="2:12" x14ac:dyDescent="0.35">
      <c r="B371" s="24"/>
      <c r="E371" s="39"/>
      <c r="F371" s="40"/>
      <c r="G371" s="39"/>
      <c r="J371" s="24"/>
      <c r="K371" s="24"/>
      <c r="L371" s="38"/>
    </row>
    <row r="372" spans="2:12" x14ac:dyDescent="0.35">
      <c r="B372" s="24"/>
      <c r="E372" s="39"/>
      <c r="F372" s="40"/>
      <c r="G372" s="39"/>
      <c r="J372" s="24"/>
      <c r="K372" s="24"/>
      <c r="L372" s="38"/>
    </row>
    <row r="373" spans="2:12" x14ac:dyDescent="0.35">
      <c r="B373" s="24"/>
      <c r="E373" s="39"/>
      <c r="F373" s="40"/>
      <c r="G373" s="39"/>
      <c r="J373" s="24"/>
      <c r="K373" s="24"/>
      <c r="L373" s="38"/>
    </row>
    <row r="374" spans="2:12" x14ac:dyDescent="0.35">
      <c r="B374" s="24"/>
      <c r="E374" s="39"/>
      <c r="F374" s="40"/>
      <c r="G374" s="39"/>
      <c r="J374" s="24"/>
      <c r="K374" s="24"/>
      <c r="L374" s="38"/>
    </row>
    <row r="375" spans="2:12" x14ac:dyDescent="0.35">
      <c r="B375" s="24"/>
      <c r="E375" s="39"/>
      <c r="F375" s="40"/>
      <c r="G375" s="39"/>
      <c r="J375" s="24"/>
      <c r="K375" s="24"/>
      <c r="L375" s="38"/>
    </row>
    <row r="376" spans="2:12" x14ac:dyDescent="0.35">
      <c r="B376" s="24"/>
      <c r="E376" s="39"/>
      <c r="F376" s="40"/>
      <c r="G376" s="39"/>
      <c r="J376" s="24"/>
      <c r="K376" s="24"/>
      <c r="L376" s="38"/>
    </row>
    <row r="377" spans="2:12" x14ac:dyDescent="0.35">
      <c r="B377" s="24"/>
      <c r="E377" s="39"/>
      <c r="F377" s="40"/>
      <c r="G377" s="39"/>
      <c r="J377" s="24"/>
      <c r="K377" s="24"/>
      <c r="L377" s="38"/>
    </row>
    <row r="378" spans="2:12" x14ac:dyDescent="0.35">
      <c r="B378" s="24"/>
      <c r="E378" s="39"/>
      <c r="F378" s="40"/>
      <c r="G378" s="39"/>
      <c r="J378" s="24"/>
      <c r="K378" s="24"/>
      <c r="L378" s="38"/>
    </row>
    <row r="379" spans="2:12" x14ac:dyDescent="0.35">
      <c r="B379" s="24"/>
      <c r="E379" s="39"/>
      <c r="F379" s="40"/>
      <c r="G379" s="39"/>
      <c r="J379" s="24"/>
      <c r="K379" s="24"/>
      <c r="L379" s="38"/>
    </row>
    <row r="380" spans="2:12" x14ac:dyDescent="0.35">
      <c r="B380" s="24"/>
      <c r="E380" s="39"/>
      <c r="F380" s="40"/>
      <c r="G380" s="39"/>
      <c r="J380" s="24"/>
      <c r="K380" s="24"/>
      <c r="L380" s="38"/>
    </row>
    <row r="381" spans="2:12" x14ac:dyDescent="0.35">
      <c r="B381" s="24"/>
      <c r="E381" s="39"/>
      <c r="F381" s="40"/>
      <c r="G381" s="39"/>
      <c r="J381" s="24"/>
      <c r="K381" s="24"/>
      <c r="L381" s="38"/>
    </row>
    <row r="382" spans="2:12" x14ac:dyDescent="0.35">
      <c r="B382" s="24"/>
      <c r="E382" s="39"/>
      <c r="F382" s="40"/>
      <c r="G382" s="39"/>
      <c r="J382" s="24"/>
      <c r="K382" s="24"/>
      <c r="L382" s="38"/>
    </row>
    <row r="383" spans="2:12" x14ac:dyDescent="0.35">
      <c r="B383" s="24"/>
      <c r="E383" s="39"/>
      <c r="F383" s="40"/>
      <c r="G383" s="39"/>
      <c r="J383" s="24"/>
      <c r="K383" s="24"/>
      <c r="L383" s="38"/>
    </row>
    <row r="384" spans="2:12" x14ac:dyDescent="0.35">
      <c r="B384" s="24"/>
      <c r="E384" s="39"/>
      <c r="F384" s="40"/>
      <c r="G384" s="39"/>
      <c r="J384" s="24"/>
      <c r="K384" s="24"/>
      <c r="L384" s="38"/>
    </row>
    <row r="385" spans="2:12" x14ac:dyDescent="0.35">
      <c r="B385" s="24"/>
      <c r="E385" s="39"/>
      <c r="F385" s="40"/>
      <c r="G385" s="39"/>
      <c r="J385" s="24"/>
      <c r="K385" s="24"/>
      <c r="L385" s="38"/>
    </row>
    <row r="386" spans="2:12" x14ac:dyDescent="0.35">
      <c r="B386" s="24"/>
      <c r="E386" s="39"/>
      <c r="F386" s="40"/>
      <c r="G386" s="39"/>
      <c r="J386" s="24"/>
      <c r="K386" s="24"/>
      <c r="L386" s="38"/>
    </row>
    <row r="387" spans="2:12" x14ac:dyDescent="0.35">
      <c r="B387" s="24"/>
      <c r="E387" s="39"/>
      <c r="F387" s="40"/>
      <c r="G387" s="39"/>
      <c r="J387" s="24"/>
      <c r="K387" s="24"/>
      <c r="L387" s="38"/>
    </row>
    <row r="388" spans="2:12" x14ac:dyDescent="0.35">
      <c r="B388" s="24"/>
      <c r="E388" s="39"/>
      <c r="F388" s="40"/>
      <c r="G388" s="39"/>
      <c r="J388" s="24"/>
      <c r="K388" s="24"/>
      <c r="L388" s="38"/>
    </row>
    <row r="389" spans="2:12" x14ac:dyDescent="0.35">
      <c r="B389" s="24"/>
      <c r="E389" s="39"/>
      <c r="F389" s="40"/>
      <c r="G389" s="39"/>
      <c r="J389" s="24"/>
      <c r="K389" s="24"/>
      <c r="L389" s="38"/>
    </row>
    <row r="390" spans="2:12" x14ac:dyDescent="0.35">
      <c r="B390" s="24"/>
      <c r="E390" s="39"/>
      <c r="F390" s="40"/>
      <c r="G390" s="39"/>
      <c r="J390" s="24"/>
      <c r="K390" s="24"/>
      <c r="L390" s="38"/>
    </row>
    <row r="391" spans="2:12" x14ac:dyDescent="0.35">
      <c r="B391" s="24"/>
      <c r="E391" s="39"/>
      <c r="F391" s="40"/>
      <c r="G391" s="39"/>
      <c r="J391" s="24"/>
      <c r="K391" s="24"/>
      <c r="L391" s="38"/>
    </row>
    <row r="392" spans="2:12" x14ac:dyDescent="0.35">
      <c r="B392" s="24"/>
      <c r="E392" s="39"/>
      <c r="F392" s="40"/>
      <c r="G392" s="39"/>
      <c r="J392" s="24"/>
      <c r="K392" s="24"/>
      <c r="L392" s="38"/>
    </row>
    <row r="393" spans="2:12" x14ac:dyDescent="0.35">
      <c r="B393" s="24"/>
      <c r="E393" s="39"/>
      <c r="F393" s="40"/>
      <c r="G393" s="39"/>
      <c r="J393" s="24"/>
      <c r="K393" s="24"/>
      <c r="L393" s="38"/>
    </row>
    <row r="394" spans="2:12" x14ac:dyDescent="0.35">
      <c r="B394" s="24"/>
      <c r="E394" s="39"/>
      <c r="F394" s="40"/>
      <c r="G394" s="39"/>
      <c r="J394" s="24"/>
      <c r="K394" s="24"/>
      <c r="L394" s="38"/>
    </row>
    <row r="395" spans="2:12" x14ac:dyDescent="0.35">
      <c r="B395" s="24"/>
      <c r="E395" s="39"/>
      <c r="F395" s="40"/>
      <c r="G395" s="39"/>
      <c r="J395" s="24"/>
      <c r="K395" s="24"/>
      <c r="L395" s="38"/>
    </row>
    <row r="396" spans="2:12" x14ac:dyDescent="0.35">
      <c r="B396" s="24"/>
      <c r="E396" s="39"/>
      <c r="F396" s="40"/>
      <c r="G396" s="39"/>
      <c r="J396" s="24"/>
      <c r="K396" s="24"/>
      <c r="L396" s="38"/>
    </row>
    <row r="397" spans="2:12" x14ac:dyDescent="0.35">
      <c r="B397" s="24"/>
      <c r="E397" s="39"/>
      <c r="F397" s="40"/>
      <c r="G397" s="39"/>
      <c r="J397" s="24"/>
      <c r="K397" s="24"/>
      <c r="L397" s="38"/>
    </row>
    <row r="398" spans="2:12" x14ac:dyDescent="0.35">
      <c r="B398" s="24"/>
      <c r="E398" s="39"/>
      <c r="F398" s="40"/>
      <c r="G398" s="39"/>
      <c r="J398" s="24"/>
      <c r="K398" s="24"/>
      <c r="L398" s="38"/>
    </row>
    <row r="399" spans="2:12" x14ac:dyDescent="0.35">
      <c r="B399" s="24"/>
      <c r="E399" s="39"/>
      <c r="F399" s="40"/>
      <c r="G399" s="39"/>
      <c r="J399" s="24"/>
      <c r="K399" s="24"/>
      <c r="L399" s="38"/>
    </row>
    <row r="400" spans="2:12" x14ac:dyDescent="0.35">
      <c r="B400" s="24"/>
      <c r="E400" s="39"/>
      <c r="F400" s="40"/>
      <c r="G400" s="39"/>
      <c r="J400" s="24"/>
      <c r="K400" s="24"/>
      <c r="L400" s="38"/>
    </row>
    <row r="401" spans="2:12" x14ac:dyDescent="0.35">
      <c r="B401" s="24"/>
      <c r="E401" s="39"/>
      <c r="F401" s="40"/>
      <c r="G401" s="39"/>
      <c r="J401" s="24"/>
      <c r="K401" s="24"/>
      <c r="L401" s="38"/>
    </row>
    <row r="402" spans="2:12" x14ac:dyDescent="0.35">
      <c r="B402" s="24"/>
      <c r="E402" s="39"/>
      <c r="F402" s="40"/>
      <c r="G402" s="39"/>
      <c r="J402" s="24"/>
      <c r="K402" s="24"/>
      <c r="L402" s="38"/>
    </row>
    <row r="403" spans="2:12" x14ac:dyDescent="0.35">
      <c r="B403" s="24"/>
      <c r="E403" s="39"/>
      <c r="F403" s="40"/>
      <c r="G403" s="39"/>
      <c r="J403" s="24"/>
      <c r="K403" s="24"/>
      <c r="L403" s="38"/>
    </row>
    <row r="404" spans="2:12" x14ac:dyDescent="0.35">
      <c r="B404" s="24"/>
      <c r="E404" s="39"/>
      <c r="F404" s="40"/>
      <c r="G404" s="39"/>
      <c r="J404" s="24"/>
      <c r="K404" s="24"/>
      <c r="L404" s="38"/>
    </row>
    <row r="405" spans="2:12" x14ac:dyDescent="0.35">
      <c r="B405" s="24"/>
      <c r="E405" s="39"/>
      <c r="F405" s="40"/>
      <c r="G405" s="39"/>
      <c r="J405" s="24"/>
      <c r="K405" s="24"/>
      <c r="L405" s="38"/>
    </row>
    <row r="406" spans="2:12" x14ac:dyDescent="0.35">
      <c r="B406" s="24"/>
      <c r="E406" s="39"/>
      <c r="F406" s="40"/>
      <c r="G406" s="39"/>
      <c r="J406" s="24"/>
      <c r="K406" s="24"/>
      <c r="L406" s="38"/>
    </row>
    <row r="407" spans="2:12" x14ac:dyDescent="0.35">
      <c r="B407" s="24"/>
      <c r="E407" s="39"/>
      <c r="F407" s="40"/>
      <c r="G407" s="39"/>
      <c r="J407" s="24"/>
      <c r="K407" s="24"/>
      <c r="L407" s="38"/>
    </row>
    <row r="408" spans="2:12" x14ac:dyDescent="0.35">
      <c r="B408" s="24"/>
      <c r="E408" s="39"/>
      <c r="F408" s="40"/>
      <c r="G408" s="39"/>
      <c r="J408" s="24"/>
      <c r="K408" s="24"/>
      <c r="L408" s="38"/>
    </row>
    <row r="409" spans="2:12" x14ac:dyDescent="0.35">
      <c r="B409" s="24"/>
      <c r="E409" s="39"/>
      <c r="F409" s="40"/>
      <c r="G409" s="39"/>
      <c r="J409" s="24"/>
      <c r="K409" s="24"/>
      <c r="L409" s="38"/>
    </row>
    <row r="410" spans="2:12" x14ac:dyDescent="0.35">
      <c r="B410" s="24"/>
      <c r="E410" s="39"/>
      <c r="F410" s="40"/>
      <c r="G410" s="39"/>
      <c r="J410" s="24"/>
      <c r="K410" s="24"/>
      <c r="L410" s="38"/>
    </row>
    <row r="411" spans="2:12" x14ac:dyDescent="0.35">
      <c r="B411" s="24"/>
      <c r="E411" s="39"/>
      <c r="F411" s="40"/>
      <c r="G411" s="39"/>
      <c r="J411" s="24"/>
      <c r="K411" s="24"/>
      <c r="L411" s="38"/>
    </row>
    <row r="412" spans="2:12" x14ac:dyDescent="0.35">
      <c r="B412" s="24"/>
      <c r="E412" s="39"/>
      <c r="F412" s="40"/>
      <c r="G412" s="39"/>
      <c r="J412" s="24"/>
      <c r="K412" s="24"/>
      <c r="L412" s="38"/>
    </row>
    <row r="413" spans="2:12" x14ac:dyDescent="0.35">
      <c r="B413" s="24"/>
      <c r="E413" s="39"/>
      <c r="F413" s="40"/>
      <c r="G413" s="39"/>
      <c r="J413" s="24"/>
      <c r="K413" s="24"/>
      <c r="L413" s="38"/>
    </row>
    <row r="414" spans="2:12" x14ac:dyDescent="0.35">
      <c r="B414" s="24"/>
      <c r="E414" s="39"/>
      <c r="F414" s="40"/>
      <c r="G414" s="39"/>
      <c r="J414" s="24"/>
      <c r="K414" s="24"/>
      <c r="L414" s="38"/>
    </row>
    <row r="415" spans="2:12" x14ac:dyDescent="0.35">
      <c r="B415" s="24"/>
      <c r="E415" s="39"/>
      <c r="F415" s="40"/>
      <c r="G415" s="39"/>
      <c r="J415" s="24"/>
      <c r="K415" s="24"/>
      <c r="L415" s="38"/>
    </row>
    <row r="416" spans="2:12" x14ac:dyDescent="0.35">
      <c r="B416" s="24"/>
      <c r="E416" s="39"/>
      <c r="F416" s="40"/>
      <c r="G416" s="39"/>
      <c r="J416" s="24"/>
      <c r="K416" s="24"/>
      <c r="L416" s="38"/>
    </row>
    <row r="417" spans="2:12" x14ac:dyDescent="0.35">
      <c r="B417" s="24"/>
      <c r="E417" s="39"/>
      <c r="F417" s="40"/>
      <c r="G417" s="39"/>
      <c r="J417" s="24"/>
      <c r="K417" s="24"/>
      <c r="L417" s="38"/>
    </row>
    <row r="418" spans="2:12" x14ac:dyDescent="0.35">
      <c r="B418" s="24"/>
      <c r="E418" s="39"/>
      <c r="F418" s="40"/>
      <c r="G418" s="39"/>
      <c r="J418" s="24"/>
      <c r="K418" s="24"/>
      <c r="L418" s="38"/>
    </row>
    <row r="419" spans="2:12" x14ac:dyDescent="0.35">
      <c r="B419" s="24"/>
      <c r="E419" s="39"/>
      <c r="F419" s="40"/>
      <c r="G419" s="39"/>
      <c r="J419" s="24"/>
      <c r="K419" s="24"/>
      <c r="L419" s="38"/>
    </row>
    <row r="420" spans="2:12" x14ac:dyDescent="0.35">
      <c r="B420" s="24"/>
      <c r="E420" s="39"/>
      <c r="F420" s="40"/>
      <c r="G420" s="39"/>
      <c r="J420" s="24"/>
      <c r="K420" s="24"/>
      <c r="L420" s="38"/>
    </row>
    <row r="421" spans="2:12" x14ac:dyDescent="0.35">
      <c r="B421" s="24"/>
      <c r="E421" s="39"/>
      <c r="F421" s="40"/>
      <c r="G421" s="39"/>
      <c r="J421" s="24"/>
      <c r="K421" s="24"/>
      <c r="L421" s="38"/>
    </row>
    <row r="422" spans="2:12" x14ac:dyDescent="0.35">
      <c r="B422" s="24"/>
      <c r="E422" s="39"/>
      <c r="F422" s="40"/>
      <c r="G422" s="39"/>
      <c r="J422" s="24"/>
      <c r="K422" s="24"/>
      <c r="L422" s="38"/>
    </row>
    <row r="423" spans="2:12" x14ac:dyDescent="0.35">
      <c r="B423" s="24"/>
      <c r="E423" s="39"/>
      <c r="F423" s="40"/>
      <c r="G423" s="39"/>
      <c r="J423" s="24"/>
      <c r="K423" s="24"/>
      <c r="L423" s="38"/>
    </row>
    <row r="424" spans="2:12" x14ac:dyDescent="0.35">
      <c r="B424" s="24"/>
      <c r="E424" s="39"/>
      <c r="F424" s="40"/>
      <c r="G424" s="39"/>
      <c r="J424" s="24"/>
      <c r="K424" s="24"/>
      <c r="L424" s="38"/>
    </row>
    <row r="425" spans="2:12" x14ac:dyDescent="0.35">
      <c r="B425" s="24"/>
      <c r="E425" s="39"/>
      <c r="F425" s="40"/>
      <c r="G425" s="39"/>
      <c r="J425" s="24"/>
      <c r="K425" s="24"/>
      <c r="L425" s="38"/>
    </row>
    <row r="426" spans="2:12" x14ac:dyDescent="0.35">
      <c r="B426" s="24"/>
      <c r="E426" s="39"/>
      <c r="F426" s="40"/>
      <c r="G426" s="39"/>
      <c r="J426" s="24"/>
      <c r="K426" s="24"/>
      <c r="L426" s="38"/>
    </row>
    <row r="427" spans="2:12" x14ac:dyDescent="0.35">
      <c r="B427" s="24"/>
      <c r="E427" s="39"/>
      <c r="F427" s="40"/>
      <c r="G427" s="39"/>
      <c r="J427" s="24"/>
      <c r="K427" s="24"/>
      <c r="L427" s="38"/>
    </row>
    <row r="428" spans="2:12" x14ac:dyDescent="0.35">
      <c r="B428" s="24"/>
      <c r="E428" s="39"/>
      <c r="F428" s="40"/>
      <c r="G428" s="39"/>
      <c r="J428" s="24"/>
      <c r="K428" s="24"/>
      <c r="L428" s="38"/>
    </row>
    <row r="429" spans="2:12" x14ac:dyDescent="0.35">
      <c r="B429" s="24"/>
      <c r="E429" s="39"/>
      <c r="F429" s="40"/>
      <c r="G429" s="39"/>
      <c r="J429" s="24"/>
      <c r="K429" s="24"/>
      <c r="L429" s="38"/>
    </row>
    <row r="430" spans="2:12" x14ac:dyDescent="0.35">
      <c r="B430" s="24"/>
      <c r="E430" s="39"/>
      <c r="F430" s="40"/>
      <c r="G430" s="39"/>
      <c r="J430" s="24"/>
      <c r="K430" s="24"/>
      <c r="L430" s="38"/>
    </row>
    <row r="431" spans="2:12" x14ac:dyDescent="0.35">
      <c r="B431" s="24"/>
      <c r="E431" s="39"/>
      <c r="F431" s="40"/>
      <c r="G431" s="39"/>
      <c r="J431" s="24"/>
      <c r="K431" s="24"/>
      <c r="L431" s="38"/>
    </row>
    <row r="432" spans="2:12" x14ac:dyDescent="0.35">
      <c r="B432" s="24"/>
      <c r="E432" s="39"/>
      <c r="F432" s="40"/>
      <c r="G432" s="39"/>
      <c r="J432" s="24"/>
      <c r="K432" s="24"/>
      <c r="L432" s="38"/>
    </row>
    <row r="433" spans="2:12" x14ac:dyDescent="0.35">
      <c r="B433" s="24"/>
      <c r="E433" s="39"/>
      <c r="F433" s="40"/>
      <c r="G433" s="39"/>
      <c r="J433" s="24"/>
      <c r="K433" s="24"/>
      <c r="L433" s="38"/>
    </row>
    <row r="434" spans="2:12" x14ac:dyDescent="0.35">
      <c r="B434" s="24"/>
      <c r="E434" s="39"/>
      <c r="F434" s="40"/>
      <c r="G434" s="39"/>
      <c r="J434" s="24"/>
      <c r="K434" s="24"/>
      <c r="L434" s="38"/>
    </row>
    <row r="435" spans="2:12" x14ac:dyDescent="0.35">
      <c r="B435" s="24"/>
      <c r="E435" s="39"/>
      <c r="F435" s="40"/>
      <c r="G435" s="39"/>
      <c r="J435" s="24"/>
      <c r="K435" s="24"/>
      <c r="L435" s="38"/>
    </row>
    <row r="436" spans="2:12" x14ac:dyDescent="0.35">
      <c r="B436" s="24"/>
      <c r="E436" s="39"/>
      <c r="F436" s="40"/>
      <c r="G436" s="39"/>
      <c r="J436" s="24"/>
      <c r="K436" s="24"/>
      <c r="L436" s="38"/>
    </row>
    <row r="437" spans="2:12" x14ac:dyDescent="0.35">
      <c r="B437" s="24"/>
      <c r="E437" s="39"/>
      <c r="F437" s="40"/>
      <c r="G437" s="39"/>
      <c r="J437" s="24"/>
      <c r="K437" s="24"/>
      <c r="L437" s="38"/>
    </row>
    <row r="438" spans="2:12" x14ac:dyDescent="0.35">
      <c r="B438" s="24"/>
      <c r="E438" s="39"/>
      <c r="F438" s="40"/>
      <c r="G438" s="39"/>
      <c r="J438" s="24"/>
      <c r="K438" s="24"/>
      <c r="L438" s="38"/>
    </row>
    <row r="439" spans="2:12" x14ac:dyDescent="0.35">
      <c r="B439" s="24"/>
      <c r="E439" s="39"/>
      <c r="F439" s="40"/>
      <c r="G439" s="39"/>
      <c r="J439" s="24"/>
      <c r="K439" s="24"/>
      <c r="L439" s="38"/>
    </row>
    <row r="440" spans="2:12" x14ac:dyDescent="0.35">
      <c r="B440" s="24"/>
      <c r="E440" s="39"/>
      <c r="F440" s="40"/>
      <c r="G440" s="39"/>
      <c r="J440" s="24"/>
      <c r="K440" s="24"/>
      <c r="L440" s="38"/>
    </row>
    <row r="441" spans="2:12" x14ac:dyDescent="0.35">
      <c r="B441" s="24"/>
      <c r="E441" s="39"/>
      <c r="F441" s="40"/>
      <c r="G441" s="39"/>
      <c r="J441" s="24"/>
      <c r="K441" s="24"/>
      <c r="L441" s="38"/>
    </row>
    <row r="442" spans="2:12" x14ac:dyDescent="0.35">
      <c r="B442" s="24"/>
      <c r="E442" s="39"/>
      <c r="F442" s="40"/>
      <c r="G442" s="39"/>
      <c r="J442" s="24"/>
      <c r="K442" s="24"/>
      <c r="L442" s="38"/>
    </row>
    <row r="443" spans="2:12" x14ac:dyDescent="0.35">
      <c r="B443" s="24"/>
      <c r="E443" s="39"/>
      <c r="F443" s="40"/>
      <c r="G443" s="39"/>
      <c r="J443" s="24"/>
      <c r="K443" s="24"/>
      <c r="L443" s="38"/>
    </row>
    <row r="444" spans="2:12" x14ac:dyDescent="0.35">
      <c r="B444" s="24"/>
      <c r="E444" s="39"/>
      <c r="F444" s="40"/>
      <c r="G444" s="39"/>
      <c r="J444" s="24"/>
      <c r="K444" s="24"/>
      <c r="L444" s="38"/>
    </row>
    <row r="445" spans="2:12" x14ac:dyDescent="0.35">
      <c r="B445" s="24"/>
      <c r="E445" s="39"/>
      <c r="F445" s="40"/>
      <c r="G445" s="39"/>
      <c r="J445" s="24"/>
      <c r="K445" s="24"/>
      <c r="L445" s="38"/>
    </row>
    <row r="446" spans="2:12" x14ac:dyDescent="0.35">
      <c r="B446" s="24"/>
      <c r="E446" s="39"/>
      <c r="F446" s="40"/>
      <c r="G446" s="39"/>
      <c r="J446" s="24"/>
      <c r="K446" s="24"/>
      <c r="L446" s="38"/>
    </row>
    <row r="447" spans="2:12" x14ac:dyDescent="0.35">
      <c r="B447" s="24"/>
      <c r="E447" s="39"/>
      <c r="F447" s="40"/>
      <c r="G447" s="39"/>
      <c r="J447" s="24"/>
      <c r="K447" s="24"/>
      <c r="L447" s="38"/>
    </row>
    <row r="448" spans="2:12" x14ac:dyDescent="0.35">
      <c r="B448" s="24"/>
      <c r="E448" s="39"/>
      <c r="F448" s="40"/>
      <c r="G448" s="39"/>
      <c r="J448" s="24"/>
      <c r="K448" s="24"/>
      <c r="L448" s="38"/>
    </row>
    <row r="449" spans="2:12" x14ac:dyDescent="0.35">
      <c r="B449" s="24"/>
      <c r="E449" s="39"/>
      <c r="F449" s="40"/>
      <c r="G449" s="39"/>
      <c r="J449" s="24"/>
      <c r="K449" s="24"/>
      <c r="L449" s="38"/>
    </row>
    <row r="450" spans="2:12" x14ac:dyDescent="0.35">
      <c r="B450" s="24"/>
      <c r="E450" s="39"/>
      <c r="F450" s="40"/>
      <c r="G450" s="39"/>
      <c r="J450" s="24"/>
      <c r="K450" s="24"/>
      <c r="L450" s="38"/>
    </row>
    <row r="451" spans="2:12" x14ac:dyDescent="0.35">
      <c r="B451" s="24"/>
      <c r="E451" s="39"/>
      <c r="F451" s="40"/>
      <c r="G451" s="39"/>
      <c r="J451" s="24"/>
      <c r="K451" s="24"/>
      <c r="L451" s="38"/>
    </row>
    <row r="452" spans="2:12" x14ac:dyDescent="0.35">
      <c r="B452" s="24"/>
      <c r="E452" s="39"/>
      <c r="F452" s="40"/>
      <c r="G452" s="39"/>
      <c r="J452" s="24"/>
      <c r="K452" s="24"/>
      <c r="L452" s="38"/>
    </row>
    <row r="453" spans="2:12" x14ac:dyDescent="0.35">
      <c r="B453" s="24"/>
      <c r="E453" s="39"/>
      <c r="F453" s="40"/>
      <c r="G453" s="39"/>
      <c r="J453" s="24"/>
      <c r="K453" s="24"/>
      <c r="L453" s="38"/>
    </row>
    <row r="454" spans="2:12" x14ac:dyDescent="0.35">
      <c r="B454" s="24"/>
      <c r="E454" s="39"/>
      <c r="F454" s="40"/>
      <c r="G454" s="39"/>
      <c r="J454" s="24"/>
      <c r="K454" s="24"/>
      <c r="L454" s="38"/>
    </row>
    <row r="455" spans="2:12" x14ac:dyDescent="0.35">
      <c r="B455" s="24"/>
      <c r="E455" s="39"/>
      <c r="F455" s="40"/>
      <c r="G455" s="39"/>
      <c r="J455" s="24"/>
      <c r="K455" s="24"/>
      <c r="L455" s="38"/>
    </row>
    <row r="456" spans="2:12" x14ac:dyDescent="0.35">
      <c r="B456" s="24"/>
      <c r="E456" s="39"/>
      <c r="F456" s="40"/>
      <c r="G456" s="39"/>
      <c r="J456" s="24"/>
      <c r="K456" s="24"/>
      <c r="L456" s="38"/>
    </row>
    <row r="457" spans="2:12" x14ac:dyDescent="0.35">
      <c r="B457" s="24"/>
      <c r="E457" s="39"/>
      <c r="F457" s="40"/>
      <c r="G457" s="39"/>
      <c r="J457" s="24"/>
      <c r="K457" s="24"/>
      <c r="L457" s="38"/>
    </row>
    <row r="458" spans="2:12" x14ac:dyDescent="0.35">
      <c r="B458" s="24"/>
      <c r="E458" s="39"/>
      <c r="F458" s="40"/>
      <c r="G458" s="39"/>
      <c r="J458" s="24"/>
      <c r="K458" s="24"/>
      <c r="L458" s="38"/>
    </row>
    <row r="459" spans="2:12" x14ac:dyDescent="0.35">
      <c r="B459" s="24"/>
      <c r="E459" s="39"/>
      <c r="F459" s="40"/>
      <c r="G459" s="39"/>
      <c r="J459" s="24"/>
      <c r="K459" s="24"/>
      <c r="L459" s="38"/>
    </row>
    <row r="460" spans="2:12" x14ac:dyDescent="0.35">
      <c r="B460" s="24"/>
      <c r="E460" s="39"/>
      <c r="F460" s="40"/>
      <c r="G460" s="39"/>
      <c r="J460" s="24"/>
      <c r="K460" s="24"/>
      <c r="L460" s="38"/>
    </row>
    <row r="461" spans="2:12" x14ac:dyDescent="0.35">
      <c r="B461" s="24"/>
      <c r="E461" s="39"/>
      <c r="F461" s="40"/>
      <c r="G461" s="39"/>
      <c r="J461" s="24"/>
      <c r="K461" s="24"/>
      <c r="L461" s="38"/>
    </row>
    <row r="462" spans="2:12" x14ac:dyDescent="0.35">
      <c r="B462" s="24"/>
      <c r="E462" s="39"/>
      <c r="F462" s="40"/>
      <c r="G462" s="39"/>
      <c r="J462" s="24"/>
      <c r="K462" s="24"/>
      <c r="L462" s="38"/>
    </row>
    <row r="463" spans="2:12" x14ac:dyDescent="0.35">
      <c r="B463" s="24"/>
      <c r="E463" s="39"/>
      <c r="F463" s="40"/>
      <c r="G463" s="39"/>
      <c r="J463" s="24"/>
      <c r="K463" s="24"/>
      <c r="L463" s="38"/>
    </row>
    <row r="464" spans="2:12" x14ac:dyDescent="0.35">
      <c r="B464" s="24"/>
      <c r="E464" s="39"/>
      <c r="F464" s="40"/>
      <c r="G464" s="39"/>
      <c r="J464" s="24"/>
      <c r="K464" s="24"/>
      <c r="L464" s="38"/>
    </row>
    <row r="465" spans="2:12" x14ac:dyDescent="0.35">
      <c r="B465" s="24"/>
      <c r="E465" s="39"/>
      <c r="F465" s="40"/>
      <c r="G465" s="39"/>
      <c r="J465" s="24"/>
      <c r="K465" s="24"/>
      <c r="L465" s="38"/>
    </row>
    <row r="466" spans="2:12" x14ac:dyDescent="0.35">
      <c r="B466" s="24"/>
      <c r="E466" s="39"/>
      <c r="F466" s="40"/>
      <c r="G466" s="39"/>
      <c r="J466" s="24"/>
      <c r="K466" s="24"/>
      <c r="L466" s="38"/>
    </row>
    <row r="467" spans="2:12" x14ac:dyDescent="0.35">
      <c r="B467" s="24"/>
      <c r="E467" s="39"/>
      <c r="F467" s="40"/>
      <c r="G467" s="39"/>
      <c r="J467" s="24"/>
      <c r="K467" s="24"/>
      <c r="L467" s="38"/>
    </row>
    <row r="468" spans="2:12" x14ac:dyDescent="0.35">
      <c r="B468" s="24"/>
      <c r="E468" s="39"/>
      <c r="F468" s="40"/>
      <c r="G468" s="39"/>
      <c r="J468" s="24"/>
      <c r="K468" s="24"/>
      <c r="L468" s="38"/>
    </row>
    <row r="469" spans="2:12" x14ac:dyDescent="0.35">
      <c r="B469" s="24"/>
      <c r="E469" s="39"/>
      <c r="F469" s="40"/>
      <c r="G469" s="39"/>
      <c r="J469" s="24"/>
      <c r="K469" s="24"/>
      <c r="L469" s="38"/>
    </row>
    <row r="470" spans="2:12" x14ac:dyDescent="0.35">
      <c r="B470" s="24"/>
      <c r="E470" s="39"/>
      <c r="F470" s="40"/>
      <c r="G470" s="39"/>
      <c r="J470" s="24"/>
      <c r="K470" s="24"/>
      <c r="L470" s="38"/>
    </row>
    <row r="471" spans="2:12" x14ac:dyDescent="0.35">
      <c r="B471" s="24"/>
      <c r="E471" s="39"/>
      <c r="F471" s="40"/>
      <c r="G471" s="39"/>
      <c r="J471" s="24"/>
      <c r="K471" s="24"/>
      <c r="L471" s="38"/>
    </row>
    <row r="472" spans="2:12" x14ac:dyDescent="0.35">
      <c r="B472" s="24"/>
      <c r="E472" s="39"/>
      <c r="F472" s="40"/>
      <c r="G472" s="39"/>
      <c r="J472" s="24"/>
      <c r="K472" s="24"/>
      <c r="L472" s="38"/>
    </row>
    <row r="473" spans="2:12" x14ac:dyDescent="0.35">
      <c r="B473" s="24"/>
      <c r="E473" s="39"/>
      <c r="F473" s="40"/>
      <c r="G473" s="39"/>
      <c r="J473" s="24"/>
      <c r="K473" s="24"/>
      <c r="L473" s="38"/>
    </row>
    <row r="474" spans="2:12" x14ac:dyDescent="0.35">
      <c r="B474" s="24"/>
      <c r="E474" s="39"/>
      <c r="F474" s="40"/>
      <c r="G474" s="39"/>
      <c r="J474" s="24"/>
      <c r="K474" s="24"/>
      <c r="L474" s="38"/>
    </row>
    <row r="475" spans="2:12" x14ac:dyDescent="0.35">
      <c r="B475" s="24"/>
      <c r="E475" s="39"/>
      <c r="F475" s="40"/>
      <c r="G475" s="39"/>
      <c r="J475" s="24"/>
      <c r="K475" s="24"/>
      <c r="L475" s="38"/>
    </row>
    <row r="476" spans="2:12" x14ac:dyDescent="0.35">
      <c r="B476" s="24"/>
      <c r="E476" s="39"/>
      <c r="F476" s="40"/>
      <c r="G476" s="39"/>
      <c r="J476" s="24"/>
      <c r="K476" s="24"/>
      <c r="L476" s="38"/>
    </row>
    <row r="477" spans="2:12" x14ac:dyDescent="0.35">
      <c r="B477" s="24"/>
      <c r="E477" s="39"/>
      <c r="F477" s="40"/>
      <c r="G477" s="39"/>
      <c r="J477" s="24"/>
      <c r="K477" s="24"/>
      <c r="L477" s="38"/>
    </row>
    <row r="478" spans="2:12" x14ac:dyDescent="0.35">
      <c r="B478" s="24"/>
      <c r="E478" s="39"/>
      <c r="F478" s="40"/>
      <c r="G478" s="39"/>
      <c r="J478" s="24"/>
      <c r="K478" s="24"/>
      <c r="L478" s="38"/>
    </row>
    <row r="479" spans="2:12" x14ac:dyDescent="0.35">
      <c r="B479" s="24"/>
      <c r="E479" s="39"/>
      <c r="F479" s="40"/>
      <c r="G479" s="39"/>
      <c r="J479" s="24"/>
      <c r="K479" s="24"/>
      <c r="L479" s="38"/>
    </row>
    <row r="480" spans="2:12" x14ac:dyDescent="0.35">
      <c r="B480" s="24"/>
      <c r="E480" s="39"/>
      <c r="F480" s="40"/>
      <c r="G480" s="39"/>
      <c r="J480" s="24"/>
      <c r="K480" s="24"/>
      <c r="L480" s="38"/>
    </row>
    <row r="481" spans="2:12" x14ac:dyDescent="0.35">
      <c r="B481" s="24"/>
      <c r="E481" s="39"/>
      <c r="F481" s="40"/>
      <c r="G481" s="39"/>
      <c r="J481" s="24"/>
      <c r="K481" s="24"/>
      <c r="L481" s="38"/>
    </row>
    <row r="482" spans="2:12" x14ac:dyDescent="0.35">
      <c r="B482" s="24"/>
      <c r="E482" s="39"/>
      <c r="F482" s="40"/>
      <c r="G482" s="39"/>
      <c r="J482" s="24"/>
      <c r="K482" s="24"/>
      <c r="L482" s="38"/>
    </row>
    <row r="483" spans="2:12" x14ac:dyDescent="0.35">
      <c r="B483" s="24"/>
      <c r="E483" s="39"/>
      <c r="F483" s="40"/>
      <c r="G483" s="39"/>
      <c r="J483" s="24"/>
      <c r="K483" s="24"/>
      <c r="L483" s="38"/>
    </row>
    <row r="484" spans="2:12" x14ac:dyDescent="0.35">
      <c r="B484" s="24"/>
      <c r="E484" s="39"/>
      <c r="F484" s="40"/>
      <c r="G484" s="39"/>
      <c r="J484" s="24"/>
      <c r="K484" s="24"/>
      <c r="L484" s="38"/>
    </row>
    <row r="485" spans="2:12" x14ac:dyDescent="0.35">
      <c r="B485" s="24"/>
      <c r="E485" s="39"/>
      <c r="F485" s="40"/>
      <c r="G485" s="39"/>
      <c r="J485" s="24"/>
      <c r="K485" s="24"/>
      <c r="L485" s="38"/>
    </row>
    <row r="486" spans="2:12" x14ac:dyDescent="0.35">
      <c r="B486" s="24"/>
      <c r="E486" s="39"/>
      <c r="F486" s="40"/>
      <c r="G486" s="39"/>
      <c r="J486" s="24"/>
      <c r="K486" s="24"/>
      <c r="L486" s="38"/>
    </row>
    <row r="487" spans="2:12" x14ac:dyDescent="0.35">
      <c r="B487" s="24"/>
      <c r="E487" s="39"/>
      <c r="F487" s="40"/>
      <c r="G487" s="39"/>
      <c r="J487" s="24"/>
      <c r="K487" s="24"/>
      <c r="L487" s="38"/>
    </row>
    <row r="488" spans="2:12" x14ac:dyDescent="0.35">
      <c r="B488" s="24"/>
      <c r="E488" s="39"/>
      <c r="F488" s="40"/>
      <c r="G488" s="39"/>
      <c r="J488" s="24"/>
      <c r="K488" s="24"/>
      <c r="L488" s="38"/>
    </row>
    <row r="489" spans="2:12" x14ac:dyDescent="0.35">
      <c r="B489" s="24"/>
      <c r="E489" s="39"/>
      <c r="F489" s="40"/>
      <c r="G489" s="39"/>
      <c r="J489" s="24"/>
      <c r="K489" s="24"/>
      <c r="L489" s="38"/>
    </row>
    <row r="490" spans="2:12" x14ac:dyDescent="0.35">
      <c r="B490" s="24"/>
      <c r="E490" s="39"/>
      <c r="F490" s="40"/>
      <c r="G490" s="39"/>
      <c r="J490" s="24"/>
      <c r="K490" s="24"/>
      <c r="L490" s="38"/>
    </row>
    <row r="491" spans="2:12" x14ac:dyDescent="0.35">
      <c r="B491" s="24"/>
      <c r="E491" s="39"/>
      <c r="F491" s="40"/>
      <c r="G491" s="39"/>
      <c r="J491" s="24"/>
      <c r="K491" s="24"/>
      <c r="L491" s="38"/>
    </row>
    <row r="492" spans="2:12" x14ac:dyDescent="0.35">
      <c r="B492" s="24"/>
      <c r="E492" s="39"/>
      <c r="F492" s="40"/>
      <c r="G492" s="39"/>
      <c r="J492" s="24"/>
      <c r="K492" s="24"/>
      <c r="L492" s="38"/>
    </row>
    <row r="493" spans="2:12" x14ac:dyDescent="0.35">
      <c r="B493" s="24"/>
      <c r="E493" s="39"/>
      <c r="F493" s="40"/>
      <c r="G493" s="39"/>
      <c r="J493" s="24"/>
      <c r="K493" s="24"/>
      <c r="L493" s="38"/>
    </row>
    <row r="494" spans="2:12" x14ac:dyDescent="0.35">
      <c r="B494" s="24"/>
      <c r="E494" s="39"/>
      <c r="F494" s="40"/>
      <c r="G494" s="39"/>
      <c r="J494" s="24"/>
      <c r="K494" s="24"/>
      <c r="L494" s="38"/>
    </row>
    <row r="495" spans="2:12" x14ac:dyDescent="0.35">
      <c r="B495" s="24"/>
      <c r="E495" s="39"/>
      <c r="F495" s="40"/>
      <c r="G495" s="39"/>
      <c r="J495" s="24"/>
      <c r="K495" s="24"/>
      <c r="L495" s="38"/>
    </row>
    <row r="496" spans="2:12" x14ac:dyDescent="0.35">
      <c r="B496" s="24"/>
      <c r="E496" s="39"/>
      <c r="F496" s="40"/>
      <c r="G496" s="39"/>
      <c r="J496" s="24"/>
      <c r="K496" s="24"/>
      <c r="L496" s="38"/>
    </row>
    <row r="497" spans="2:12" x14ac:dyDescent="0.35">
      <c r="B497" s="24"/>
      <c r="E497" s="39"/>
      <c r="F497" s="40"/>
      <c r="G497" s="39"/>
      <c r="J497" s="24"/>
      <c r="K497" s="24"/>
      <c r="L497" s="38"/>
    </row>
    <row r="498" spans="2:12" x14ac:dyDescent="0.35">
      <c r="B498" s="24"/>
      <c r="E498" s="39"/>
      <c r="F498" s="40"/>
      <c r="G498" s="39"/>
      <c r="J498" s="24"/>
      <c r="K498" s="24"/>
      <c r="L498" s="38"/>
    </row>
    <row r="499" spans="2:12" x14ac:dyDescent="0.35">
      <c r="B499" s="24"/>
      <c r="E499" s="39"/>
      <c r="F499" s="40"/>
      <c r="G499" s="39"/>
      <c r="J499" s="24"/>
      <c r="K499" s="24"/>
      <c r="L499" s="38"/>
    </row>
    <row r="500" spans="2:12" x14ac:dyDescent="0.35">
      <c r="B500" s="24"/>
      <c r="E500" s="39"/>
      <c r="F500" s="40"/>
      <c r="G500" s="39"/>
      <c r="J500" s="24"/>
      <c r="K500" s="24"/>
      <c r="L500" s="38"/>
    </row>
    <row r="501" spans="2:12" x14ac:dyDescent="0.35">
      <c r="B501" s="24"/>
      <c r="E501" s="39"/>
      <c r="F501" s="40"/>
      <c r="G501" s="39"/>
      <c r="J501" s="24"/>
      <c r="K501" s="24"/>
      <c r="L501" s="38"/>
    </row>
    <row r="502" spans="2:12" x14ac:dyDescent="0.35">
      <c r="B502" s="24"/>
      <c r="E502" s="39"/>
      <c r="F502" s="40"/>
      <c r="G502" s="39"/>
      <c r="J502" s="24"/>
      <c r="K502" s="24"/>
      <c r="L502" s="38"/>
    </row>
    <row r="503" spans="2:12" x14ac:dyDescent="0.35">
      <c r="B503" s="24"/>
      <c r="E503" s="39"/>
      <c r="F503" s="40"/>
      <c r="G503" s="39"/>
      <c r="J503" s="24"/>
      <c r="K503" s="24"/>
      <c r="L503" s="38"/>
    </row>
    <row r="504" spans="2:12" x14ac:dyDescent="0.35">
      <c r="B504" s="24"/>
      <c r="E504" s="39"/>
      <c r="F504" s="40"/>
      <c r="G504" s="39"/>
      <c r="J504" s="24"/>
      <c r="K504" s="24"/>
      <c r="L504" s="38"/>
    </row>
    <row r="505" spans="2:12" x14ac:dyDescent="0.35">
      <c r="B505" s="24"/>
      <c r="E505" s="39"/>
      <c r="F505" s="40"/>
      <c r="G505" s="39"/>
      <c r="J505" s="24"/>
      <c r="K505" s="24"/>
      <c r="L505" s="38"/>
    </row>
    <row r="506" spans="2:12" x14ac:dyDescent="0.35">
      <c r="B506" s="24"/>
      <c r="E506" s="39"/>
      <c r="F506" s="40"/>
      <c r="G506" s="39"/>
      <c r="J506" s="24"/>
      <c r="K506" s="24"/>
      <c r="L506" s="38"/>
    </row>
    <row r="507" spans="2:12" x14ac:dyDescent="0.35">
      <c r="B507" s="24"/>
      <c r="E507" s="39"/>
      <c r="F507" s="40"/>
      <c r="G507" s="39"/>
      <c r="J507" s="24"/>
      <c r="K507" s="24"/>
      <c r="L507" s="38"/>
    </row>
    <row r="508" spans="2:12" x14ac:dyDescent="0.35">
      <c r="B508" s="24"/>
      <c r="E508" s="39"/>
      <c r="F508" s="40"/>
      <c r="G508" s="39"/>
      <c r="J508" s="24"/>
      <c r="K508" s="24"/>
      <c r="L508" s="38"/>
    </row>
    <row r="509" spans="2:12" x14ac:dyDescent="0.35">
      <c r="B509" s="24"/>
      <c r="E509" s="39"/>
      <c r="F509" s="40"/>
      <c r="G509" s="39"/>
      <c r="J509" s="24"/>
      <c r="K509" s="24"/>
      <c r="L509" s="38"/>
    </row>
    <row r="510" spans="2:12" x14ac:dyDescent="0.35">
      <c r="B510" s="24"/>
      <c r="E510" s="39"/>
      <c r="F510" s="40"/>
      <c r="G510" s="39"/>
      <c r="J510" s="24"/>
      <c r="K510" s="24"/>
      <c r="L510" s="38"/>
    </row>
    <row r="511" spans="2:12" x14ac:dyDescent="0.35">
      <c r="B511" s="24"/>
      <c r="E511" s="39"/>
      <c r="F511" s="40"/>
      <c r="G511" s="39"/>
      <c r="J511" s="24"/>
      <c r="K511" s="24"/>
      <c r="L511" s="38"/>
    </row>
    <row r="512" spans="2:12" x14ac:dyDescent="0.35">
      <c r="B512" s="24"/>
      <c r="E512" s="39"/>
      <c r="F512" s="40"/>
      <c r="G512" s="39"/>
      <c r="J512" s="24"/>
      <c r="K512" s="24"/>
      <c r="L512" s="38"/>
    </row>
    <row r="513" spans="2:12" x14ac:dyDescent="0.35">
      <c r="B513" s="24"/>
      <c r="E513" s="39"/>
      <c r="F513" s="40"/>
      <c r="G513" s="39"/>
      <c r="J513" s="24"/>
      <c r="K513" s="24"/>
      <c r="L513" s="38"/>
    </row>
    <row r="514" spans="2:12" x14ac:dyDescent="0.35">
      <c r="B514" s="24"/>
      <c r="E514" s="39"/>
      <c r="F514" s="40"/>
      <c r="G514" s="39"/>
      <c r="J514" s="24"/>
      <c r="K514" s="24"/>
      <c r="L514" s="38"/>
    </row>
    <row r="515" spans="2:12" x14ac:dyDescent="0.35">
      <c r="B515" s="24"/>
      <c r="E515" s="39"/>
      <c r="F515" s="40"/>
      <c r="G515" s="39"/>
      <c r="J515" s="24"/>
      <c r="K515" s="24"/>
      <c r="L515" s="38"/>
    </row>
    <row r="516" spans="2:12" x14ac:dyDescent="0.35">
      <c r="B516" s="24"/>
      <c r="E516" s="39"/>
      <c r="F516" s="40"/>
      <c r="G516" s="39"/>
      <c r="J516" s="24"/>
      <c r="K516" s="24"/>
      <c r="L516" s="38"/>
    </row>
    <row r="517" spans="2:12" x14ac:dyDescent="0.35">
      <c r="B517" s="24"/>
      <c r="E517" s="39"/>
      <c r="F517" s="40"/>
      <c r="G517" s="39"/>
      <c r="J517" s="24"/>
      <c r="K517" s="24"/>
      <c r="L517" s="38"/>
    </row>
    <row r="518" spans="2:12" x14ac:dyDescent="0.35">
      <c r="B518" s="24"/>
      <c r="E518" s="39"/>
      <c r="F518" s="40"/>
      <c r="G518" s="39"/>
      <c r="J518" s="24"/>
      <c r="K518" s="24"/>
      <c r="L518" s="38"/>
    </row>
    <row r="519" spans="2:12" x14ac:dyDescent="0.35">
      <c r="B519" s="24"/>
      <c r="E519" s="39"/>
      <c r="F519" s="40"/>
      <c r="G519" s="39"/>
      <c r="J519" s="24"/>
      <c r="K519" s="24"/>
      <c r="L519" s="38"/>
    </row>
    <row r="520" spans="2:12" x14ac:dyDescent="0.35">
      <c r="B520" s="24"/>
      <c r="E520" s="39"/>
      <c r="F520" s="40"/>
      <c r="G520" s="39"/>
      <c r="J520" s="24"/>
      <c r="K520" s="24"/>
      <c r="L520" s="38"/>
    </row>
    <row r="521" spans="2:12" x14ac:dyDescent="0.35">
      <c r="B521" s="24"/>
      <c r="E521" s="39"/>
      <c r="F521" s="40"/>
      <c r="G521" s="39"/>
      <c r="J521" s="24"/>
      <c r="K521" s="24"/>
      <c r="L521" s="38"/>
    </row>
    <row r="522" spans="2:12" x14ac:dyDescent="0.35">
      <c r="B522" s="24"/>
      <c r="E522" s="39"/>
      <c r="F522" s="40"/>
      <c r="G522" s="39"/>
      <c r="J522" s="24"/>
      <c r="K522" s="24"/>
      <c r="L522" s="38"/>
    </row>
    <row r="523" spans="2:12" x14ac:dyDescent="0.35">
      <c r="B523" s="24"/>
      <c r="E523" s="39"/>
      <c r="F523" s="40"/>
      <c r="G523" s="39"/>
      <c r="J523" s="24"/>
      <c r="K523" s="24"/>
      <c r="L523" s="38"/>
    </row>
    <row r="524" spans="2:12" x14ac:dyDescent="0.35">
      <c r="B524" s="24"/>
      <c r="E524" s="39"/>
      <c r="F524" s="40"/>
      <c r="G524" s="39"/>
      <c r="J524" s="24"/>
      <c r="K524" s="24"/>
      <c r="L524" s="38"/>
    </row>
    <row r="525" spans="2:12" x14ac:dyDescent="0.35">
      <c r="B525" s="24"/>
      <c r="E525" s="39"/>
      <c r="F525" s="40"/>
      <c r="G525" s="39"/>
      <c r="J525" s="24"/>
      <c r="K525" s="24"/>
      <c r="L525" s="38"/>
    </row>
    <row r="526" spans="2:12" x14ac:dyDescent="0.35">
      <c r="B526" s="24"/>
      <c r="E526" s="39"/>
      <c r="F526" s="40"/>
      <c r="G526" s="39"/>
      <c r="J526" s="24"/>
      <c r="K526" s="24"/>
      <c r="L526" s="38"/>
    </row>
    <row r="527" spans="2:12" x14ac:dyDescent="0.35">
      <c r="B527" s="24"/>
      <c r="E527" s="39"/>
      <c r="F527" s="40"/>
      <c r="G527" s="39"/>
      <c r="J527" s="24"/>
      <c r="K527" s="24"/>
      <c r="L527" s="38"/>
    </row>
    <row r="528" spans="2:12" x14ac:dyDescent="0.35">
      <c r="B528" s="24"/>
      <c r="E528" s="39"/>
      <c r="F528" s="40"/>
      <c r="G528" s="39"/>
      <c r="J528" s="24"/>
      <c r="K528" s="24"/>
      <c r="L528" s="38"/>
    </row>
    <row r="529" spans="2:12" x14ac:dyDescent="0.35">
      <c r="B529" s="24"/>
      <c r="E529" s="39"/>
      <c r="F529" s="40"/>
      <c r="G529" s="39"/>
      <c r="J529" s="24"/>
      <c r="K529" s="24"/>
      <c r="L529" s="38"/>
    </row>
    <row r="530" spans="2:12" x14ac:dyDescent="0.35">
      <c r="B530" s="24"/>
      <c r="E530" s="39"/>
      <c r="F530" s="40"/>
      <c r="G530" s="39"/>
      <c r="J530" s="24"/>
      <c r="K530" s="24"/>
      <c r="L530" s="38"/>
    </row>
    <row r="531" spans="2:12" x14ac:dyDescent="0.35">
      <c r="B531" s="24"/>
      <c r="E531" s="39"/>
      <c r="F531" s="40"/>
      <c r="G531" s="39"/>
      <c r="J531" s="24"/>
      <c r="K531" s="24"/>
      <c r="L531" s="38"/>
    </row>
    <row r="532" spans="2:12" x14ac:dyDescent="0.35">
      <c r="B532" s="24"/>
      <c r="E532" s="39"/>
      <c r="F532" s="40"/>
      <c r="G532" s="39"/>
      <c r="J532" s="24"/>
      <c r="K532" s="24"/>
      <c r="L532" s="38"/>
    </row>
    <row r="533" spans="2:12" x14ac:dyDescent="0.35">
      <c r="B533" s="24"/>
      <c r="E533" s="39"/>
      <c r="F533" s="40"/>
      <c r="G533" s="39"/>
      <c r="J533" s="24"/>
      <c r="K533" s="24"/>
      <c r="L533" s="38"/>
    </row>
    <row r="534" spans="2:12" x14ac:dyDescent="0.35">
      <c r="B534" s="24"/>
      <c r="E534" s="39"/>
      <c r="F534" s="40"/>
      <c r="G534" s="39"/>
      <c r="J534" s="24"/>
      <c r="K534" s="24"/>
      <c r="L534" s="38"/>
    </row>
    <row r="535" spans="2:12" x14ac:dyDescent="0.35">
      <c r="B535" s="24"/>
      <c r="E535" s="39"/>
      <c r="F535" s="40"/>
      <c r="G535" s="39"/>
      <c r="J535" s="24"/>
      <c r="K535" s="24"/>
      <c r="L535" s="38"/>
    </row>
    <row r="536" spans="2:12" x14ac:dyDescent="0.35">
      <c r="B536" s="24"/>
      <c r="E536" s="39"/>
      <c r="F536" s="40"/>
      <c r="G536" s="39"/>
      <c r="J536" s="24"/>
      <c r="K536" s="24"/>
      <c r="L536" s="38"/>
    </row>
    <row r="537" spans="2:12" x14ac:dyDescent="0.35">
      <c r="B537" s="24"/>
      <c r="E537" s="39"/>
      <c r="F537" s="40"/>
      <c r="G537" s="39"/>
      <c r="J537" s="24"/>
      <c r="K537" s="24"/>
      <c r="L537" s="38"/>
    </row>
    <row r="538" spans="2:12" x14ac:dyDescent="0.35">
      <c r="B538" s="24"/>
      <c r="E538" s="39"/>
      <c r="F538" s="40"/>
      <c r="G538" s="39"/>
      <c r="J538" s="24"/>
      <c r="K538" s="24"/>
      <c r="L538" s="38"/>
    </row>
    <row r="539" spans="2:12" x14ac:dyDescent="0.35">
      <c r="B539" s="24"/>
      <c r="E539" s="39"/>
      <c r="F539" s="40"/>
      <c r="G539" s="39"/>
      <c r="J539" s="24"/>
      <c r="K539" s="24"/>
      <c r="L539" s="38"/>
    </row>
    <row r="540" spans="2:12" x14ac:dyDescent="0.35">
      <c r="B540" s="24"/>
      <c r="E540" s="39"/>
      <c r="F540" s="40"/>
      <c r="G540" s="39"/>
      <c r="J540" s="24"/>
      <c r="K540" s="24"/>
      <c r="L540" s="38"/>
    </row>
    <row r="541" spans="2:12" x14ac:dyDescent="0.35">
      <c r="B541" s="24"/>
      <c r="E541" s="39"/>
      <c r="F541" s="40"/>
      <c r="G541" s="39"/>
      <c r="J541" s="24"/>
      <c r="K541" s="24"/>
      <c r="L541" s="38"/>
    </row>
    <row r="542" spans="2:12" x14ac:dyDescent="0.35">
      <c r="B542" s="24"/>
      <c r="E542" s="39"/>
      <c r="F542" s="40"/>
      <c r="G542" s="39"/>
      <c r="J542" s="24"/>
      <c r="K542" s="24"/>
      <c r="L542" s="38"/>
    </row>
    <row r="543" spans="2:12" x14ac:dyDescent="0.35">
      <c r="B543" s="24"/>
      <c r="E543" s="39"/>
      <c r="F543" s="40"/>
      <c r="G543" s="39"/>
      <c r="J543" s="24"/>
      <c r="K543" s="24"/>
      <c r="L543" s="38"/>
    </row>
    <row r="544" spans="2:12" x14ac:dyDescent="0.35">
      <c r="B544" s="24"/>
      <c r="E544" s="39"/>
      <c r="F544" s="40"/>
      <c r="G544" s="39"/>
      <c r="J544" s="24"/>
      <c r="K544" s="24"/>
      <c r="L544" s="38"/>
    </row>
    <row r="545" spans="2:12" x14ac:dyDescent="0.35">
      <c r="B545" s="24"/>
      <c r="E545" s="39"/>
      <c r="F545" s="40"/>
      <c r="G545" s="39"/>
      <c r="J545" s="24"/>
      <c r="K545" s="24"/>
      <c r="L545" s="38"/>
    </row>
    <row r="546" spans="2:12" x14ac:dyDescent="0.35">
      <c r="B546" s="24"/>
      <c r="E546" s="39"/>
      <c r="F546" s="40"/>
      <c r="G546" s="39"/>
      <c r="J546" s="24"/>
      <c r="K546" s="24"/>
      <c r="L546" s="38"/>
    </row>
    <row r="547" spans="2:12" x14ac:dyDescent="0.35">
      <c r="B547" s="24"/>
      <c r="E547" s="39"/>
      <c r="F547" s="40"/>
      <c r="G547" s="39"/>
      <c r="J547" s="24"/>
      <c r="K547" s="24"/>
      <c r="L547" s="38"/>
    </row>
    <row r="548" spans="2:12" x14ac:dyDescent="0.35">
      <c r="B548" s="24"/>
      <c r="E548" s="39"/>
      <c r="F548" s="40"/>
      <c r="G548" s="39"/>
      <c r="J548" s="24"/>
      <c r="K548" s="24"/>
      <c r="L548" s="38"/>
    </row>
    <row r="549" spans="2:12" x14ac:dyDescent="0.35">
      <c r="B549" s="24"/>
      <c r="E549" s="39"/>
      <c r="F549" s="40"/>
      <c r="G549" s="39"/>
      <c r="J549" s="24"/>
      <c r="K549" s="24"/>
      <c r="L549" s="38"/>
    </row>
    <row r="550" spans="2:12" x14ac:dyDescent="0.35">
      <c r="B550" s="24"/>
      <c r="E550" s="39"/>
      <c r="F550" s="40"/>
      <c r="G550" s="39"/>
      <c r="J550" s="24"/>
      <c r="K550" s="24"/>
      <c r="L550" s="38"/>
    </row>
    <row r="551" spans="2:12" x14ac:dyDescent="0.35">
      <c r="B551" s="24"/>
      <c r="E551" s="39"/>
      <c r="F551" s="40"/>
      <c r="G551" s="39"/>
      <c r="J551" s="24"/>
      <c r="K551" s="24"/>
      <c r="L551" s="38"/>
    </row>
    <row r="552" spans="2:12" x14ac:dyDescent="0.35">
      <c r="B552" s="24"/>
      <c r="E552" s="39"/>
      <c r="F552" s="40"/>
      <c r="G552" s="39"/>
      <c r="J552" s="24"/>
      <c r="K552" s="24"/>
      <c r="L552" s="38"/>
    </row>
    <row r="553" spans="2:12" x14ac:dyDescent="0.35">
      <c r="B553" s="24"/>
      <c r="E553" s="39"/>
      <c r="F553" s="40"/>
      <c r="G553" s="39"/>
      <c r="J553" s="24"/>
      <c r="K553" s="24"/>
      <c r="L553" s="38"/>
    </row>
    <row r="554" spans="2:12" x14ac:dyDescent="0.35">
      <c r="B554" s="24"/>
      <c r="E554" s="39"/>
      <c r="F554" s="40"/>
      <c r="G554" s="39"/>
      <c r="J554" s="24"/>
      <c r="K554" s="24"/>
      <c r="L554" s="38"/>
    </row>
    <row r="555" spans="2:12" x14ac:dyDescent="0.35">
      <c r="B555" s="24"/>
      <c r="E555" s="39"/>
      <c r="F555" s="40"/>
      <c r="G555" s="39"/>
      <c r="J555" s="24"/>
      <c r="K555" s="24"/>
      <c r="L555" s="38"/>
    </row>
    <row r="556" spans="2:12" x14ac:dyDescent="0.35">
      <c r="B556" s="24"/>
      <c r="E556" s="39"/>
      <c r="F556" s="40"/>
      <c r="G556" s="39"/>
      <c r="J556" s="24"/>
      <c r="K556" s="24"/>
      <c r="L556" s="38"/>
    </row>
    <row r="557" spans="2:12" x14ac:dyDescent="0.35">
      <c r="B557" s="24"/>
      <c r="E557" s="39"/>
      <c r="F557" s="40"/>
      <c r="G557" s="39"/>
      <c r="J557" s="24"/>
      <c r="K557" s="24"/>
      <c r="L557" s="38"/>
    </row>
    <row r="558" spans="2:12" x14ac:dyDescent="0.35">
      <c r="B558" s="24"/>
      <c r="E558" s="39"/>
      <c r="F558" s="40"/>
      <c r="G558" s="39"/>
      <c r="J558" s="24"/>
      <c r="K558" s="24"/>
      <c r="L558" s="38"/>
    </row>
    <row r="559" spans="2:12" x14ac:dyDescent="0.35">
      <c r="B559" s="24"/>
      <c r="E559" s="39"/>
      <c r="F559" s="40"/>
      <c r="G559" s="39"/>
      <c r="J559" s="24"/>
      <c r="K559" s="24"/>
      <c r="L559" s="38"/>
    </row>
    <row r="560" spans="2:12" x14ac:dyDescent="0.35">
      <c r="B560" s="24"/>
      <c r="E560" s="39"/>
      <c r="F560" s="40"/>
      <c r="G560" s="39"/>
      <c r="J560" s="24"/>
      <c r="K560" s="24"/>
      <c r="L560" s="38"/>
    </row>
    <row r="561" spans="2:12" x14ac:dyDescent="0.35">
      <c r="B561" s="24"/>
      <c r="E561" s="39"/>
      <c r="F561" s="40"/>
      <c r="G561" s="39"/>
      <c r="J561" s="24"/>
      <c r="K561" s="24"/>
      <c r="L561" s="38"/>
    </row>
    <row r="562" spans="2:12" x14ac:dyDescent="0.35">
      <c r="B562" s="24"/>
      <c r="E562" s="39"/>
      <c r="F562" s="40"/>
      <c r="G562" s="39"/>
      <c r="J562" s="24"/>
      <c r="K562" s="24"/>
      <c r="L562" s="38"/>
    </row>
    <row r="563" spans="2:12" x14ac:dyDescent="0.35">
      <c r="B563" s="24"/>
      <c r="E563" s="39"/>
      <c r="F563" s="40"/>
      <c r="G563" s="39"/>
      <c r="J563" s="24"/>
      <c r="K563" s="24"/>
      <c r="L563" s="38"/>
    </row>
    <row r="564" spans="2:12" x14ac:dyDescent="0.35">
      <c r="B564" s="24"/>
      <c r="E564" s="39"/>
      <c r="F564" s="40"/>
      <c r="G564" s="39"/>
      <c r="J564" s="24"/>
      <c r="K564" s="24"/>
      <c r="L564" s="38"/>
    </row>
    <row r="565" spans="2:12" x14ac:dyDescent="0.35">
      <c r="B565" s="24"/>
      <c r="E565" s="39"/>
      <c r="F565" s="40"/>
      <c r="G565" s="39"/>
      <c r="J565" s="24"/>
      <c r="K565" s="24"/>
      <c r="L565" s="38"/>
    </row>
    <row r="566" spans="2:12" x14ac:dyDescent="0.35">
      <c r="B566" s="24"/>
      <c r="E566" s="39"/>
      <c r="F566" s="40"/>
      <c r="G566" s="39"/>
      <c r="J566" s="24"/>
      <c r="K566" s="24"/>
      <c r="L566" s="38"/>
    </row>
    <row r="567" spans="2:12" x14ac:dyDescent="0.35">
      <c r="B567" s="24"/>
      <c r="E567" s="39"/>
      <c r="F567" s="40"/>
      <c r="G567" s="39"/>
      <c r="J567" s="24"/>
      <c r="K567" s="24"/>
      <c r="L567" s="38"/>
    </row>
    <row r="568" spans="2:12" x14ac:dyDescent="0.35">
      <c r="B568" s="24"/>
      <c r="E568" s="39"/>
      <c r="F568" s="40"/>
      <c r="G568" s="39"/>
      <c r="J568" s="24"/>
      <c r="K568" s="24"/>
      <c r="L568" s="38"/>
    </row>
    <row r="569" spans="2:12" x14ac:dyDescent="0.35">
      <c r="B569" s="24"/>
      <c r="E569" s="39"/>
      <c r="F569" s="40"/>
      <c r="G569" s="39"/>
      <c r="J569" s="24"/>
      <c r="K569" s="24"/>
      <c r="L569" s="38"/>
    </row>
    <row r="570" spans="2:12" x14ac:dyDescent="0.35">
      <c r="B570" s="24"/>
      <c r="E570" s="39"/>
      <c r="F570" s="40"/>
      <c r="G570" s="39"/>
      <c r="J570" s="24"/>
      <c r="K570" s="24"/>
      <c r="L570" s="38"/>
    </row>
    <row r="571" spans="2:12" x14ac:dyDescent="0.35">
      <c r="B571" s="24"/>
      <c r="E571" s="39"/>
      <c r="F571" s="40"/>
      <c r="G571" s="39"/>
      <c r="J571" s="24"/>
      <c r="K571" s="24"/>
      <c r="L571" s="38"/>
    </row>
    <row r="572" spans="2:12" x14ac:dyDescent="0.35">
      <c r="B572" s="24"/>
      <c r="E572" s="39"/>
      <c r="F572" s="40"/>
      <c r="G572" s="39"/>
      <c r="J572" s="24"/>
      <c r="K572" s="24"/>
      <c r="L572" s="38"/>
    </row>
    <row r="573" spans="2:12" x14ac:dyDescent="0.35">
      <c r="B573" s="24"/>
      <c r="E573" s="39"/>
      <c r="F573" s="40"/>
      <c r="G573" s="39"/>
      <c r="J573" s="24"/>
      <c r="K573" s="24"/>
      <c r="L573" s="38"/>
    </row>
    <row r="574" spans="2:12" x14ac:dyDescent="0.35">
      <c r="B574" s="24"/>
      <c r="E574" s="39"/>
      <c r="F574" s="40"/>
      <c r="G574" s="39"/>
      <c r="J574" s="24"/>
      <c r="K574" s="24"/>
      <c r="L574" s="38"/>
    </row>
    <row r="575" spans="2:12" x14ac:dyDescent="0.35">
      <c r="B575" s="24"/>
      <c r="E575" s="39"/>
      <c r="F575" s="40"/>
      <c r="G575" s="39"/>
      <c r="J575" s="24"/>
      <c r="K575" s="24"/>
      <c r="L575" s="38"/>
    </row>
    <row r="576" spans="2:12" x14ac:dyDescent="0.35">
      <c r="B576" s="24"/>
      <c r="E576" s="39"/>
      <c r="F576" s="40"/>
      <c r="G576" s="39"/>
      <c r="J576" s="24"/>
      <c r="K576" s="24"/>
      <c r="L576" s="38"/>
    </row>
    <row r="577" spans="2:12" x14ac:dyDescent="0.35">
      <c r="B577" s="24"/>
      <c r="E577" s="39"/>
      <c r="F577" s="40"/>
      <c r="G577" s="39"/>
      <c r="J577" s="24"/>
      <c r="K577" s="24"/>
      <c r="L577" s="38"/>
    </row>
    <row r="578" spans="2:12" x14ac:dyDescent="0.35">
      <c r="B578" s="24"/>
      <c r="E578" s="39"/>
      <c r="F578" s="40"/>
      <c r="G578" s="39"/>
      <c r="J578" s="24"/>
      <c r="K578" s="24"/>
      <c r="L578" s="38"/>
    </row>
    <row r="579" spans="2:12" x14ac:dyDescent="0.35">
      <c r="B579" s="24"/>
      <c r="E579" s="39"/>
      <c r="F579" s="40"/>
      <c r="G579" s="39"/>
      <c r="J579" s="24"/>
      <c r="K579" s="24"/>
      <c r="L579" s="38"/>
    </row>
    <row r="580" spans="2:12" x14ac:dyDescent="0.35">
      <c r="B580" s="24"/>
      <c r="E580" s="39"/>
      <c r="F580" s="40"/>
      <c r="G580" s="39"/>
      <c r="J580" s="24"/>
      <c r="K580" s="24"/>
      <c r="L580" s="38"/>
    </row>
    <row r="581" spans="2:12" x14ac:dyDescent="0.35">
      <c r="B581" s="24"/>
      <c r="E581" s="39"/>
      <c r="F581" s="40"/>
      <c r="G581" s="39"/>
      <c r="J581" s="24"/>
      <c r="K581" s="24"/>
      <c r="L581" s="38"/>
    </row>
    <row r="582" spans="2:12" x14ac:dyDescent="0.35">
      <c r="B582" s="24"/>
      <c r="E582" s="39"/>
      <c r="F582" s="40"/>
      <c r="G582" s="39"/>
      <c r="J582" s="24"/>
      <c r="K582" s="24"/>
      <c r="L582" s="38"/>
    </row>
    <row r="583" spans="2:12" x14ac:dyDescent="0.35">
      <c r="B583" s="24"/>
      <c r="E583" s="39"/>
      <c r="F583" s="40"/>
      <c r="G583" s="39"/>
      <c r="J583" s="24"/>
      <c r="K583" s="24"/>
      <c r="L583" s="38"/>
    </row>
    <row r="584" spans="2:12" x14ac:dyDescent="0.35">
      <c r="B584" s="24"/>
      <c r="E584" s="39"/>
      <c r="F584" s="40"/>
      <c r="G584" s="39"/>
      <c r="J584" s="24"/>
      <c r="K584" s="24"/>
      <c r="L584" s="38"/>
    </row>
    <row r="585" spans="2:12" x14ac:dyDescent="0.35">
      <c r="B585" s="24"/>
      <c r="E585" s="39"/>
      <c r="F585" s="40"/>
      <c r="G585" s="39"/>
      <c r="J585" s="24"/>
      <c r="K585" s="24"/>
      <c r="L585" s="38"/>
    </row>
    <row r="586" spans="2:12" x14ac:dyDescent="0.35">
      <c r="B586" s="24"/>
      <c r="E586" s="39"/>
      <c r="F586" s="40"/>
      <c r="G586" s="39"/>
      <c r="J586" s="24"/>
      <c r="K586" s="24"/>
      <c r="L586" s="38"/>
    </row>
    <row r="587" spans="2:12" x14ac:dyDescent="0.35">
      <c r="B587" s="24"/>
      <c r="E587" s="39"/>
      <c r="F587" s="40"/>
      <c r="G587" s="39"/>
      <c r="J587" s="24"/>
      <c r="K587" s="24"/>
      <c r="L587" s="38"/>
    </row>
    <row r="588" spans="2:12" x14ac:dyDescent="0.35">
      <c r="B588" s="24"/>
      <c r="E588" s="39"/>
      <c r="F588" s="40"/>
      <c r="G588" s="39"/>
      <c r="J588" s="24"/>
      <c r="K588" s="24"/>
      <c r="L588" s="38"/>
    </row>
    <row r="589" spans="2:12" x14ac:dyDescent="0.35">
      <c r="B589" s="24"/>
      <c r="E589" s="39"/>
      <c r="F589" s="40"/>
      <c r="G589" s="39"/>
      <c r="J589" s="24"/>
      <c r="K589" s="24"/>
      <c r="L589" s="38"/>
    </row>
    <row r="590" spans="2:12" x14ac:dyDescent="0.35">
      <c r="B590" s="24"/>
      <c r="E590" s="39"/>
      <c r="F590" s="40"/>
      <c r="G590" s="39"/>
      <c r="J590" s="24"/>
      <c r="K590" s="24"/>
      <c r="L590" s="38"/>
    </row>
    <row r="591" spans="2:12" x14ac:dyDescent="0.35">
      <c r="B591" s="24"/>
      <c r="E591" s="39"/>
      <c r="F591" s="40"/>
      <c r="G591" s="39"/>
      <c r="J591" s="24"/>
      <c r="K591" s="24"/>
      <c r="L591" s="38"/>
    </row>
    <row r="592" spans="2:12" x14ac:dyDescent="0.35">
      <c r="B592" s="24"/>
      <c r="E592" s="39"/>
      <c r="F592" s="40"/>
      <c r="G592" s="39"/>
      <c r="J592" s="24"/>
      <c r="K592" s="24"/>
      <c r="L592" s="38"/>
    </row>
    <row r="593" spans="2:12" x14ac:dyDescent="0.35">
      <c r="B593" s="24"/>
      <c r="E593" s="39"/>
      <c r="F593" s="40"/>
      <c r="G593" s="39"/>
      <c r="J593" s="24"/>
      <c r="K593" s="24"/>
      <c r="L593" s="38"/>
    </row>
    <row r="594" spans="2:12" x14ac:dyDescent="0.35">
      <c r="B594" s="24"/>
      <c r="E594" s="39"/>
      <c r="F594" s="40"/>
      <c r="G594" s="39"/>
      <c r="J594" s="24"/>
      <c r="K594" s="24"/>
      <c r="L594" s="38"/>
    </row>
    <row r="595" spans="2:12" x14ac:dyDescent="0.35">
      <c r="B595" s="24"/>
      <c r="E595" s="39"/>
      <c r="F595" s="40"/>
      <c r="G595" s="39"/>
      <c r="J595" s="24"/>
      <c r="K595" s="24"/>
      <c r="L595" s="38"/>
    </row>
    <row r="596" spans="2:12" x14ac:dyDescent="0.35">
      <c r="B596" s="24"/>
      <c r="E596" s="39"/>
      <c r="F596" s="40"/>
      <c r="G596" s="39"/>
      <c r="J596" s="24"/>
      <c r="K596" s="24"/>
      <c r="L596" s="38"/>
    </row>
    <row r="597" spans="2:12" x14ac:dyDescent="0.35">
      <c r="B597" s="24"/>
      <c r="E597" s="39"/>
      <c r="F597" s="40"/>
      <c r="G597" s="39"/>
      <c r="J597" s="24"/>
      <c r="K597" s="24"/>
      <c r="L597" s="38"/>
    </row>
    <row r="598" spans="2:12" x14ac:dyDescent="0.35">
      <c r="B598" s="24"/>
      <c r="E598" s="39"/>
      <c r="F598" s="40"/>
      <c r="G598" s="39"/>
      <c r="J598" s="24"/>
      <c r="K598" s="24"/>
      <c r="L598" s="38"/>
    </row>
    <row r="599" spans="2:12" x14ac:dyDescent="0.35">
      <c r="B599" s="24"/>
      <c r="E599" s="39"/>
      <c r="F599" s="40"/>
      <c r="G599" s="39"/>
      <c r="J599" s="24"/>
      <c r="K599" s="24"/>
      <c r="L599" s="38"/>
    </row>
    <row r="600" spans="2:12" x14ac:dyDescent="0.35">
      <c r="B600" s="24"/>
      <c r="E600" s="39"/>
      <c r="F600" s="40"/>
      <c r="G600" s="39"/>
      <c r="J600" s="24"/>
      <c r="K600" s="24"/>
      <c r="L600" s="38"/>
    </row>
    <row r="601" spans="2:12" x14ac:dyDescent="0.35">
      <c r="B601" s="24"/>
      <c r="E601" s="39"/>
      <c r="F601" s="40"/>
      <c r="G601" s="39"/>
    </row>
    <row r="602" spans="2:12" x14ac:dyDescent="0.35">
      <c r="B602" s="24"/>
      <c r="E602" s="39"/>
      <c r="F602" s="40"/>
      <c r="G602" s="39"/>
    </row>
    <row r="603" spans="2:12" x14ac:dyDescent="0.35">
      <c r="E603" s="41"/>
      <c r="F603" s="42"/>
      <c r="G603" s="43">
        <f>SUM(G73:G602)</f>
        <v>0</v>
      </c>
    </row>
  </sheetData>
  <mergeCells count="5">
    <mergeCell ref="B3:B4"/>
    <mergeCell ref="C3:C4"/>
    <mergeCell ref="E3:G3"/>
    <mergeCell ref="I3:K3"/>
    <mergeCell ref="M3:M4"/>
  </mergeCells>
  <dataValidations count="2">
    <dataValidation type="list" allowBlank="1" showInputMessage="1" showErrorMessage="1" sqref="C73:C601" xr:uid="{BD6355BF-0CD9-4392-8EE7-128669720717}">
      <formula1>Compadjust</formula1>
    </dataValidation>
    <dataValidation type="list" allowBlank="1" showInputMessage="1" showErrorMessage="1" sqref="J201:J598 K73:M598" xr:uid="{C17ADF2B-D083-435A-8CEA-C2FE0FB06A72}">
      <formula1>Taxes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90C-4A05-407D-8727-4BCE104DFC23}">
  <dimension ref="B2:G137"/>
  <sheetViews>
    <sheetView showGridLines="0" zoomScale="80" zoomScaleNormal="80" workbookViewId="0">
      <selection activeCell="B15" sqref="B15"/>
    </sheetView>
  </sheetViews>
  <sheetFormatPr baseColWidth="10" defaultColWidth="11.453125" defaultRowHeight="12" x14ac:dyDescent="0.3"/>
  <cols>
    <col min="1" max="1" width="5.36328125" style="3" customWidth="1"/>
    <col min="2" max="2" width="11.453125" style="3"/>
    <col min="3" max="3" width="78.54296875" style="3" bestFit="1" customWidth="1"/>
    <col min="4" max="4" width="12.6328125" style="3" bestFit="1" customWidth="1"/>
    <col min="5" max="5" width="17.08984375" style="44" customWidth="1"/>
    <col min="6" max="16384" width="11.453125" style="3"/>
  </cols>
  <sheetData>
    <row r="2" spans="2:6" ht="19" x14ac:dyDescent="0.45">
      <c r="B2" s="1" t="s">
        <v>178</v>
      </c>
    </row>
    <row r="4" spans="2:6" x14ac:dyDescent="0.3">
      <c r="B4" s="45" t="s">
        <v>179</v>
      </c>
    </row>
    <row r="5" spans="2:6" x14ac:dyDescent="0.3">
      <c r="B5" s="45" t="s">
        <v>180</v>
      </c>
    </row>
    <row r="6" spans="2:6" ht="41.25" customHeight="1" thickBot="1" x14ac:dyDescent="0.35">
      <c r="B6" s="46" t="s">
        <v>181</v>
      </c>
      <c r="C6" s="46" t="s">
        <v>182</v>
      </c>
      <c r="D6" s="46" t="s">
        <v>183</v>
      </c>
      <c r="E6" s="47" t="s">
        <v>184</v>
      </c>
    </row>
    <row r="7" spans="2:6" x14ac:dyDescent="0.3">
      <c r="B7" s="48" t="s">
        <v>185</v>
      </c>
      <c r="C7" s="48" t="s">
        <v>137</v>
      </c>
      <c r="D7" s="48" t="s">
        <v>186</v>
      </c>
      <c r="E7" s="49">
        <v>27649.749360000002</v>
      </c>
      <c r="F7" s="50"/>
    </row>
    <row r="8" spans="2:6" x14ac:dyDescent="0.3">
      <c r="B8" s="51" t="s">
        <v>185</v>
      </c>
      <c r="C8" s="51" t="s">
        <v>135</v>
      </c>
      <c r="D8" s="51" t="s">
        <v>186</v>
      </c>
      <c r="E8" s="52">
        <v>26397.850170999998</v>
      </c>
      <c r="F8" s="50"/>
    </row>
    <row r="9" spans="2:6" x14ac:dyDescent="0.3">
      <c r="B9" s="48" t="s">
        <v>185</v>
      </c>
      <c r="C9" s="48" t="s">
        <v>139</v>
      </c>
      <c r="D9" s="48" t="s">
        <v>186</v>
      </c>
      <c r="E9" s="49">
        <v>19910.639723</v>
      </c>
      <c r="F9" s="50"/>
    </row>
    <row r="10" spans="2:6" x14ac:dyDescent="0.3">
      <c r="B10" s="51" t="s">
        <v>185</v>
      </c>
      <c r="C10" s="51" t="s">
        <v>147</v>
      </c>
      <c r="D10" s="51" t="s">
        <v>186</v>
      </c>
      <c r="E10" s="52">
        <v>14095.390092</v>
      </c>
      <c r="F10" s="50"/>
    </row>
    <row r="11" spans="2:6" x14ac:dyDescent="0.3">
      <c r="B11" s="48" t="s">
        <v>185</v>
      </c>
      <c r="C11" s="48" t="s">
        <v>149</v>
      </c>
      <c r="D11" s="48" t="s">
        <v>186</v>
      </c>
      <c r="E11" s="49">
        <v>12120.953837999999</v>
      </c>
      <c r="F11" s="50"/>
    </row>
    <row r="12" spans="2:6" x14ac:dyDescent="0.3">
      <c r="B12" s="51" t="s">
        <v>185</v>
      </c>
      <c r="C12" s="51" t="s">
        <v>141</v>
      </c>
      <c r="D12" s="51" t="s">
        <v>186</v>
      </c>
      <c r="E12" s="52">
        <v>9624.5963240000001</v>
      </c>
      <c r="F12" s="50"/>
    </row>
    <row r="13" spans="2:6" x14ac:dyDescent="0.3">
      <c r="B13" s="48" t="s">
        <v>185</v>
      </c>
      <c r="C13" s="48" t="s">
        <v>176</v>
      </c>
      <c r="D13" s="48" t="s">
        <v>187</v>
      </c>
      <c r="E13" s="49">
        <v>8350.5644909999992</v>
      </c>
      <c r="F13" s="50"/>
    </row>
    <row r="14" spans="2:6" x14ac:dyDescent="0.3">
      <c r="B14" s="51" t="s">
        <v>185</v>
      </c>
      <c r="C14" s="51" t="s">
        <v>173</v>
      </c>
      <c r="D14" s="51" t="s">
        <v>187</v>
      </c>
      <c r="E14" s="52">
        <v>5517.8652149999998</v>
      </c>
      <c r="F14" s="50"/>
    </row>
    <row r="15" spans="2:6" x14ac:dyDescent="0.3">
      <c r="B15" s="48" t="s">
        <v>185</v>
      </c>
      <c r="C15" s="48" t="s">
        <v>165</v>
      </c>
      <c r="D15" s="48" t="s">
        <v>186</v>
      </c>
      <c r="E15" s="49">
        <v>4353.7789430000003</v>
      </c>
      <c r="F15" s="50"/>
    </row>
    <row r="16" spans="2:6" x14ac:dyDescent="0.3">
      <c r="B16" s="51" t="s">
        <v>185</v>
      </c>
      <c r="C16" s="51" t="s">
        <v>145</v>
      </c>
      <c r="D16" s="51" t="s">
        <v>186</v>
      </c>
      <c r="E16" s="52">
        <v>3825.530076</v>
      </c>
      <c r="F16" s="50"/>
    </row>
    <row r="17" spans="2:6" x14ac:dyDescent="0.3">
      <c r="B17" s="48" t="s">
        <v>185</v>
      </c>
      <c r="C17" s="48" t="s">
        <v>163</v>
      </c>
      <c r="D17" s="48" t="s">
        <v>186</v>
      </c>
      <c r="E17" s="49">
        <v>3540.169308</v>
      </c>
      <c r="F17" s="50"/>
    </row>
    <row r="18" spans="2:6" x14ac:dyDescent="0.3">
      <c r="B18" s="51" t="s">
        <v>185</v>
      </c>
      <c r="C18" s="51" t="s">
        <v>52</v>
      </c>
      <c r="D18" s="51" t="s">
        <v>187</v>
      </c>
      <c r="E18" s="52">
        <v>3028.025369</v>
      </c>
      <c r="F18" s="50"/>
    </row>
    <row r="19" spans="2:6" x14ac:dyDescent="0.3">
      <c r="B19" s="48" t="s">
        <v>185</v>
      </c>
      <c r="C19" s="48" t="s">
        <v>50</v>
      </c>
      <c r="D19" s="48" t="s">
        <v>187</v>
      </c>
      <c r="E19" s="49">
        <v>2192.8260529999998</v>
      </c>
      <c r="F19" s="50"/>
    </row>
    <row r="20" spans="2:6" x14ac:dyDescent="0.3">
      <c r="B20" s="51" t="s">
        <v>185</v>
      </c>
      <c r="C20" s="51" t="s">
        <v>155</v>
      </c>
      <c r="D20" s="51" t="s">
        <v>186</v>
      </c>
      <c r="E20" s="52">
        <v>1098.1478079999999</v>
      </c>
      <c r="F20" s="50"/>
    </row>
    <row r="21" spans="2:6" x14ac:dyDescent="0.3">
      <c r="B21" s="48" t="s">
        <v>185</v>
      </c>
      <c r="C21" s="48" t="s">
        <v>151</v>
      </c>
      <c r="D21" s="48" t="s">
        <v>186</v>
      </c>
      <c r="E21" s="49">
        <v>750.02975500000002</v>
      </c>
      <c r="F21" s="50"/>
    </row>
    <row r="22" spans="2:6" x14ac:dyDescent="0.3">
      <c r="B22" s="51" t="s">
        <v>185</v>
      </c>
      <c r="C22" s="51" t="s">
        <v>167</v>
      </c>
      <c r="D22" s="51" t="s">
        <v>186</v>
      </c>
      <c r="E22" s="52">
        <v>662.52300100000002</v>
      </c>
      <c r="F22" s="50"/>
    </row>
    <row r="23" spans="2:6" x14ac:dyDescent="0.3">
      <c r="B23" s="48" t="s">
        <v>185</v>
      </c>
      <c r="C23" s="48" t="s">
        <v>169</v>
      </c>
      <c r="D23" s="48" t="s">
        <v>187</v>
      </c>
      <c r="E23" s="49">
        <v>626.63395800000001</v>
      </c>
      <c r="F23" s="50"/>
    </row>
    <row r="24" spans="2:6" x14ac:dyDescent="0.3">
      <c r="B24" s="51" t="s">
        <v>185</v>
      </c>
      <c r="C24" s="51" t="s">
        <v>143</v>
      </c>
      <c r="D24" s="51" t="s">
        <v>186</v>
      </c>
      <c r="E24" s="52">
        <v>483.18899800000003</v>
      </c>
      <c r="F24" s="50"/>
    </row>
    <row r="25" spans="2:6" x14ac:dyDescent="0.3">
      <c r="B25" s="48" t="s">
        <v>185</v>
      </c>
      <c r="C25" s="48" t="s">
        <v>40</v>
      </c>
      <c r="D25" s="48" t="s">
        <v>187</v>
      </c>
      <c r="E25" s="49">
        <v>436.45604400000002</v>
      </c>
      <c r="F25" s="50"/>
    </row>
    <row r="26" spans="2:6" x14ac:dyDescent="0.3">
      <c r="B26" s="51" t="s">
        <v>185</v>
      </c>
      <c r="C26" s="51" t="s">
        <v>153</v>
      </c>
      <c r="D26" s="51" t="s">
        <v>186</v>
      </c>
      <c r="E26" s="52">
        <v>296.285664</v>
      </c>
      <c r="F26" s="50"/>
    </row>
    <row r="27" spans="2:6" x14ac:dyDescent="0.3">
      <c r="B27" s="48" t="s">
        <v>185</v>
      </c>
      <c r="C27" s="48" t="s">
        <v>42</v>
      </c>
      <c r="D27" s="48" t="s">
        <v>187</v>
      </c>
      <c r="E27" s="49">
        <v>250.37560400000001</v>
      </c>
      <c r="F27" s="50"/>
    </row>
    <row r="28" spans="2:6" x14ac:dyDescent="0.3">
      <c r="B28" s="51" t="s">
        <v>185</v>
      </c>
      <c r="C28" s="51" t="s">
        <v>157</v>
      </c>
      <c r="D28" s="51" t="s">
        <v>186</v>
      </c>
      <c r="E28" s="52">
        <v>129.25152399999999</v>
      </c>
      <c r="F28" s="50"/>
    </row>
    <row r="29" spans="2:6" x14ac:dyDescent="0.3">
      <c r="B29" s="48" t="s">
        <v>185</v>
      </c>
      <c r="C29" s="48" t="s">
        <v>161</v>
      </c>
      <c r="D29" s="48" t="s">
        <v>186</v>
      </c>
      <c r="E29" s="49">
        <v>41.073745000000002</v>
      </c>
      <c r="F29" s="50"/>
    </row>
    <row r="30" spans="2:6" x14ac:dyDescent="0.3">
      <c r="B30" s="51" t="s">
        <v>185</v>
      </c>
      <c r="C30" s="51" t="s">
        <v>159</v>
      </c>
      <c r="D30" s="51" t="s">
        <v>186</v>
      </c>
      <c r="E30" s="52">
        <v>37.260987999999998</v>
      </c>
      <c r="F30" s="50"/>
    </row>
    <row r="31" spans="2:6" x14ac:dyDescent="0.3">
      <c r="B31" s="48" t="s">
        <v>185</v>
      </c>
      <c r="C31" s="48" t="s">
        <v>54</v>
      </c>
      <c r="D31" s="48" t="s">
        <v>186</v>
      </c>
      <c r="E31" s="49">
        <v>25.421074000000001</v>
      </c>
      <c r="F31" s="50"/>
    </row>
    <row r="32" spans="2:6" x14ac:dyDescent="0.3">
      <c r="B32" s="51" t="s">
        <v>185</v>
      </c>
      <c r="C32" s="51" t="s">
        <v>46</v>
      </c>
      <c r="D32" s="51" t="s">
        <v>187</v>
      </c>
      <c r="E32" s="52">
        <v>0</v>
      </c>
      <c r="F32" s="50"/>
    </row>
    <row r="33" spans="2:6" x14ac:dyDescent="0.3">
      <c r="B33" s="53" t="s">
        <v>188</v>
      </c>
      <c r="C33" s="53" t="s">
        <v>189</v>
      </c>
      <c r="D33" s="53" t="s">
        <v>186</v>
      </c>
      <c r="E33" s="54">
        <v>487.37053400000002</v>
      </c>
      <c r="F33" s="50"/>
    </row>
    <row r="34" spans="2:6" x14ac:dyDescent="0.3">
      <c r="B34" s="55" t="s">
        <v>188</v>
      </c>
      <c r="C34" s="55" t="s">
        <v>190</v>
      </c>
      <c r="D34" s="55" t="s">
        <v>186</v>
      </c>
      <c r="E34" s="56">
        <v>170.81689700000001</v>
      </c>
      <c r="F34" s="50"/>
    </row>
    <row r="35" spans="2:6" x14ac:dyDescent="0.3">
      <c r="B35" s="53" t="s">
        <v>188</v>
      </c>
      <c r="C35" s="53" t="s">
        <v>191</v>
      </c>
      <c r="D35" s="53" t="s">
        <v>186</v>
      </c>
      <c r="E35" s="54">
        <v>156.19127699999996</v>
      </c>
      <c r="F35" s="50"/>
    </row>
    <row r="36" spans="2:6" x14ac:dyDescent="0.3">
      <c r="B36" s="55" t="s">
        <v>188</v>
      </c>
      <c r="C36" s="55" t="s">
        <v>192</v>
      </c>
      <c r="D36" s="55" t="s">
        <v>186</v>
      </c>
      <c r="E36" s="56">
        <v>145.278886</v>
      </c>
      <c r="F36" s="50"/>
    </row>
    <row r="37" spans="2:6" x14ac:dyDescent="0.3">
      <c r="B37" s="53" t="s">
        <v>188</v>
      </c>
      <c r="C37" s="53" t="s">
        <v>193</v>
      </c>
      <c r="D37" s="53" t="s">
        <v>186</v>
      </c>
      <c r="E37" s="54">
        <v>104.057474</v>
      </c>
      <c r="F37" s="50"/>
    </row>
    <row r="38" spans="2:6" x14ac:dyDescent="0.3">
      <c r="B38" s="55" t="s">
        <v>188</v>
      </c>
      <c r="C38" s="55" t="s">
        <v>194</v>
      </c>
      <c r="D38" s="55" t="s">
        <v>186</v>
      </c>
      <c r="E38" s="56">
        <v>96.78324099999999</v>
      </c>
      <c r="F38" s="50"/>
    </row>
    <row r="39" spans="2:6" x14ac:dyDescent="0.3">
      <c r="B39" s="53" t="s">
        <v>188</v>
      </c>
      <c r="C39" s="53" t="s">
        <v>195</v>
      </c>
      <c r="D39" s="53" t="s">
        <v>186</v>
      </c>
      <c r="E39" s="54">
        <v>81.248801999999984</v>
      </c>
      <c r="F39" s="50"/>
    </row>
    <row r="40" spans="2:6" x14ac:dyDescent="0.3">
      <c r="B40" s="55" t="s">
        <v>188</v>
      </c>
      <c r="C40" s="55" t="s">
        <v>196</v>
      </c>
      <c r="D40" s="55" t="s">
        <v>186</v>
      </c>
      <c r="E40" s="56">
        <v>74.796663000000009</v>
      </c>
      <c r="F40" s="50"/>
    </row>
    <row r="41" spans="2:6" x14ac:dyDescent="0.3">
      <c r="B41" s="53" t="s">
        <v>188</v>
      </c>
      <c r="C41" s="53" t="s">
        <v>197</v>
      </c>
      <c r="D41" s="53" t="s">
        <v>186</v>
      </c>
      <c r="E41" s="54">
        <v>66.438857999999996</v>
      </c>
      <c r="F41" s="50"/>
    </row>
    <row r="42" spans="2:6" x14ac:dyDescent="0.3">
      <c r="B42" s="55" t="s">
        <v>188</v>
      </c>
      <c r="C42" s="55" t="s">
        <v>198</v>
      </c>
      <c r="D42" s="55" t="s">
        <v>186</v>
      </c>
      <c r="E42" s="56">
        <v>61.218558999999999</v>
      </c>
      <c r="F42" s="50"/>
    </row>
    <row r="43" spans="2:6" x14ac:dyDescent="0.3">
      <c r="B43" s="53" t="s">
        <v>188</v>
      </c>
      <c r="C43" s="53" t="s">
        <v>199</v>
      </c>
      <c r="D43" s="53" t="s">
        <v>186</v>
      </c>
      <c r="E43" s="54">
        <v>59.468603000000009</v>
      </c>
      <c r="F43" s="50"/>
    </row>
    <row r="44" spans="2:6" x14ac:dyDescent="0.3">
      <c r="B44" s="55" t="s">
        <v>188</v>
      </c>
      <c r="C44" s="55" t="s">
        <v>200</v>
      </c>
      <c r="D44" s="55" t="s">
        <v>186</v>
      </c>
      <c r="E44" s="56">
        <v>38.100342000000005</v>
      </c>
      <c r="F44" s="50"/>
    </row>
    <row r="45" spans="2:6" x14ac:dyDescent="0.3">
      <c r="B45" s="53" t="s">
        <v>188</v>
      </c>
      <c r="C45" s="53" t="s">
        <v>201</v>
      </c>
      <c r="D45" s="53" t="s">
        <v>186</v>
      </c>
      <c r="E45" s="54">
        <v>37.930259000000014</v>
      </c>
      <c r="F45" s="50"/>
    </row>
    <row r="46" spans="2:6" x14ac:dyDescent="0.3">
      <c r="B46" s="55" t="s">
        <v>188</v>
      </c>
      <c r="C46" s="55" t="s">
        <v>202</v>
      </c>
      <c r="D46" s="55" t="s">
        <v>186</v>
      </c>
      <c r="E46" s="56">
        <v>37.649687</v>
      </c>
      <c r="F46" s="50"/>
    </row>
    <row r="47" spans="2:6" x14ac:dyDescent="0.3">
      <c r="B47" s="53" t="s">
        <v>188</v>
      </c>
      <c r="C47" s="53" t="s">
        <v>203</v>
      </c>
      <c r="D47" s="53" t="s">
        <v>186</v>
      </c>
      <c r="E47" s="54">
        <v>33.528964999999999</v>
      </c>
      <c r="F47" s="50"/>
    </row>
    <row r="48" spans="2:6" x14ac:dyDescent="0.3">
      <c r="B48" s="55" t="s">
        <v>188</v>
      </c>
      <c r="C48" s="55" t="s">
        <v>204</v>
      </c>
      <c r="D48" s="55" t="s">
        <v>186</v>
      </c>
      <c r="E48" s="56">
        <v>33.131726999999991</v>
      </c>
      <c r="F48" s="50"/>
    </row>
    <row r="49" spans="2:6" x14ac:dyDescent="0.3">
      <c r="B49" s="53" t="s">
        <v>188</v>
      </c>
      <c r="C49" s="53" t="s">
        <v>205</v>
      </c>
      <c r="D49" s="53" t="s">
        <v>186</v>
      </c>
      <c r="E49" s="54">
        <v>32.982408</v>
      </c>
      <c r="F49" s="50"/>
    </row>
    <row r="50" spans="2:6" x14ac:dyDescent="0.3">
      <c r="B50" s="55" t="s">
        <v>188</v>
      </c>
      <c r="C50" s="55" t="s">
        <v>206</v>
      </c>
      <c r="D50" s="55" t="s">
        <v>186</v>
      </c>
      <c r="E50" s="56">
        <v>27.5</v>
      </c>
      <c r="F50" s="50"/>
    </row>
    <row r="51" spans="2:6" x14ac:dyDescent="0.3">
      <c r="B51" s="53" t="s">
        <v>188</v>
      </c>
      <c r="C51" s="53" t="s">
        <v>207</v>
      </c>
      <c r="D51" s="53" t="s">
        <v>186</v>
      </c>
      <c r="E51" s="54">
        <v>26.739977</v>
      </c>
      <c r="F51" s="50"/>
    </row>
    <row r="52" spans="2:6" x14ac:dyDescent="0.3">
      <c r="B52" s="55" t="s">
        <v>188</v>
      </c>
      <c r="C52" s="55" t="s">
        <v>208</v>
      </c>
      <c r="D52" s="55" t="s">
        <v>186</v>
      </c>
      <c r="E52" s="56">
        <v>25.25</v>
      </c>
      <c r="F52" s="50"/>
    </row>
    <row r="53" spans="2:6" x14ac:dyDescent="0.3">
      <c r="B53" s="53" t="s">
        <v>188</v>
      </c>
      <c r="C53" s="53" t="s">
        <v>209</v>
      </c>
      <c r="D53" s="53" t="s">
        <v>186</v>
      </c>
      <c r="E53" s="54">
        <v>24.164628</v>
      </c>
      <c r="F53" s="50"/>
    </row>
    <row r="54" spans="2:6" x14ac:dyDescent="0.3">
      <c r="B54" s="55" t="s">
        <v>188</v>
      </c>
      <c r="C54" s="55" t="s">
        <v>210</v>
      </c>
      <c r="D54" s="55" t="s">
        <v>186</v>
      </c>
      <c r="E54" s="56">
        <v>19.223117999999996</v>
      </c>
      <c r="F54" s="50"/>
    </row>
    <row r="55" spans="2:6" x14ac:dyDescent="0.3">
      <c r="B55" s="53" t="s">
        <v>188</v>
      </c>
      <c r="C55" s="53" t="s">
        <v>211</v>
      </c>
      <c r="D55" s="53" t="s">
        <v>186</v>
      </c>
      <c r="E55" s="54">
        <v>19.125</v>
      </c>
      <c r="F55" s="50"/>
    </row>
    <row r="56" spans="2:6" x14ac:dyDescent="0.3">
      <c r="B56" s="55" t="s">
        <v>188</v>
      </c>
      <c r="C56" s="55" t="s">
        <v>212</v>
      </c>
      <c r="D56" s="55" t="s">
        <v>186</v>
      </c>
      <c r="E56" s="56">
        <v>17.530511999999998</v>
      </c>
      <c r="F56" s="50"/>
    </row>
    <row r="57" spans="2:6" x14ac:dyDescent="0.3">
      <c r="B57" s="53" t="s">
        <v>188</v>
      </c>
      <c r="C57" s="53" t="s">
        <v>213</v>
      </c>
      <c r="D57" s="53" t="s">
        <v>186</v>
      </c>
      <c r="E57" s="54">
        <v>15.412737000000002</v>
      </c>
      <c r="F57" s="50"/>
    </row>
    <row r="58" spans="2:6" x14ac:dyDescent="0.3">
      <c r="B58" s="55" t="s">
        <v>188</v>
      </c>
      <c r="C58" s="55" t="s">
        <v>214</v>
      </c>
      <c r="D58" s="55" t="s">
        <v>186</v>
      </c>
      <c r="E58" s="56">
        <v>13.49197</v>
      </c>
      <c r="F58" s="50"/>
    </row>
    <row r="59" spans="2:6" x14ac:dyDescent="0.3">
      <c r="B59" s="53" t="s">
        <v>188</v>
      </c>
      <c r="C59" s="53" t="s">
        <v>215</v>
      </c>
      <c r="D59" s="53" t="s">
        <v>186</v>
      </c>
      <c r="E59" s="54">
        <v>11.932999999999998</v>
      </c>
      <c r="F59" s="50"/>
    </row>
    <row r="60" spans="2:6" x14ac:dyDescent="0.3">
      <c r="B60" s="55" t="s">
        <v>188</v>
      </c>
      <c r="C60" s="55" t="s">
        <v>216</v>
      </c>
      <c r="D60" s="55" t="s">
        <v>186</v>
      </c>
      <c r="E60" s="56">
        <v>11.031771999999997</v>
      </c>
      <c r="F60" s="50"/>
    </row>
    <row r="61" spans="2:6" x14ac:dyDescent="0.3">
      <c r="B61" s="53" t="s">
        <v>188</v>
      </c>
      <c r="C61" s="53" t="s">
        <v>217</v>
      </c>
      <c r="D61" s="53" t="s">
        <v>186</v>
      </c>
      <c r="E61" s="54">
        <v>10.724999999999998</v>
      </c>
      <c r="F61" s="50"/>
    </row>
    <row r="62" spans="2:6" x14ac:dyDescent="0.3">
      <c r="B62" s="55" t="s">
        <v>188</v>
      </c>
      <c r="C62" s="55" t="s">
        <v>218</v>
      </c>
      <c r="D62" s="55" t="s">
        <v>186</v>
      </c>
      <c r="E62" s="56">
        <v>10.664</v>
      </c>
      <c r="F62" s="50"/>
    </row>
    <row r="63" spans="2:6" x14ac:dyDescent="0.3">
      <c r="B63" s="53" t="s">
        <v>188</v>
      </c>
      <c r="C63" s="53" t="s">
        <v>219</v>
      </c>
      <c r="D63" s="53" t="s">
        <v>186</v>
      </c>
      <c r="E63" s="54">
        <v>10.132607</v>
      </c>
      <c r="F63" s="50"/>
    </row>
    <row r="64" spans="2:6" x14ac:dyDescent="0.3">
      <c r="B64" s="55" t="s">
        <v>188</v>
      </c>
      <c r="C64" s="55" t="s">
        <v>220</v>
      </c>
      <c r="D64" s="55" t="s">
        <v>186</v>
      </c>
      <c r="E64" s="56">
        <v>10</v>
      </c>
      <c r="F64" s="50"/>
    </row>
    <row r="65" spans="2:6" x14ac:dyDescent="0.3">
      <c r="B65" s="53" t="s">
        <v>188</v>
      </c>
      <c r="C65" s="53" t="s">
        <v>221</v>
      </c>
      <c r="D65" s="53" t="s">
        <v>186</v>
      </c>
      <c r="E65" s="54">
        <v>9.1629120000000022</v>
      </c>
      <c r="F65" s="50"/>
    </row>
    <row r="66" spans="2:6" x14ac:dyDescent="0.3">
      <c r="B66" s="55" t="s">
        <v>188</v>
      </c>
      <c r="C66" s="55" t="s">
        <v>222</v>
      </c>
      <c r="D66" s="55" t="s">
        <v>186</v>
      </c>
      <c r="E66" s="56">
        <v>6.4716149999999999</v>
      </c>
      <c r="F66" s="50"/>
    </row>
    <row r="67" spans="2:6" x14ac:dyDescent="0.3">
      <c r="B67" s="53" t="s">
        <v>188</v>
      </c>
      <c r="C67" s="53" t="s">
        <v>223</v>
      </c>
      <c r="D67" s="53" t="s">
        <v>187</v>
      </c>
      <c r="E67" s="54">
        <v>6.3861599999999994</v>
      </c>
      <c r="F67" s="50"/>
    </row>
    <row r="68" spans="2:6" x14ac:dyDescent="0.3">
      <c r="B68" s="55" t="s">
        <v>188</v>
      </c>
      <c r="C68" s="55" t="s">
        <v>224</v>
      </c>
      <c r="D68" s="55" t="s">
        <v>186</v>
      </c>
      <c r="E68" s="56">
        <v>5.5670000000000002</v>
      </c>
      <c r="F68" s="50"/>
    </row>
    <row r="69" spans="2:6" x14ac:dyDescent="0.3">
      <c r="B69" s="53" t="s">
        <v>188</v>
      </c>
      <c r="C69" s="53" t="s">
        <v>225</v>
      </c>
      <c r="D69" s="53" t="s">
        <v>186</v>
      </c>
      <c r="E69" s="54">
        <v>5.5406999999999993</v>
      </c>
      <c r="F69" s="50"/>
    </row>
    <row r="70" spans="2:6" x14ac:dyDescent="0.3">
      <c r="B70" s="55" t="s">
        <v>188</v>
      </c>
      <c r="C70" s="55" t="s">
        <v>226</v>
      </c>
      <c r="D70" s="55" t="s">
        <v>186</v>
      </c>
      <c r="E70" s="56">
        <v>5.4517500000000005</v>
      </c>
      <c r="F70" s="50"/>
    </row>
    <row r="71" spans="2:6" x14ac:dyDescent="0.3">
      <c r="B71" s="53" t="s">
        <v>188</v>
      </c>
      <c r="C71" s="53" t="s">
        <v>227</v>
      </c>
      <c r="D71" s="53" t="s">
        <v>186</v>
      </c>
      <c r="E71" s="54">
        <v>5</v>
      </c>
      <c r="F71" s="50"/>
    </row>
    <row r="72" spans="2:6" x14ac:dyDescent="0.3">
      <c r="B72" s="55" t="s">
        <v>188</v>
      </c>
      <c r="C72" s="55" t="s">
        <v>228</v>
      </c>
      <c r="D72" s="55" t="s">
        <v>186</v>
      </c>
      <c r="E72" s="56">
        <v>4.9779999999999998</v>
      </c>
      <c r="F72" s="50"/>
    </row>
    <row r="73" spans="2:6" x14ac:dyDescent="0.3">
      <c r="B73" s="53" t="s">
        <v>188</v>
      </c>
      <c r="C73" s="53" t="s">
        <v>229</v>
      </c>
      <c r="D73" s="53" t="s">
        <v>186</v>
      </c>
      <c r="E73" s="54">
        <v>4.8899999999999997</v>
      </c>
      <c r="F73" s="50"/>
    </row>
    <row r="74" spans="2:6" x14ac:dyDescent="0.3">
      <c r="B74" s="55" t="s">
        <v>188</v>
      </c>
      <c r="C74" s="55" t="s">
        <v>230</v>
      </c>
      <c r="D74" s="55" t="s">
        <v>186</v>
      </c>
      <c r="E74" s="56">
        <v>4.2279999999999998</v>
      </c>
      <c r="F74" s="50"/>
    </row>
    <row r="75" spans="2:6" x14ac:dyDescent="0.3">
      <c r="B75" s="53" t="s">
        <v>188</v>
      </c>
      <c r="C75" s="53" t="s">
        <v>231</v>
      </c>
      <c r="D75" s="53" t="s">
        <v>186</v>
      </c>
      <c r="E75" s="54">
        <v>4</v>
      </c>
      <c r="F75" s="50"/>
    </row>
    <row r="76" spans="2:6" x14ac:dyDescent="0.3">
      <c r="B76" s="55" t="s">
        <v>188</v>
      </c>
      <c r="C76" s="55" t="s">
        <v>232</v>
      </c>
      <c r="D76" s="55" t="s">
        <v>186</v>
      </c>
      <c r="E76" s="56">
        <v>4</v>
      </c>
      <c r="F76" s="50"/>
    </row>
    <row r="77" spans="2:6" x14ac:dyDescent="0.3">
      <c r="B77" s="53" t="s">
        <v>188</v>
      </c>
      <c r="C77" s="53" t="s">
        <v>233</v>
      </c>
      <c r="D77" s="53" t="s">
        <v>186</v>
      </c>
      <c r="E77" s="54">
        <v>4</v>
      </c>
      <c r="F77" s="50"/>
    </row>
    <row r="78" spans="2:6" x14ac:dyDescent="0.3">
      <c r="B78" s="55" t="s">
        <v>188</v>
      </c>
      <c r="C78" s="55" t="s">
        <v>234</v>
      </c>
      <c r="D78" s="55" t="s">
        <v>186</v>
      </c>
      <c r="E78" s="56">
        <v>4</v>
      </c>
      <c r="F78" s="50"/>
    </row>
    <row r="79" spans="2:6" x14ac:dyDescent="0.3">
      <c r="B79" s="53" t="s">
        <v>188</v>
      </c>
      <c r="C79" s="53" t="s">
        <v>235</v>
      </c>
      <c r="D79" s="53" t="s">
        <v>186</v>
      </c>
      <c r="E79" s="54">
        <v>4</v>
      </c>
      <c r="F79" s="50"/>
    </row>
    <row r="80" spans="2:6" x14ac:dyDescent="0.3">
      <c r="B80" s="55" t="s">
        <v>188</v>
      </c>
      <c r="C80" s="55" t="s">
        <v>236</v>
      </c>
      <c r="D80" s="55" t="s">
        <v>186</v>
      </c>
      <c r="E80" s="56">
        <v>4</v>
      </c>
      <c r="F80" s="50"/>
    </row>
    <row r="81" spans="2:6" x14ac:dyDescent="0.3">
      <c r="B81" s="53" t="s">
        <v>188</v>
      </c>
      <c r="C81" s="53" t="s">
        <v>237</v>
      </c>
      <c r="D81" s="53" t="s">
        <v>186</v>
      </c>
      <c r="E81" s="54">
        <v>3.964</v>
      </c>
      <c r="F81" s="50"/>
    </row>
    <row r="82" spans="2:6" x14ac:dyDescent="0.3">
      <c r="B82" s="55" t="s">
        <v>188</v>
      </c>
      <c r="C82" s="55" t="s">
        <v>238</v>
      </c>
      <c r="D82" s="55" t="s">
        <v>186</v>
      </c>
      <c r="E82" s="56">
        <v>3.76</v>
      </c>
      <c r="F82" s="50"/>
    </row>
    <row r="83" spans="2:6" x14ac:dyDescent="0.3">
      <c r="B83" s="53" t="s">
        <v>188</v>
      </c>
      <c r="C83" s="53" t="s">
        <v>239</v>
      </c>
      <c r="D83" s="53" t="s">
        <v>186</v>
      </c>
      <c r="E83" s="54">
        <v>3.7</v>
      </c>
      <c r="F83" s="50"/>
    </row>
    <row r="84" spans="2:6" x14ac:dyDescent="0.3">
      <c r="B84" s="55" t="s">
        <v>188</v>
      </c>
      <c r="C84" s="55" t="s">
        <v>240</v>
      </c>
      <c r="D84" s="55" t="s">
        <v>186</v>
      </c>
      <c r="E84" s="56">
        <v>3.375</v>
      </c>
      <c r="F84" s="50"/>
    </row>
    <row r="85" spans="2:6" x14ac:dyDescent="0.3">
      <c r="B85" s="53" t="s">
        <v>188</v>
      </c>
      <c r="C85" s="53" t="s">
        <v>241</v>
      </c>
      <c r="D85" s="53" t="s">
        <v>186</v>
      </c>
      <c r="E85" s="54">
        <v>3.1382710000000009</v>
      </c>
      <c r="F85" s="50"/>
    </row>
    <row r="86" spans="2:6" x14ac:dyDescent="0.3">
      <c r="B86" s="55" t="s">
        <v>188</v>
      </c>
      <c r="C86" s="55" t="s">
        <v>242</v>
      </c>
      <c r="D86" s="55" t="s">
        <v>186</v>
      </c>
      <c r="E86" s="56">
        <v>3.1</v>
      </c>
      <c r="F86" s="50"/>
    </row>
    <row r="87" spans="2:6" x14ac:dyDescent="0.3">
      <c r="B87" s="53" t="s">
        <v>188</v>
      </c>
      <c r="C87" s="53" t="s">
        <v>243</v>
      </c>
      <c r="D87" s="53" t="s">
        <v>186</v>
      </c>
      <c r="E87" s="54">
        <v>3.0634999999999999</v>
      </c>
      <c r="F87" s="50"/>
    </row>
    <row r="88" spans="2:6" x14ac:dyDescent="0.3">
      <c r="B88" s="55" t="s">
        <v>188</v>
      </c>
      <c r="C88" s="55" t="s">
        <v>244</v>
      </c>
      <c r="D88" s="55" t="s">
        <v>186</v>
      </c>
      <c r="E88" s="56">
        <v>2.998456</v>
      </c>
      <c r="F88" s="50"/>
    </row>
    <row r="89" spans="2:6" x14ac:dyDescent="0.3">
      <c r="B89" s="53" t="s">
        <v>188</v>
      </c>
      <c r="C89" s="53" t="s">
        <v>245</v>
      </c>
      <c r="D89" s="53" t="s">
        <v>186</v>
      </c>
      <c r="E89" s="54">
        <v>2.847</v>
      </c>
      <c r="F89" s="50"/>
    </row>
    <row r="90" spans="2:6" x14ac:dyDescent="0.3">
      <c r="B90" s="55" t="s">
        <v>188</v>
      </c>
      <c r="C90" s="55" t="s">
        <v>246</v>
      </c>
      <c r="D90" s="55" t="s">
        <v>187</v>
      </c>
      <c r="E90" s="56">
        <v>2.8227699999999993</v>
      </c>
      <c r="F90" s="50"/>
    </row>
    <row r="91" spans="2:6" x14ac:dyDescent="0.3">
      <c r="B91" s="53" t="s">
        <v>188</v>
      </c>
      <c r="C91" s="53" t="s">
        <v>247</v>
      </c>
      <c r="D91" s="53" t="s">
        <v>186</v>
      </c>
      <c r="E91" s="54">
        <v>2.8000000000000003</v>
      </c>
      <c r="F91" s="50"/>
    </row>
    <row r="92" spans="2:6" x14ac:dyDescent="0.3">
      <c r="B92" s="55" t="s">
        <v>188</v>
      </c>
      <c r="C92" s="55" t="s">
        <v>248</v>
      </c>
      <c r="D92" s="55" t="s">
        <v>186</v>
      </c>
      <c r="E92" s="56">
        <v>2.7733119999999998</v>
      </c>
      <c r="F92" s="50"/>
    </row>
    <row r="93" spans="2:6" x14ac:dyDescent="0.3">
      <c r="B93" s="53" t="s">
        <v>188</v>
      </c>
      <c r="C93" s="53" t="s">
        <v>249</v>
      </c>
      <c r="D93" s="53" t="s">
        <v>186</v>
      </c>
      <c r="E93" s="54">
        <v>2.673</v>
      </c>
      <c r="F93" s="50"/>
    </row>
    <row r="94" spans="2:6" x14ac:dyDescent="0.3">
      <c r="B94" s="55" t="s">
        <v>188</v>
      </c>
      <c r="C94" s="55" t="s">
        <v>250</v>
      </c>
      <c r="D94" s="55" t="s">
        <v>186</v>
      </c>
      <c r="E94" s="56">
        <v>2.61</v>
      </c>
      <c r="F94" s="50"/>
    </row>
    <row r="95" spans="2:6" x14ac:dyDescent="0.3">
      <c r="B95" s="53" t="s">
        <v>188</v>
      </c>
      <c r="C95" s="53" t="s">
        <v>251</v>
      </c>
      <c r="D95" s="53" t="s">
        <v>186</v>
      </c>
      <c r="E95" s="54">
        <v>2.61</v>
      </c>
      <c r="F95" s="50"/>
    </row>
    <row r="96" spans="2:6" x14ac:dyDescent="0.3">
      <c r="B96" s="55" t="s">
        <v>188</v>
      </c>
      <c r="C96" s="55" t="s">
        <v>252</v>
      </c>
      <c r="D96" s="55" t="s">
        <v>186</v>
      </c>
      <c r="E96" s="56">
        <v>2.5</v>
      </c>
      <c r="F96" s="50"/>
    </row>
    <row r="97" spans="2:6" x14ac:dyDescent="0.3">
      <c r="B97" s="53" t="s">
        <v>188</v>
      </c>
      <c r="C97" s="53" t="s">
        <v>253</v>
      </c>
      <c r="D97" s="53" t="s">
        <v>186</v>
      </c>
      <c r="E97" s="54">
        <v>2.5</v>
      </c>
      <c r="F97" s="50"/>
    </row>
    <row r="98" spans="2:6" x14ac:dyDescent="0.3">
      <c r="B98" s="55" t="s">
        <v>188</v>
      </c>
      <c r="C98" s="55" t="s">
        <v>254</v>
      </c>
      <c r="D98" s="55" t="s">
        <v>186</v>
      </c>
      <c r="E98" s="56">
        <v>2.5</v>
      </c>
      <c r="F98" s="50"/>
    </row>
    <row r="99" spans="2:6" x14ac:dyDescent="0.3">
      <c r="B99" s="53" t="s">
        <v>188</v>
      </c>
      <c r="C99" s="53" t="s">
        <v>255</v>
      </c>
      <c r="D99" s="53" t="s">
        <v>186</v>
      </c>
      <c r="E99" s="54">
        <v>2.5</v>
      </c>
      <c r="F99" s="50"/>
    </row>
    <row r="100" spans="2:6" x14ac:dyDescent="0.3">
      <c r="B100" s="55" t="s">
        <v>188</v>
      </c>
      <c r="C100" s="55" t="s">
        <v>256</v>
      </c>
      <c r="D100" s="55" t="s">
        <v>186</v>
      </c>
      <c r="E100" s="56">
        <v>2.5</v>
      </c>
      <c r="F100" s="50"/>
    </row>
    <row r="101" spans="2:6" x14ac:dyDescent="0.3">
      <c r="B101" s="53" t="s">
        <v>188</v>
      </c>
      <c r="C101" s="53" t="s">
        <v>257</v>
      </c>
      <c r="D101" s="53" t="s">
        <v>186</v>
      </c>
      <c r="E101" s="54">
        <v>2.407</v>
      </c>
      <c r="F101" s="50"/>
    </row>
    <row r="102" spans="2:6" x14ac:dyDescent="0.3">
      <c r="B102" s="55" t="s">
        <v>188</v>
      </c>
      <c r="C102" s="55" t="s">
        <v>258</v>
      </c>
      <c r="D102" s="55" t="s">
        <v>186</v>
      </c>
      <c r="E102" s="56">
        <v>2.2010000000000001</v>
      </c>
      <c r="F102" s="50"/>
    </row>
    <row r="103" spans="2:6" x14ac:dyDescent="0.3">
      <c r="B103" s="53" t="s">
        <v>188</v>
      </c>
      <c r="C103" s="53" t="s">
        <v>259</v>
      </c>
      <c r="D103" s="53" t="s">
        <v>186</v>
      </c>
      <c r="E103" s="54">
        <v>2.1675</v>
      </c>
      <c r="F103" s="50"/>
    </row>
    <row r="104" spans="2:6" x14ac:dyDescent="0.3">
      <c r="B104" s="55" t="s">
        <v>188</v>
      </c>
      <c r="C104" s="55" t="s">
        <v>260</v>
      </c>
      <c r="D104" s="55" t="s">
        <v>186</v>
      </c>
      <c r="E104" s="56">
        <v>1.5</v>
      </c>
      <c r="F104" s="50"/>
    </row>
    <row r="105" spans="2:6" x14ac:dyDescent="0.3">
      <c r="B105" s="53" t="s">
        <v>188</v>
      </c>
      <c r="C105" s="53" t="s">
        <v>261</v>
      </c>
      <c r="D105" s="53" t="s">
        <v>186</v>
      </c>
      <c r="E105" s="54">
        <v>1.5</v>
      </c>
      <c r="F105" s="50"/>
    </row>
    <row r="106" spans="2:6" x14ac:dyDescent="0.3">
      <c r="B106" s="55" t="s">
        <v>188</v>
      </c>
      <c r="C106" s="55" t="s">
        <v>262</v>
      </c>
      <c r="D106" s="55" t="s">
        <v>186</v>
      </c>
      <c r="E106" s="56">
        <v>1.37</v>
      </c>
      <c r="F106" s="50"/>
    </row>
    <row r="107" spans="2:6" x14ac:dyDescent="0.3">
      <c r="B107" s="53" t="s">
        <v>188</v>
      </c>
      <c r="C107" s="53" t="s">
        <v>263</v>
      </c>
      <c r="D107" s="53" t="s">
        <v>186</v>
      </c>
      <c r="E107" s="54">
        <v>1</v>
      </c>
      <c r="F107" s="50"/>
    </row>
    <row r="108" spans="2:6" x14ac:dyDescent="0.3">
      <c r="B108" s="55" t="s">
        <v>188</v>
      </c>
      <c r="C108" s="55" t="s">
        <v>264</v>
      </c>
      <c r="D108" s="55" t="s">
        <v>186</v>
      </c>
      <c r="E108" s="56">
        <v>1</v>
      </c>
      <c r="F108" s="50"/>
    </row>
    <row r="109" spans="2:6" x14ac:dyDescent="0.3">
      <c r="B109" s="53" t="s">
        <v>188</v>
      </c>
      <c r="C109" s="53" t="s">
        <v>265</v>
      </c>
      <c r="D109" s="53" t="s">
        <v>186</v>
      </c>
      <c r="E109" s="54">
        <v>0.91408900000000004</v>
      </c>
      <c r="F109" s="50"/>
    </row>
    <row r="110" spans="2:6" x14ac:dyDescent="0.3">
      <c r="B110" s="55" t="s">
        <v>188</v>
      </c>
      <c r="C110" s="55" t="s">
        <v>266</v>
      </c>
      <c r="D110" s="55" t="s">
        <v>186</v>
      </c>
      <c r="E110" s="56">
        <v>0.82399999999999995</v>
      </c>
      <c r="F110" s="50"/>
    </row>
    <row r="111" spans="2:6" x14ac:dyDescent="0.3">
      <c r="B111" s="53" t="s">
        <v>188</v>
      </c>
      <c r="C111" s="53" t="s">
        <v>267</v>
      </c>
      <c r="D111" s="53" t="s">
        <v>186</v>
      </c>
      <c r="E111" s="54">
        <v>0.80420700000000012</v>
      </c>
      <c r="F111" s="50"/>
    </row>
    <row r="112" spans="2:6" x14ac:dyDescent="0.3">
      <c r="B112" s="55" t="s">
        <v>188</v>
      </c>
      <c r="C112" s="55" t="s">
        <v>268</v>
      </c>
      <c r="D112" s="55" t="s">
        <v>186</v>
      </c>
      <c r="E112" s="56">
        <v>0.53500000000000003</v>
      </c>
      <c r="F112" s="50"/>
    </row>
    <row r="113" spans="2:6" x14ac:dyDescent="0.3">
      <c r="B113" s="53" t="s">
        <v>188</v>
      </c>
      <c r="C113" s="53" t="s">
        <v>269</v>
      </c>
      <c r="D113" s="53" t="s">
        <v>186</v>
      </c>
      <c r="E113" s="54">
        <v>0.53500000000000003</v>
      </c>
      <c r="F113" s="50"/>
    </row>
    <row r="114" spans="2:6" x14ac:dyDescent="0.3">
      <c r="B114" s="55" t="s">
        <v>188</v>
      </c>
      <c r="C114" s="55" t="s">
        <v>270</v>
      </c>
      <c r="D114" s="55" t="s">
        <v>186</v>
      </c>
      <c r="E114" s="56">
        <v>0.5</v>
      </c>
      <c r="F114" s="50"/>
    </row>
    <row r="115" spans="2:6" x14ac:dyDescent="0.3">
      <c r="B115" s="53" t="s">
        <v>188</v>
      </c>
      <c r="C115" s="53" t="s">
        <v>271</v>
      </c>
      <c r="D115" s="53" t="s">
        <v>186</v>
      </c>
      <c r="E115" s="54">
        <v>0.5</v>
      </c>
      <c r="F115" s="50"/>
    </row>
    <row r="116" spans="2:6" x14ac:dyDescent="0.3">
      <c r="B116" s="55" t="s">
        <v>188</v>
      </c>
      <c r="C116" s="55" t="s">
        <v>272</v>
      </c>
      <c r="D116" s="55" t="s">
        <v>186</v>
      </c>
      <c r="E116" s="56">
        <v>0.5</v>
      </c>
      <c r="F116" s="50"/>
    </row>
    <row r="117" spans="2:6" x14ac:dyDescent="0.3">
      <c r="B117" s="53" t="s">
        <v>188</v>
      </c>
      <c r="C117" s="53" t="s">
        <v>273</v>
      </c>
      <c r="D117" s="53" t="s">
        <v>186</v>
      </c>
      <c r="E117" s="54">
        <v>0.5</v>
      </c>
      <c r="F117" s="50"/>
    </row>
    <row r="118" spans="2:6" x14ac:dyDescent="0.3">
      <c r="B118" s="55" t="s">
        <v>188</v>
      </c>
      <c r="C118" s="55" t="s">
        <v>274</v>
      </c>
      <c r="D118" s="55" t="s">
        <v>186</v>
      </c>
      <c r="E118" s="56">
        <v>0.5</v>
      </c>
      <c r="F118" s="50"/>
    </row>
    <row r="119" spans="2:6" x14ac:dyDescent="0.3">
      <c r="B119" s="53" t="s">
        <v>188</v>
      </c>
      <c r="C119" s="53" t="s">
        <v>275</v>
      </c>
      <c r="D119" s="53" t="s">
        <v>186</v>
      </c>
      <c r="E119" s="54">
        <v>0.46144700000000005</v>
      </c>
      <c r="F119" s="50"/>
    </row>
    <row r="120" spans="2:6" x14ac:dyDescent="0.3">
      <c r="B120" s="55" t="s">
        <v>188</v>
      </c>
      <c r="C120" s="55" t="s">
        <v>276</v>
      </c>
      <c r="D120" s="55" t="s">
        <v>186</v>
      </c>
      <c r="E120" s="56">
        <v>0.34644999999999998</v>
      </c>
      <c r="F120" s="50"/>
    </row>
    <row r="121" spans="2:6" x14ac:dyDescent="0.3">
      <c r="B121" s="53" t="s">
        <v>188</v>
      </c>
      <c r="C121" s="53" t="s">
        <v>277</v>
      </c>
      <c r="D121" s="53" t="s">
        <v>186</v>
      </c>
      <c r="E121" s="54">
        <v>0.25</v>
      </c>
      <c r="F121" s="50"/>
    </row>
    <row r="122" spans="2:6" x14ac:dyDescent="0.3">
      <c r="B122" s="55" t="s">
        <v>188</v>
      </c>
      <c r="C122" s="55" t="s">
        <v>278</v>
      </c>
      <c r="D122" s="55" t="s">
        <v>186</v>
      </c>
      <c r="E122" s="56">
        <v>0.25</v>
      </c>
      <c r="F122" s="50"/>
    </row>
    <row r="123" spans="2:6" x14ac:dyDescent="0.3">
      <c r="B123" s="53" t="s">
        <v>188</v>
      </c>
      <c r="C123" s="53" t="s">
        <v>279</v>
      </c>
      <c r="D123" s="53" t="s">
        <v>186</v>
      </c>
      <c r="E123" s="54">
        <v>0.248</v>
      </c>
      <c r="F123" s="50"/>
    </row>
    <row r="124" spans="2:6" x14ac:dyDescent="0.3">
      <c r="B124" s="55" t="s">
        <v>188</v>
      </c>
      <c r="C124" s="55" t="s">
        <v>280</v>
      </c>
      <c r="D124" s="55" t="s">
        <v>186</v>
      </c>
      <c r="E124" s="56">
        <v>0.125</v>
      </c>
      <c r="F124" s="50"/>
    </row>
    <row r="125" spans="2:6" x14ac:dyDescent="0.3">
      <c r="B125" s="53" t="s">
        <v>188</v>
      </c>
      <c r="C125" s="53" t="s">
        <v>281</v>
      </c>
      <c r="D125" s="53" t="s">
        <v>186</v>
      </c>
      <c r="E125" s="54">
        <v>0.1</v>
      </c>
      <c r="F125" s="50"/>
    </row>
    <row r="126" spans="2:6" x14ac:dyDescent="0.3">
      <c r="B126" s="55" t="s">
        <v>188</v>
      </c>
      <c r="C126" s="55" t="s">
        <v>282</v>
      </c>
      <c r="D126" s="55" t="s">
        <v>186</v>
      </c>
      <c r="E126" s="56">
        <v>4.4999999999999998E-2</v>
      </c>
      <c r="F126" s="50"/>
    </row>
    <row r="127" spans="2:6" x14ac:dyDescent="0.3">
      <c r="B127" s="53" t="s">
        <v>188</v>
      </c>
      <c r="C127" s="53" t="s">
        <v>283</v>
      </c>
      <c r="D127" s="53" t="s">
        <v>186</v>
      </c>
      <c r="E127" s="54">
        <v>1.4999999999999999E-2</v>
      </c>
      <c r="F127" s="50"/>
    </row>
    <row r="128" spans="2:6" x14ac:dyDescent="0.3">
      <c r="B128" s="55" t="s">
        <v>188</v>
      </c>
      <c r="C128" s="55" t="s">
        <v>284</v>
      </c>
      <c r="D128" s="55" t="s">
        <v>186</v>
      </c>
      <c r="E128" s="56">
        <v>1.4999999999999999E-2</v>
      </c>
      <c r="F128" s="50"/>
    </row>
    <row r="129" spans="2:7" x14ac:dyDescent="0.3">
      <c r="B129" s="53" t="s">
        <v>188</v>
      </c>
      <c r="C129" s="53" t="s">
        <v>285</v>
      </c>
      <c r="D129" s="53" t="s">
        <v>186</v>
      </c>
      <c r="E129" s="54">
        <v>1.4999999999999999E-2</v>
      </c>
      <c r="F129" s="50"/>
    </row>
    <row r="130" spans="2:7" x14ac:dyDescent="0.3">
      <c r="B130" s="55" t="s">
        <v>188</v>
      </c>
      <c r="C130" s="55" t="s">
        <v>286</v>
      </c>
      <c r="D130" s="55" t="s">
        <v>186</v>
      </c>
      <c r="E130" s="56">
        <v>1.4999999999999999E-2</v>
      </c>
      <c r="F130" s="50"/>
    </row>
    <row r="131" spans="2:7" x14ac:dyDescent="0.3">
      <c r="B131" s="53" t="s">
        <v>188</v>
      </c>
      <c r="C131" s="53" t="s">
        <v>287</v>
      </c>
      <c r="D131" s="53" t="s">
        <v>186</v>
      </c>
      <c r="E131" s="54">
        <v>1.4999999999999999E-2</v>
      </c>
      <c r="F131" s="50"/>
    </row>
    <row r="132" spans="2:7" x14ac:dyDescent="0.3">
      <c r="B132" s="55" t="s">
        <v>188</v>
      </c>
      <c r="C132" s="55" t="s">
        <v>288</v>
      </c>
      <c r="D132" s="55" t="s">
        <v>186</v>
      </c>
      <c r="E132" s="56">
        <v>1.4999999999999999E-2</v>
      </c>
      <c r="F132" s="50"/>
    </row>
    <row r="133" spans="2:7" x14ac:dyDescent="0.3">
      <c r="B133" s="53" t="s">
        <v>188</v>
      </c>
      <c r="C133" s="53" t="s">
        <v>289</v>
      </c>
      <c r="D133" s="53" t="s">
        <v>186</v>
      </c>
      <c r="E133" s="54">
        <v>0.01</v>
      </c>
      <c r="F133" s="50"/>
    </row>
    <row r="134" spans="2:7" x14ac:dyDescent="0.3">
      <c r="B134" s="55" t="s">
        <v>188</v>
      </c>
      <c r="C134" s="55" t="s">
        <v>290</v>
      </c>
      <c r="D134" s="55" t="s">
        <v>186</v>
      </c>
      <c r="E134" s="56">
        <v>0.01</v>
      </c>
      <c r="F134" s="50"/>
    </row>
    <row r="135" spans="2:7" x14ac:dyDescent="0.3">
      <c r="B135" s="53" t="s">
        <v>188</v>
      </c>
      <c r="C135" s="53" t="s">
        <v>291</v>
      </c>
      <c r="D135" s="53" t="s">
        <v>186</v>
      </c>
      <c r="E135" s="54">
        <v>0.01</v>
      </c>
      <c r="F135" s="50"/>
    </row>
    <row r="136" spans="2:7" x14ac:dyDescent="0.3">
      <c r="B136" s="55" t="s">
        <v>188</v>
      </c>
      <c r="C136" s="55" t="s">
        <v>292</v>
      </c>
      <c r="D136" s="55" t="s">
        <v>186</v>
      </c>
      <c r="E136" s="56">
        <v>0.01</v>
      </c>
      <c r="F136" s="50"/>
    </row>
    <row r="137" spans="2:7" x14ac:dyDescent="0.3">
      <c r="B137" s="57"/>
      <c r="C137" s="57" t="s">
        <v>293</v>
      </c>
      <c r="D137" s="57"/>
      <c r="E137" s="58">
        <f>SUM(E7:E136)</f>
        <v>147576.12976800013</v>
      </c>
      <c r="F137" s="59"/>
      <c r="G137" s="60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9036-0451-4156-ACE7-50AC0D43E9B3}">
  <dimension ref="B2:G61"/>
  <sheetViews>
    <sheetView showGridLines="0" zoomScale="80" zoomScaleNormal="80" workbookViewId="0">
      <selection activeCell="B15" sqref="B15"/>
    </sheetView>
  </sheetViews>
  <sheetFormatPr baseColWidth="10" defaultColWidth="11.453125" defaultRowHeight="12" x14ac:dyDescent="0.3"/>
  <cols>
    <col min="1" max="1" width="5.36328125" style="3" customWidth="1"/>
    <col min="2" max="2" width="10.36328125" style="3" customWidth="1"/>
    <col min="3" max="3" width="62.6328125" style="3" bestFit="1" customWidth="1"/>
    <col min="4" max="4" width="13.453125" style="3" bestFit="1" customWidth="1"/>
    <col min="5" max="5" width="18" style="44" bestFit="1" customWidth="1"/>
    <col min="6" max="16384" width="11.453125" style="3"/>
  </cols>
  <sheetData>
    <row r="2" spans="2:5" ht="19" x14ac:dyDescent="0.45">
      <c r="B2" s="1" t="s">
        <v>294</v>
      </c>
    </row>
    <row r="4" spans="2:5" x14ac:dyDescent="0.3">
      <c r="B4" s="61" t="s">
        <v>295</v>
      </c>
    </row>
    <row r="5" spans="2:5" x14ac:dyDescent="0.3">
      <c r="B5" s="61" t="s">
        <v>296</v>
      </c>
    </row>
    <row r="6" spans="2:5" ht="24.5" thickBot="1" x14ac:dyDescent="0.35">
      <c r="B6" s="62" t="s">
        <v>181</v>
      </c>
      <c r="C6" s="62" t="s">
        <v>297</v>
      </c>
      <c r="D6" s="62" t="s">
        <v>183</v>
      </c>
      <c r="E6" s="47" t="s">
        <v>184</v>
      </c>
    </row>
    <row r="7" spans="2:5" x14ac:dyDescent="0.3">
      <c r="B7" s="53" t="s">
        <v>185</v>
      </c>
      <c r="C7" s="53" t="s">
        <v>96</v>
      </c>
      <c r="D7" s="53" t="s">
        <v>186</v>
      </c>
      <c r="E7" s="54">
        <v>32969.16893</v>
      </c>
    </row>
    <row r="8" spans="2:5" x14ac:dyDescent="0.3">
      <c r="B8" s="55" t="s">
        <v>185</v>
      </c>
      <c r="C8" s="55" t="s">
        <v>71</v>
      </c>
      <c r="D8" s="55" t="s">
        <v>186</v>
      </c>
      <c r="E8" s="56">
        <v>23284.792020000001</v>
      </c>
    </row>
    <row r="9" spans="2:5" x14ac:dyDescent="0.3">
      <c r="B9" s="53" t="s">
        <v>185</v>
      </c>
      <c r="C9" s="53" t="s">
        <v>97</v>
      </c>
      <c r="D9" s="53" t="s">
        <v>186</v>
      </c>
      <c r="E9" s="54">
        <v>18671.454283999999</v>
      </c>
    </row>
    <row r="10" spans="2:5" x14ac:dyDescent="0.3">
      <c r="B10" s="55" t="s">
        <v>185</v>
      </c>
      <c r="C10" s="55" t="s">
        <v>111</v>
      </c>
      <c r="D10" s="55" t="s">
        <v>186</v>
      </c>
      <c r="E10" s="56">
        <v>15082.422419</v>
      </c>
    </row>
    <row r="11" spans="2:5" x14ac:dyDescent="0.3">
      <c r="B11" s="53" t="s">
        <v>185</v>
      </c>
      <c r="C11" s="53" t="s">
        <v>102</v>
      </c>
      <c r="D11" s="53" t="s">
        <v>186</v>
      </c>
      <c r="E11" s="54">
        <v>12709.638503</v>
      </c>
    </row>
    <row r="12" spans="2:5" x14ac:dyDescent="0.3">
      <c r="B12" s="55" t="s">
        <v>185</v>
      </c>
      <c r="C12" s="55" t="s">
        <v>98</v>
      </c>
      <c r="D12" s="55" t="s">
        <v>186</v>
      </c>
      <c r="E12" s="56">
        <v>6616.8961440000003</v>
      </c>
    </row>
    <row r="13" spans="2:5" x14ac:dyDescent="0.3">
      <c r="B13" s="53" t="s">
        <v>185</v>
      </c>
      <c r="C13" s="53" t="s">
        <v>98</v>
      </c>
      <c r="D13" s="53" t="s">
        <v>187</v>
      </c>
      <c r="E13" s="54">
        <v>6204.4100280000002</v>
      </c>
    </row>
    <row r="14" spans="2:5" x14ac:dyDescent="0.3">
      <c r="B14" s="55" t="s">
        <v>185</v>
      </c>
      <c r="C14" s="55" t="s">
        <v>93</v>
      </c>
      <c r="D14" s="55" t="s">
        <v>187</v>
      </c>
      <c r="E14" s="56">
        <v>5911.088178</v>
      </c>
    </row>
    <row r="15" spans="2:5" x14ac:dyDescent="0.3">
      <c r="B15" s="53" t="s">
        <v>185</v>
      </c>
      <c r="C15" s="53" t="s">
        <v>114</v>
      </c>
      <c r="D15" s="53" t="s">
        <v>186</v>
      </c>
      <c r="E15" s="54">
        <v>5871.3175369999999</v>
      </c>
    </row>
    <row r="16" spans="2:5" x14ac:dyDescent="0.3">
      <c r="B16" s="55" t="s">
        <v>185</v>
      </c>
      <c r="C16" s="55" t="s">
        <v>103</v>
      </c>
      <c r="D16" s="55" t="s">
        <v>187</v>
      </c>
      <c r="E16" s="56">
        <v>4944.5946400000003</v>
      </c>
    </row>
    <row r="17" spans="2:5" x14ac:dyDescent="0.3">
      <c r="B17" s="53" t="s">
        <v>185</v>
      </c>
      <c r="C17" s="53" t="s">
        <v>117</v>
      </c>
      <c r="D17" s="53" t="s">
        <v>186</v>
      </c>
      <c r="E17" s="54">
        <v>4571.4066570000005</v>
      </c>
    </row>
    <row r="18" spans="2:5" x14ac:dyDescent="0.3">
      <c r="B18" s="55" t="s">
        <v>185</v>
      </c>
      <c r="C18" s="55" t="s">
        <v>97</v>
      </c>
      <c r="D18" s="55" t="s">
        <v>187</v>
      </c>
      <c r="E18" s="56">
        <v>2664.9927210000001</v>
      </c>
    </row>
    <row r="19" spans="2:5" x14ac:dyDescent="0.3">
      <c r="B19" s="53" t="s">
        <v>185</v>
      </c>
      <c r="C19" s="53" t="s">
        <v>86</v>
      </c>
      <c r="D19" s="53" t="s">
        <v>186</v>
      </c>
      <c r="E19" s="54">
        <v>2008.2101620000001</v>
      </c>
    </row>
    <row r="20" spans="2:5" x14ac:dyDescent="0.3">
      <c r="B20" s="55" t="s">
        <v>185</v>
      </c>
      <c r="C20" s="55" t="s">
        <v>103</v>
      </c>
      <c r="D20" s="55" t="s">
        <v>186</v>
      </c>
      <c r="E20" s="56">
        <v>1800.2387209999999</v>
      </c>
    </row>
    <row r="21" spans="2:5" x14ac:dyDescent="0.3">
      <c r="B21" s="53" t="s">
        <v>185</v>
      </c>
      <c r="C21" s="53" t="s">
        <v>104</v>
      </c>
      <c r="D21" s="53" t="s">
        <v>186</v>
      </c>
      <c r="E21" s="54">
        <v>398.38008100000002</v>
      </c>
    </row>
    <row r="22" spans="2:5" x14ac:dyDescent="0.3">
      <c r="B22" s="55" t="s">
        <v>185</v>
      </c>
      <c r="C22" s="55" t="s">
        <v>80</v>
      </c>
      <c r="D22" s="55" t="s">
        <v>187</v>
      </c>
      <c r="E22" s="56">
        <v>307.818398</v>
      </c>
    </row>
    <row r="23" spans="2:5" x14ac:dyDescent="0.3">
      <c r="B23" s="53" t="s">
        <v>185</v>
      </c>
      <c r="C23" s="53" t="s">
        <v>106</v>
      </c>
      <c r="D23" s="53" t="s">
        <v>186</v>
      </c>
      <c r="E23" s="54">
        <v>285.82364699999999</v>
      </c>
    </row>
    <row r="24" spans="2:5" x14ac:dyDescent="0.3">
      <c r="B24" s="55" t="s">
        <v>185</v>
      </c>
      <c r="C24" s="55" t="s">
        <v>110</v>
      </c>
      <c r="D24" s="55" t="s">
        <v>186</v>
      </c>
      <c r="E24" s="56">
        <v>255.286317</v>
      </c>
    </row>
    <row r="25" spans="2:5" x14ac:dyDescent="0.3">
      <c r="B25" s="53" t="s">
        <v>185</v>
      </c>
      <c r="C25" s="53" t="s">
        <v>105</v>
      </c>
      <c r="D25" s="53" t="s">
        <v>186</v>
      </c>
      <c r="E25" s="54">
        <v>183.877971</v>
      </c>
    </row>
    <row r="26" spans="2:5" x14ac:dyDescent="0.3">
      <c r="B26" s="55" t="s">
        <v>185</v>
      </c>
      <c r="C26" s="55" t="s">
        <v>96</v>
      </c>
      <c r="D26" s="55" t="s">
        <v>187</v>
      </c>
      <c r="E26" s="56">
        <v>164.28018399999999</v>
      </c>
    </row>
    <row r="27" spans="2:5" x14ac:dyDescent="0.3">
      <c r="B27" s="53" t="s">
        <v>185</v>
      </c>
      <c r="C27" s="53" t="s">
        <v>94</v>
      </c>
      <c r="D27" s="53" t="s">
        <v>186</v>
      </c>
      <c r="E27" s="54">
        <v>138.402221</v>
      </c>
    </row>
    <row r="28" spans="2:5" x14ac:dyDescent="0.3">
      <c r="B28" s="55" t="s">
        <v>185</v>
      </c>
      <c r="C28" s="55" t="s">
        <v>133</v>
      </c>
      <c r="D28" s="55" t="s">
        <v>186</v>
      </c>
      <c r="E28" s="56">
        <v>91.403694999999999</v>
      </c>
    </row>
    <row r="29" spans="2:5" x14ac:dyDescent="0.3">
      <c r="B29" s="53" t="s">
        <v>185</v>
      </c>
      <c r="C29" s="53" t="s">
        <v>100</v>
      </c>
      <c r="D29" s="53" t="s">
        <v>187</v>
      </c>
      <c r="E29" s="54">
        <v>90.661092999999994</v>
      </c>
    </row>
    <row r="30" spans="2:5" x14ac:dyDescent="0.3">
      <c r="B30" s="55" t="s">
        <v>185</v>
      </c>
      <c r="C30" s="55" t="s">
        <v>75</v>
      </c>
      <c r="D30" s="55" t="s">
        <v>186</v>
      </c>
      <c r="E30" s="56">
        <v>57.251899999999999</v>
      </c>
    </row>
    <row r="31" spans="2:5" x14ac:dyDescent="0.3">
      <c r="B31" s="53" t="s">
        <v>185</v>
      </c>
      <c r="C31" s="53" t="s">
        <v>114</v>
      </c>
      <c r="D31" s="53" t="s">
        <v>187</v>
      </c>
      <c r="E31" s="54">
        <v>47.061228999999997</v>
      </c>
    </row>
    <row r="32" spans="2:5" x14ac:dyDescent="0.3">
      <c r="B32" s="55" t="s">
        <v>185</v>
      </c>
      <c r="C32" s="55" t="s">
        <v>73</v>
      </c>
      <c r="D32" s="55" t="s">
        <v>186</v>
      </c>
      <c r="E32" s="56">
        <v>33.125</v>
      </c>
    </row>
    <row r="33" spans="2:5" x14ac:dyDescent="0.3">
      <c r="B33" s="53" t="s">
        <v>185</v>
      </c>
      <c r="C33" s="53" t="s">
        <v>106</v>
      </c>
      <c r="D33" s="53" t="s">
        <v>187</v>
      </c>
      <c r="E33" s="54">
        <v>23.890885999999998</v>
      </c>
    </row>
    <row r="34" spans="2:5" x14ac:dyDescent="0.3">
      <c r="B34" s="55" t="s">
        <v>185</v>
      </c>
      <c r="C34" s="55" t="s">
        <v>117</v>
      </c>
      <c r="D34" s="55" t="s">
        <v>187</v>
      </c>
      <c r="E34" s="56">
        <v>18.995242999999999</v>
      </c>
    </row>
    <row r="35" spans="2:5" x14ac:dyDescent="0.3">
      <c r="B35" s="53" t="s">
        <v>185</v>
      </c>
      <c r="C35" s="53" t="s">
        <v>105</v>
      </c>
      <c r="D35" s="53" t="s">
        <v>187</v>
      </c>
      <c r="E35" s="54">
        <v>16.311968</v>
      </c>
    </row>
    <row r="36" spans="2:5" x14ac:dyDescent="0.3">
      <c r="B36" s="55" t="s">
        <v>185</v>
      </c>
      <c r="C36" s="55" t="s">
        <v>110</v>
      </c>
      <c r="D36" s="55" t="s">
        <v>187</v>
      </c>
      <c r="E36" s="56">
        <v>8.6421659999999996</v>
      </c>
    </row>
    <row r="37" spans="2:5" x14ac:dyDescent="0.3">
      <c r="B37" s="53" t="s">
        <v>185</v>
      </c>
      <c r="C37" s="53" t="s">
        <v>120</v>
      </c>
      <c r="D37" s="53" t="s">
        <v>186</v>
      </c>
      <c r="E37" s="54">
        <v>8.5959979999999998</v>
      </c>
    </row>
    <row r="38" spans="2:5" x14ac:dyDescent="0.3">
      <c r="B38" s="55" t="s">
        <v>185</v>
      </c>
      <c r="C38" s="55" t="s">
        <v>121</v>
      </c>
      <c r="D38" s="55" t="s">
        <v>186</v>
      </c>
      <c r="E38" s="56">
        <v>4.1481849999999998</v>
      </c>
    </row>
    <row r="39" spans="2:5" x14ac:dyDescent="0.3">
      <c r="B39" s="53" t="s">
        <v>188</v>
      </c>
      <c r="C39" s="53" t="s">
        <v>97</v>
      </c>
      <c r="D39" s="53" t="s">
        <v>186</v>
      </c>
      <c r="E39" s="54">
        <v>488.40408699999983</v>
      </c>
    </row>
    <row r="40" spans="2:5" x14ac:dyDescent="0.3">
      <c r="B40" s="55" t="s">
        <v>188</v>
      </c>
      <c r="C40" s="55" t="s">
        <v>96</v>
      </c>
      <c r="D40" s="55" t="s">
        <v>186</v>
      </c>
      <c r="E40" s="56">
        <v>451.74854800000003</v>
      </c>
    </row>
    <row r="41" spans="2:5" x14ac:dyDescent="0.3">
      <c r="B41" s="53" t="s">
        <v>188</v>
      </c>
      <c r="C41" s="53" t="s">
        <v>102</v>
      </c>
      <c r="D41" s="53" t="s">
        <v>186</v>
      </c>
      <c r="E41" s="54">
        <v>254.37043900000003</v>
      </c>
    </row>
    <row r="42" spans="2:5" x14ac:dyDescent="0.3">
      <c r="B42" s="55" t="s">
        <v>188</v>
      </c>
      <c r="C42" s="55" t="s">
        <v>298</v>
      </c>
      <c r="D42" s="55" t="s">
        <v>186</v>
      </c>
      <c r="E42" s="56">
        <v>231.04306699999992</v>
      </c>
    </row>
    <row r="43" spans="2:5" x14ac:dyDescent="0.3">
      <c r="B43" s="53" t="s">
        <v>188</v>
      </c>
      <c r="C43" s="53" t="s">
        <v>103</v>
      </c>
      <c r="D43" s="53" t="s">
        <v>186</v>
      </c>
      <c r="E43" s="54">
        <v>224.94416200000001</v>
      </c>
    </row>
    <row r="44" spans="2:5" x14ac:dyDescent="0.3">
      <c r="B44" s="55" t="s">
        <v>188</v>
      </c>
      <c r="C44" s="55" t="s">
        <v>299</v>
      </c>
      <c r="D44" s="55" t="s">
        <v>186</v>
      </c>
      <c r="E44" s="56">
        <v>146.34588600000001</v>
      </c>
    </row>
    <row r="45" spans="2:5" x14ac:dyDescent="0.3">
      <c r="B45" s="53" t="s">
        <v>188</v>
      </c>
      <c r="C45" s="53" t="s">
        <v>300</v>
      </c>
      <c r="D45" s="53" t="s">
        <v>186</v>
      </c>
      <c r="E45" s="54">
        <v>94.078620000000015</v>
      </c>
    </row>
    <row r="46" spans="2:5" x14ac:dyDescent="0.3">
      <c r="B46" s="55" t="s">
        <v>188</v>
      </c>
      <c r="C46" s="55" t="s">
        <v>73</v>
      </c>
      <c r="D46" s="55" t="s">
        <v>186</v>
      </c>
      <c r="E46" s="56">
        <v>69.186814999999996</v>
      </c>
    </row>
    <row r="47" spans="2:5" x14ac:dyDescent="0.3">
      <c r="B47" s="53" t="s">
        <v>188</v>
      </c>
      <c r="C47" s="53" t="s">
        <v>114</v>
      </c>
      <c r="D47" s="53" t="s">
        <v>186</v>
      </c>
      <c r="E47" s="54">
        <v>42.371946000000001</v>
      </c>
    </row>
    <row r="48" spans="2:5" x14ac:dyDescent="0.3">
      <c r="B48" s="55" t="s">
        <v>188</v>
      </c>
      <c r="C48" s="55" t="s">
        <v>105</v>
      </c>
      <c r="D48" s="55" t="s">
        <v>186</v>
      </c>
      <c r="E48" s="56">
        <v>31.185009000000012</v>
      </c>
    </row>
    <row r="49" spans="2:7" x14ac:dyDescent="0.3">
      <c r="B49" s="53" t="s">
        <v>188</v>
      </c>
      <c r="C49" s="53" t="s">
        <v>301</v>
      </c>
      <c r="D49" s="53" t="s">
        <v>186</v>
      </c>
      <c r="E49" s="54">
        <v>27.691419000000003</v>
      </c>
    </row>
    <row r="50" spans="2:7" x14ac:dyDescent="0.3">
      <c r="B50" s="55" t="s">
        <v>188</v>
      </c>
      <c r="C50" s="55" t="s">
        <v>110</v>
      </c>
      <c r="D50" s="55" t="s">
        <v>186</v>
      </c>
      <c r="E50" s="56">
        <v>26.144891999999999</v>
      </c>
    </row>
    <row r="51" spans="2:7" x14ac:dyDescent="0.3">
      <c r="B51" s="53" t="s">
        <v>188</v>
      </c>
      <c r="C51" s="53" t="s">
        <v>132</v>
      </c>
      <c r="D51" s="53" t="s">
        <v>186</v>
      </c>
      <c r="E51" s="54">
        <v>23.082499999999992</v>
      </c>
    </row>
    <row r="52" spans="2:7" x14ac:dyDescent="0.3">
      <c r="B52" s="55" t="s">
        <v>188</v>
      </c>
      <c r="C52" s="55" t="s">
        <v>97</v>
      </c>
      <c r="D52" s="55" t="s">
        <v>187</v>
      </c>
      <c r="E52" s="56">
        <v>7.7167399999999997</v>
      </c>
    </row>
    <row r="53" spans="2:7" x14ac:dyDescent="0.3">
      <c r="B53" s="53" t="s">
        <v>188</v>
      </c>
      <c r="C53" s="53" t="s">
        <v>302</v>
      </c>
      <c r="D53" s="53" t="s">
        <v>186</v>
      </c>
      <c r="E53" s="54">
        <v>5.3249999999999984</v>
      </c>
    </row>
    <row r="54" spans="2:7" x14ac:dyDescent="0.3">
      <c r="B54" s="55" t="s">
        <v>188</v>
      </c>
      <c r="C54" s="55" t="s">
        <v>303</v>
      </c>
      <c r="D54" s="55" t="s">
        <v>186</v>
      </c>
      <c r="E54" s="56">
        <v>2.3361229999999997</v>
      </c>
    </row>
    <row r="55" spans="2:7" x14ac:dyDescent="0.3">
      <c r="B55" s="53" t="s">
        <v>188</v>
      </c>
      <c r="C55" s="53" t="s">
        <v>104</v>
      </c>
      <c r="D55" s="53" t="s">
        <v>186</v>
      </c>
      <c r="E55" s="54">
        <v>1.6278239999999999</v>
      </c>
    </row>
    <row r="56" spans="2:7" x14ac:dyDescent="0.3">
      <c r="B56" s="55" t="s">
        <v>188</v>
      </c>
      <c r="C56" s="55" t="s">
        <v>121</v>
      </c>
      <c r="D56" s="55" t="s">
        <v>186</v>
      </c>
      <c r="E56" s="56">
        <v>1.508529</v>
      </c>
    </row>
    <row r="57" spans="2:7" x14ac:dyDescent="0.3">
      <c r="B57" s="53" t="s">
        <v>188</v>
      </c>
      <c r="C57" s="53" t="s">
        <v>105</v>
      </c>
      <c r="D57" s="53" t="s">
        <v>187</v>
      </c>
      <c r="E57" s="54">
        <v>1.4921899999999997</v>
      </c>
    </row>
    <row r="58" spans="2:7" x14ac:dyDescent="0.3">
      <c r="B58" s="55" t="s">
        <v>188</v>
      </c>
      <c r="C58" s="55" t="s">
        <v>304</v>
      </c>
      <c r="D58" s="55" t="s">
        <v>186</v>
      </c>
      <c r="E58" s="56">
        <v>0.40868300000000002</v>
      </c>
    </row>
    <row r="59" spans="2:7" x14ac:dyDescent="0.3">
      <c r="B59" s="53" t="s">
        <v>188</v>
      </c>
      <c r="C59" s="53" t="s">
        <v>305</v>
      </c>
      <c r="D59" s="53" t="s">
        <v>186</v>
      </c>
      <c r="E59" s="54">
        <v>0.4</v>
      </c>
    </row>
    <row r="60" spans="2:7" x14ac:dyDescent="0.3">
      <c r="B60" s="55" t="s">
        <v>188</v>
      </c>
      <c r="C60" s="55" t="s">
        <v>120</v>
      </c>
      <c r="D60" s="55" t="s">
        <v>186</v>
      </c>
      <c r="E60" s="56">
        <v>0.13016299999999997</v>
      </c>
    </row>
    <row r="61" spans="2:7" ht="15.5" x14ac:dyDescent="0.3">
      <c r="B61" s="57"/>
      <c r="C61" s="57" t="s">
        <v>293</v>
      </c>
      <c r="D61" s="63"/>
      <c r="E61" s="58">
        <f>SUM(E7:E60)</f>
        <v>147576.12976800001</v>
      </c>
      <c r="F61" s="60"/>
      <c r="G61" s="6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122C-0E34-4F66-BD8D-FDA0FD5CBE6B}">
  <dimension ref="B2:H166"/>
  <sheetViews>
    <sheetView showGridLines="0" zoomScale="80" zoomScaleNormal="80" workbookViewId="0">
      <selection activeCell="B15" sqref="B15"/>
    </sheetView>
  </sheetViews>
  <sheetFormatPr baseColWidth="10" defaultColWidth="11.453125" defaultRowHeight="12" x14ac:dyDescent="0.3"/>
  <cols>
    <col min="1" max="1" width="6" style="3" customWidth="1"/>
    <col min="2" max="2" width="10.90625" style="3" customWidth="1"/>
    <col min="3" max="3" width="62.90625" style="3" customWidth="1"/>
    <col min="4" max="4" width="12.6328125" style="3" bestFit="1" customWidth="1"/>
    <col min="5" max="5" width="21.453125" style="3" customWidth="1"/>
    <col min="6" max="16384" width="11.453125" style="3"/>
  </cols>
  <sheetData>
    <row r="2" spans="2:5" ht="19" x14ac:dyDescent="0.45">
      <c r="B2" s="1" t="s">
        <v>306</v>
      </c>
    </row>
    <row r="4" spans="2:5" x14ac:dyDescent="0.3">
      <c r="B4" s="61" t="s">
        <v>307</v>
      </c>
    </row>
    <row r="5" spans="2:5" x14ac:dyDescent="0.3">
      <c r="B5" s="61" t="s">
        <v>308</v>
      </c>
    </row>
    <row r="6" spans="2:5" ht="24.5" thickBot="1" x14ac:dyDescent="0.35">
      <c r="B6" s="46" t="s">
        <v>181</v>
      </c>
      <c r="C6" s="46" t="s">
        <v>182</v>
      </c>
      <c r="D6" s="62" t="s">
        <v>183</v>
      </c>
      <c r="E6" s="64" t="s">
        <v>184</v>
      </c>
    </row>
    <row r="7" spans="2:5" x14ac:dyDescent="0.3">
      <c r="B7" s="53" t="s">
        <v>185</v>
      </c>
      <c r="C7" s="53" t="s">
        <v>137</v>
      </c>
      <c r="D7" s="53" t="s">
        <v>186</v>
      </c>
      <c r="E7" s="54">
        <v>29577.118127220005</v>
      </c>
    </row>
    <row r="8" spans="2:5" x14ac:dyDescent="0.3">
      <c r="B8" s="55" t="s">
        <v>185</v>
      </c>
      <c r="C8" s="55" t="s">
        <v>135</v>
      </c>
      <c r="D8" s="55" t="s">
        <v>186</v>
      </c>
      <c r="E8" s="56">
        <v>27197.384090000003</v>
      </c>
    </row>
    <row r="9" spans="2:5" x14ac:dyDescent="0.3">
      <c r="B9" s="53" t="s">
        <v>185</v>
      </c>
      <c r="C9" s="53" t="s">
        <v>139</v>
      </c>
      <c r="D9" s="53" t="s">
        <v>186</v>
      </c>
      <c r="E9" s="54">
        <v>21074.901715999997</v>
      </c>
    </row>
    <row r="10" spans="2:5" x14ac:dyDescent="0.3">
      <c r="B10" s="55" t="s">
        <v>185</v>
      </c>
      <c r="C10" s="55" t="s">
        <v>147</v>
      </c>
      <c r="D10" s="55" t="s">
        <v>186</v>
      </c>
      <c r="E10" s="56">
        <v>14783.203786</v>
      </c>
    </row>
    <row r="11" spans="2:5" x14ac:dyDescent="0.3">
      <c r="B11" s="53" t="s">
        <v>185</v>
      </c>
      <c r="C11" s="53" t="s">
        <v>149</v>
      </c>
      <c r="D11" s="53" t="s">
        <v>186</v>
      </c>
      <c r="E11" s="54">
        <v>12969.015927</v>
      </c>
    </row>
    <row r="12" spans="2:5" x14ac:dyDescent="0.3">
      <c r="B12" s="55" t="s">
        <v>185</v>
      </c>
      <c r="C12" s="55" t="s">
        <v>141</v>
      </c>
      <c r="D12" s="55" t="s">
        <v>186</v>
      </c>
      <c r="E12" s="56">
        <v>10600.332450999998</v>
      </c>
    </row>
    <row r="13" spans="2:5" x14ac:dyDescent="0.3">
      <c r="B13" s="53" t="s">
        <v>185</v>
      </c>
      <c r="C13" s="53" t="s">
        <v>176</v>
      </c>
      <c r="D13" s="53" t="s">
        <v>187</v>
      </c>
      <c r="E13" s="54">
        <v>9556.3006149999965</v>
      </c>
    </row>
    <row r="14" spans="2:5" x14ac:dyDescent="0.3">
      <c r="B14" s="55" t="s">
        <v>185</v>
      </c>
      <c r="C14" s="55" t="s">
        <v>173</v>
      </c>
      <c r="D14" s="55" t="s">
        <v>187</v>
      </c>
      <c r="E14" s="56">
        <v>5521.8758369999996</v>
      </c>
    </row>
    <row r="15" spans="2:5" x14ac:dyDescent="0.3">
      <c r="B15" s="53" t="s">
        <v>185</v>
      </c>
      <c r="C15" s="53" t="s">
        <v>145</v>
      </c>
      <c r="D15" s="53" t="s">
        <v>186</v>
      </c>
      <c r="E15" s="54">
        <v>5428.3772300000001</v>
      </c>
    </row>
    <row r="16" spans="2:5" x14ac:dyDescent="0.3">
      <c r="B16" s="55" t="s">
        <v>185</v>
      </c>
      <c r="C16" s="55" t="s">
        <v>165</v>
      </c>
      <c r="D16" s="55" t="s">
        <v>186</v>
      </c>
      <c r="E16" s="56">
        <v>4535.4828220000009</v>
      </c>
    </row>
    <row r="17" spans="2:5" x14ac:dyDescent="0.3">
      <c r="B17" s="53" t="s">
        <v>185</v>
      </c>
      <c r="C17" s="53" t="s">
        <v>163</v>
      </c>
      <c r="D17" s="53" t="s">
        <v>186</v>
      </c>
      <c r="E17" s="54">
        <v>3849.1887649999999</v>
      </c>
    </row>
    <row r="18" spans="2:5" x14ac:dyDescent="0.3">
      <c r="B18" s="55" t="s">
        <v>185</v>
      </c>
      <c r="C18" s="55" t="s">
        <v>50</v>
      </c>
      <c r="D18" s="55" t="s">
        <v>187</v>
      </c>
      <c r="E18" s="56">
        <v>3525.8938910000002</v>
      </c>
    </row>
    <row r="19" spans="2:5" x14ac:dyDescent="0.3">
      <c r="B19" s="53" t="s">
        <v>185</v>
      </c>
      <c r="C19" s="53" t="s">
        <v>52</v>
      </c>
      <c r="D19" s="53" t="s">
        <v>187</v>
      </c>
      <c r="E19" s="54">
        <v>3443.1995640000005</v>
      </c>
    </row>
    <row r="20" spans="2:5" x14ac:dyDescent="0.3">
      <c r="B20" s="55" t="s">
        <v>185</v>
      </c>
      <c r="C20" s="55" t="s">
        <v>155</v>
      </c>
      <c r="D20" s="55" t="s">
        <v>186</v>
      </c>
      <c r="E20" s="56">
        <v>1198.6114699999998</v>
      </c>
    </row>
    <row r="21" spans="2:5" x14ac:dyDescent="0.3">
      <c r="B21" s="53" t="s">
        <v>185</v>
      </c>
      <c r="C21" s="53" t="s">
        <v>151</v>
      </c>
      <c r="D21" s="53" t="s">
        <v>186</v>
      </c>
      <c r="E21" s="54">
        <v>1093.3994290000001</v>
      </c>
    </row>
    <row r="22" spans="2:5" x14ac:dyDescent="0.3">
      <c r="B22" s="55" t="s">
        <v>185</v>
      </c>
      <c r="C22" s="55" t="s">
        <v>167</v>
      </c>
      <c r="D22" s="55" t="s">
        <v>186</v>
      </c>
      <c r="E22" s="56">
        <v>756.93072000000006</v>
      </c>
    </row>
    <row r="23" spans="2:5" x14ac:dyDescent="0.3">
      <c r="B23" s="53" t="s">
        <v>185</v>
      </c>
      <c r="C23" s="53" t="s">
        <v>169</v>
      </c>
      <c r="D23" s="53" t="s">
        <v>187</v>
      </c>
      <c r="E23" s="54">
        <v>700.25782100000004</v>
      </c>
    </row>
    <row r="24" spans="2:5" x14ac:dyDescent="0.3">
      <c r="B24" s="55" t="s">
        <v>185</v>
      </c>
      <c r="C24" s="55" t="s">
        <v>40</v>
      </c>
      <c r="D24" s="55" t="s">
        <v>187</v>
      </c>
      <c r="E24" s="56">
        <v>691.41525100000001</v>
      </c>
    </row>
    <row r="25" spans="2:5" x14ac:dyDescent="0.3">
      <c r="B25" s="53" t="s">
        <v>185</v>
      </c>
      <c r="C25" s="53" t="s">
        <v>143</v>
      </c>
      <c r="D25" s="53" t="s">
        <v>186</v>
      </c>
      <c r="E25" s="54">
        <v>666.26877300000001</v>
      </c>
    </row>
    <row r="26" spans="2:5" x14ac:dyDescent="0.3">
      <c r="B26" s="55" t="s">
        <v>185</v>
      </c>
      <c r="C26" s="55" t="s">
        <v>153</v>
      </c>
      <c r="D26" s="55" t="s">
        <v>186</v>
      </c>
      <c r="E26" s="56">
        <v>432.74829199999999</v>
      </c>
    </row>
    <row r="27" spans="2:5" x14ac:dyDescent="0.3">
      <c r="B27" s="53" t="s">
        <v>185</v>
      </c>
      <c r="C27" s="53" t="s">
        <v>42</v>
      </c>
      <c r="D27" s="53" t="s">
        <v>187</v>
      </c>
      <c r="E27" s="54">
        <v>255.27694</v>
      </c>
    </row>
    <row r="28" spans="2:5" x14ac:dyDescent="0.3">
      <c r="B28" s="55" t="s">
        <v>185</v>
      </c>
      <c r="C28" s="55" t="s">
        <v>46</v>
      </c>
      <c r="D28" s="55" t="s">
        <v>187</v>
      </c>
      <c r="E28" s="56">
        <v>235.851585</v>
      </c>
    </row>
    <row r="29" spans="2:5" x14ac:dyDescent="0.3">
      <c r="B29" s="53" t="s">
        <v>185</v>
      </c>
      <c r="C29" s="53" t="s">
        <v>157</v>
      </c>
      <c r="D29" s="53" t="s">
        <v>186</v>
      </c>
      <c r="E29" s="54">
        <v>216.71296699999996</v>
      </c>
    </row>
    <row r="30" spans="2:5" x14ac:dyDescent="0.3">
      <c r="B30" s="55" t="s">
        <v>185</v>
      </c>
      <c r="C30" s="55" t="s">
        <v>161</v>
      </c>
      <c r="D30" s="55" t="s">
        <v>186</v>
      </c>
      <c r="E30" s="56">
        <v>62.194440999999998</v>
      </c>
    </row>
    <row r="31" spans="2:5" x14ac:dyDescent="0.3">
      <c r="B31" s="53" t="s">
        <v>185</v>
      </c>
      <c r="C31" s="53" t="s">
        <v>159</v>
      </c>
      <c r="D31" s="53" t="s">
        <v>186</v>
      </c>
      <c r="E31" s="54">
        <v>43.082877999999994</v>
      </c>
    </row>
    <row r="32" spans="2:5" x14ac:dyDescent="0.3">
      <c r="B32" s="55" t="s">
        <v>185</v>
      </c>
      <c r="C32" s="55" t="s">
        <v>54</v>
      </c>
      <c r="D32" s="55" t="s">
        <v>186</v>
      </c>
      <c r="E32" s="56">
        <v>32.501812999999999</v>
      </c>
    </row>
    <row r="33" spans="2:5" x14ac:dyDescent="0.3">
      <c r="B33" s="53" t="s">
        <v>188</v>
      </c>
      <c r="C33" s="53" t="s">
        <v>189</v>
      </c>
      <c r="D33" s="53" t="s">
        <v>186</v>
      </c>
      <c r="E33" s="54">
        <v>487.37053400000002</v>
      </c>
    </row>
    <row r="34" spans="2:5" x14ac:dyDescent="0.3">
      <c r="B34" s="55" t="s">
        <v>188</v>
      </c>
      <c r="C34" s="55" t="s">
        <v>191</v>
      </c>
      <c r="D34" s="55" t="s">
        <v>186</v>
      </c>
      <c r="E34" s="56">
        <v>282.62319599999995</v>
      </c>
    </row>
    <row r="35" spans="2:5" x14ac:dyDescent="0.3">
      <c r="B35" s="53" t="s">
        <v>188</v>
      </c>
      <c r="C35" s="53" t="s">
        <v>190</v>
      </c>
      <c r="D35" s="53" t="s">
        <v>186</v>
      </c>
      <c r="E35" s="54">
        <v>179.13592800000001</v>
      </c>
    </row>
    <row r="36" spans="2:5" x14ac:dyDescent="0.3">
      <c r="B36" s="55" t="s">
        <v>188</v>
      </c>
      <c r="C36" s="55" t="s">
        <v>192</v>
      </c>
      <c r="D36" s="55" t="s">
        <v>186</v>
      </c>
      <c r="E36" s="56">
        <v>145.278886</v>
      </c>
    </row>
    <row r="37" spans="2:5" x14ac:dyDescent="0.3">
      <c r="B37" s="53" t="s">
        <v>188</v>
      </c>
      <c r="C37" s="53" t="s">
        <v>196</v>
      </c>
      <c r="D37" s="53" t="s">
        <v>186</v>
      </c>
      <c r="E37" s="54">
        <v>127.42154099999999</v>
      </c>
    </row>
    <row r="38" spans="2:5" x14ac:dyDescent="0.3">
      <c r="B38" s="55" t="s">
        <v>188</v>
      </c>
      <c r="C38" s="55" t="s">
        <v>193</v>
      </c>
      <c r="D38" s="55" t="s">
        <v>186</v>
      </c>
      <c r="E38" s="56">
        <v>104.057474</v>
      </c>
    </row>
    <row r="39" spans="2:5" x14ac:dyDescent="0.3">
      <c r="B39" s="53" t="s">
        <v>188</v>
      </c>
      <c r="C39" s="53" t="s">
        <v>194</v>
      </c>
      <c r="D39" s="53" t="s">
        <v>186</v>
      </c>
      <c r="E39" s="54">
        <v>98.078815000000006</v>
      </c>
    </row>
    <row r="40" spans="2:5" x14ac:dyDescent="0.3">
      <c r="B40" s="55" t="s">
        <v>188</v>
      </c>
      <c r="C40" s="55" t="s">
        <v>195</v>
      </c>
      <c r="D40" s="55" t="s">
        <v>186</v>
      </c>
      <c r="E40" s="56">
        <v>81.248801999999984</v>
      </c>
    </row>
    <row r="41" spans="2:5" x14ac:dyDescent="0.3">
      <c r="B41" s="53" t="s">
        <v>188</v>
      </c>
      <c r="C41" s="53" t="s">
        <v>199</v>
      </c>
      <c r="D41" s="53" t="s">
        <v>186</v>
      </c>
      <c r="E41" s="54">
        <v>67.804957000000016</v>
      </c>
    </row>
    <row r="42" spans="2:5" x14ac:dyDescent="0.3">
      <c r="B42" s="55" t="s">
        <v>188</v>
      </c>
      <c r="C42" s="55" t="s">
        <v>197</v>
      </c>
      <c r="D42" s="55" t="s">
        <v>186</v>
      </c>
      <c r="E42" s="56">
        <v>66.438857999999996</v>
      </c>
    </row>
    <row r="43" spans="2:5" x14ac:dyDescent="0.3">
      <c r="B43" s="53" t="s">
        <v>188</v>
      </c>
      <c r="C43" s="53" t="s">
        <v>207</v>
      </c>
      <c r="D43" s="53" t="s">
        <v>186</v>
      </c>
      <c r="E43" s="54">
        <v>65.972938999999997</v>
      </c>
    </row>
    <row r="44" spans="2:5" x14ac:dyDescent="0.3">
      <c r="B44" s="55" t="s">
        <v>188</v>
      </c>
      <c r="C44" s="55" t="s">
        <v>198</v>
      </c>
      <c r="D44" s="55" t="s">
        <v>186</v>
      </c>
      <c r="E44" s="56">
        <v>61.218558999999999</v>
      </c>
    </row>
    <row r="45" spans="2:5" x14ac:dyDescent="0.3">
      <c r="B45" s="53" t="s">
        <v>188</v>
      </c>
      <c r="C45" s="53" t="s">
        <v>201</v>
      </c>
      <c r="D45" s="53" t="s">
        <v>186</v>
      </c>
      <c r="E45" s="54">
        <v>43.077126999999997</v>
      </c>
    </row>
    <row r="46" spans="2:5" x14ac:dyDescent="0.3">
      <c r="B46" s="55" t="s">
        <v>188</v>
      </c>
      <c r="C46" s="55" t="s">
        <v>202</v>
      </c>
      <c r="D46" s="55" t="s">
        <v>186</v>
      </c>
      <c r="E46" s="56">
        <v>39.328955000000001</v>
      </c>
    </row>
    <row r="47" spans="2:5" x14ac:dyDescent="0.3">
      <c r="B47" s="53" t="s">
        <v>188</v>
      </c>
      <c r="C47" s="53" t="s">
        <v>200</v>
      </c>
      <c r="D47" s="53" t="s">
        <v>186</v>
      </c>
      <c r="E47" s="54">
        <v>38.100342000000005</v>
      </c>
    </row>
    <row r="48" spans="2:5" x14ac:dyDescent="0.3">
      <c r="B48" s="55" t="s">
        <v>188</v>
      </c>
      <c r="C48" s="55" t="s">
        <v>217</v>
      </c>
      <c r="D48" s="55" t="s">
        <v>186</v>
      </c>
      <c r="E48" s="56">
        <v>36.354103999999992</v>
      </c>
    </row>
    <row r="49" spans="2:5" x14ac:dyDescent="0.3">
      <c r="B49" s="53" t="s">
        <v>188</v>
      </c>
      <c r="C49" s="53" t="s">
        <v>203</v>
      </c>
      <c r="D49" s="53" t="s">
        <v>186</v>
      </c>
      <c r="E49" s="54">
        <v>33.528964999999999</v>
      </c>
    </row>
    <row r="50" spans="2:5" x14ac:dyDescent="0.3">
      <c r="B50" s="55" t="s">
        <v>188</v>
      </c>
      <c r="C50" s="55" t="s">
        <v>309</v>
      </c>
      <c r="D50" s="55" t="s">
        <v>186</v>
      </c>
      <c r="E50" s="56">
        <v>33.423826000000012</v>
      </c>
    </row>
    <row r="51" spans="2:5" x14ac:dyDescent="0.3">
      <c r="B51" s="53" t="s">
        <v>188</v>
      </c>
      <c r="C51" s="53" t="s">
        <v>204</v>
      </c>
      <c r="D51" s="53" t="s">
        <v>186</v>
      </c>
      <c r="E51" s="54">
        <v>33.131726999999991</v>
      </c>
    </row>
    <row r="52" spans="2:5" x14ac:dyDescent="0.3">
      <c r="B52" s="55" t="s">
        <v>188</v>
      </c>
      <c r="C52" s="55" t="s">
        <v>205</v>
      </c>
      <c r="D52" s="55" t="s">
        <v>186</v>
      </c>
      <c r="E52" s="56">
        <v>32.982408</v>
      </c>
    </row>
    <row r="53" spans="2:5" x14ac:dyDescent="0.3">
      <c r="B53" s="53" t="s">
        <v>188</v>
      </c>
      <c r="C53" s="53" t="s">
        <v>310</v>
      </c>
      <c r="D53" s="53" t="s">
        <v>186</v>
      </c>
      <c r="E53" s="54">
        <v>28.698086000000007</v>
      </c>
    </row>
    <row r="54" spans="2:5" x14ac:dyDescent="0.3">
      <c r="B54" s="55" t="s">
        <v>188</v>
      </c>
      <c r="C54" s="55" t="s">
        <v>311</v>
      </c>
      <c r="D54" s="55" t="s">
        <v>186</v>
      </c>
      <c r="E54" s="56">
        <v>28.002051999999996</v>
      </c>
    </row>
    <row r="55" spans="2:5" x14ac:dyDescent="0.3">
      <c r="B55" s="53" t="s">
        <v>188</v>
      </c>
      <c r="C55" s="53" t="s">
        <v>206</v>
      </c>
      <c r="D55" s="53" t="s">
        <v>186</v>
      </c>
      <c r="E55" s="54">
        <v>27.5</v>
      </c>
    </row>
    <row r="56" spans="2:5" x14ac:dyDescent="0.3">
      <c r="B56" s="55" t="s">
        <v>188</v>
      </c>
      <c r="C56" s="55" t="s">
        <v>208</v>
      </c>
      <c r="D56" s="55" t="s">
        <v>186</v>
      </c>
      <c r="E56" s="56">
        <v>25.25</v>
      </c>
    </row>
    <row r="57" spans="2:5" x14ac:dyDescent="0.3">
      <c r="B57" s="53" t="s">
        <v>188</v>
      </c>
      <c r="C57" s="53" t="s">
        <v>209</v>
      </c>
      <c r="D57" s="53" t="s">
        <v>186</v>
      </c>
      <c r="E57" s="54">
        <v>24.164628</v>
      </c>
    </row>
    <row r="58" spans="2:5" x14ac:dyDescent="0.3">
      <c r="B58" s="55" t="s">
        <v>188</v>
      </c>
      <c r="C58" s="55" t="s">
        <v>210</v>
      </c>
      <c r="D58" s="55" t="s">
        <v>186</v>
      </c>
      <c r="E58" s="56">
        <v>19.223117999999996</v>
      </c>
    </row>
    <row r="59" spans="2:5" x14ac:dyDescent="0.3">
      <c r="B59" s="53" t="s">
        <v>188</v>
      </c>
      <c r="C59" s="53" t="s">
        <v>211</v>
      </c>
      <c r="D59" s="53" t="s">
        <v>186</v>
      </c>
      <c r="E59" s="54">
        <v>19.125</v>
      </c>
    </row>
    <row r="60" spans="2:5" x14ac:dyDescent="0.3">
      <c r="B60" s="55" t="s">
        <v>188</v>
      </c>
      <c r="C60" s="55" t="s">
        <v>212</v>
      </c>
      <c r="D60" s="55" t="s">
        <v>186</v>
      </c>
      <c r="E60" s="56">
        <v>17.530511999999998</v>
      </c>
    </row>
    <row r="61" spans="2:5" x14ac:dyDescent="0.3">
      <c r="B61" s="53" t="s">
        <v>188</v>
      </c>
      <c r="C61" s="53" t="s">
        <v>312</v>
      </c>
      <c r="D61" s="53" t="s">
        <v>186</v>
      </c>
      <c r="E61" s="54">
        <v>17.446318000000005</v>
      </c>
    </row>
    <row r="62" spans="2:5" x14ac:dyDescent="0.3">
      <c r="B62" s="55" t="s">
        <v>188</v>
      </c>
      <c r="C62" s="55" t="s">
        <v>213</v>
      </c>
      <c r="D62" s="55" t="s">
        <v>186</v>
      </c>
      <c r="E62" s="56">
        <v>15.412737000000002</v>
      </c>
    </row>
    <row r="63" spans="2:5" x14ac:dyDescent="0.3">
      <c r="B63" s="53" t="s">
        <v>188</v>
      </c>
      <c r="C63" s="53" t="s">
        <v>221</v>
      </c>
      <c r="D63" s="53" t="s">
        <v>186</v>
      </c>
      <c r="E63" s="54">
        <v>15.169222</v>
      </c>
    </row>
    <row r="64" spans="2:5" x14ac:dyDescent="0.3">
      <c r="B64" s="55" t="s">
        <v>188</v>
      </c>
      <c r="C64" s="55" t="s">
        <v>216</v>
      </c>
      <c r="D64" s="55" t="s">
        <v>186</v>
      </c>
      <c r="E64" s="56">
        <v>13.644602999999995</v>
      </c>
    </row>
    <row r="65" spans="2:5" x14ac:dyDescent="0.3">
      <c r="B65" s="53" t="s">
        <v>188</v>
      </c>
      <c r="C65" s="53" t="s">
        <v>214</v>
      </c>
      <c r="D65" s="53" t="s">
        <v>186</v>
      </c>
      <c r="E65" s="54">
        <v>13.49197</v>
      </c>
    </row>
    <row r="66" spans="2:5" x14ac:dyDescent="0.3">
      <c r="B66" s="55" t="s">
        <v>188</v>
      </c>
      <c r="C66" s="55" t="s">
        <v>215</v>
      </c>
      <c r="D66" s="55" t="s">
        <v>186</v>
      </c>
      <c r="E66" s="56">
        <v>11.932999999999998</v>
      </c>
    </row>
    <row r="67" spans="2:5" x14ac:dyDescent="0.3">
      <c r="B67" s="53" t="s">
        <v>188</v>
      </c>
      <c r="C67" s="53" t="s">
        <v>313</v>
      </c>
      <c r="D67" s="53" t="s">
        <v>186</v>
      </c>
      <c r="E67" s="54">
        <v>11.599183999999997</v>
      </c>
    </row>
    <row r="68" spans="2:5" x14ac:dyDescent="0.3">
      <c r="B68" s="55" t="s">
        <v>188</v>
      </c>
      <c r="C68" s="55" t="s">
        <v>314</v>
      </c>
      <c r="D68" s="55" t="s">
        <v>187</v>
      </c>
      <c r="E68" s="56">
        <v>11.199197</v>
      </c>
    </row>
    <row r="69" spans="2:5" x14ac:dyDescent="0.3">
      <c r="B69" s="53" t="s">
        <v>188</v>
      </c>
      <c r="C69" s="53" t="s">
        <v>219</v>
      </c>
      <c r="D69" s="53" t="s">
        <v>186</v>
      </c>
      <c r="E69" s="54">
        <v>11.016708000000001</v>
      </c>
    </row>
    <row r="70" spans="2:5" x14ac:dyDescent="0.3">
      <c r="B70" s="55" t="s">
        <v>188</v>
      </c>
      <c r="C70" s="55" t="s">
        <v>218</v>
      </c>
      <c r="D70" s="55" t="s">
        <v>186</v>
      </c>
      <c r="E70" s="56">
        <v>10.664</v>
      </c>
    </row>
    <row r="71" spans="2:5" x14ac:dyDescent="0.3">
      <c r="B71" s="53" t="s">
        <v>188</v>
      </c>
      <c r="C71" s="53" t="s">
        <v>315</v>
      </c>
      <c r="D71" s="53" t="s">
        <v>186</v>
      </c>
      <c r="E71" s="54">
        <v>10.316828999999998</v>
      </c>
    </row>
    <row r="72" spans="2:5" x14ac:dyDescent="0.3">
      <c r="B72" s="55" t="s">
        <v>188</v>
      </c>
      <c r="C72" s="55" t="s">
        <v>220</v>
      </c>
      <c r="D72" s="55" t="s">
        <v>186</v>
      </c>
      <c r="E72" s="56">
        <v>10</v>
      </c>
    </row>
    <row r="73" spans="2:5" x14ac:dyDescent="0.3">
      <c r="B73" s="53" t="s">
        <v>188</v>
      </c>
      <c r="C73" s="53" t="s">
        <v>222</v>
      </c>
      <c r="D73" s="53" t="s">
        <v>186</v>
      </c>
      <c r="E73" s="54">
        <v>6.4716149999999999</v>
      </c>
    </row>
    <row r="74" spans="2:5" x14ac:dyDescent="0.3">
      <c r="B74" s="55" t="s">
        <v>188</v>
      </c>
      <c r="C74" s="55" t="s">
        <v>223</v>
      </c>
      <c r="D74" s="55" t="s">
        <v>187</v>
      </c>
      <c r="E74" s="56">
        <v>6.3861599999999994</v>
      </c>
    </row>
    <row r="75" spans="2:5" x14ac:dyDescent="0.3">
      <c r="B75" s="53" t="s">
        <v>188</v>
      </c>
      <c r="C75" s="53" t="s">
        <v>224</v>
      </c>
      <c r="D75" s="53" t="s">
        <v>186</v>
      </c>
      <c r="E75" s="54">
        <v>5.6669999999999998</v>
      </c>
    </row>
    <row r="76" spans="2:5" x14ac:dyDescent="0.3">
      <c r="B76" s="55" t="s">
        <v>188</v>
      </c>
      <c r="C76" s="55" t="s">
        <v>225</v>
      </c>
      <c r="D76" s="55" t="s">
        <v>186</v>
      </c>
      <c r="E76" s="56">
        <v>5.5406999999999993</v>
      </c>
    </row>
    <row r="77" spans="2:5" x14ac:dyDescent="0.3">
      <c r="B77" s="53" t="s">
        <v>188</v>
      </c>
      <c r="C77" s="53" t="s">
        <v>226</v>
      </c>
      <c r="D77" s="53" t="s">
        <v>186</v>
      </c>
      <c r="E77" s="54">
        <v>5.4517500000000005</v>
      </c>
    </row>
    <row r="78" spans="2:5" x14ac:dyDescent="0.3">
      <c r="B78" s="55" t="s">
        <v>188</v>
      </c>
      <c r="C78" s="55" t="s">
        <v>316</v>
      </c>
      <c r="D78" s="55" t="s">
        <v>186</v>
      </c>
      <c r="E78" s="56">
        <v>5.1050810000000002</v>
      </c>
    </row>
    <row r="79" spans="2:5" x14ac:dyDescent="0.3">
      <c r="B79" s="53" t="s">
        <v>188</v>
      </c>
      <c r="C79" s="53" t="s">
        <v>227</v>
      </c>
      <c r="D79" s="53" t="s">
        <v>186</v>
      </c>
      <c r="E79" s="54">
        <v>5</v>
      </c>
    </row>
    <row r="80" spans="2:5" x14ac:dyDescent="0.3">
      <c r="B80" s="55" t="s">
        <v>188</v>
      </c>
      <c r="C80" s="55" t="s">
        <v>228</v>
      </c>
      <c r="D80" s="55" t="s">
        <v>186</v>
      </c>
      <c r="E80" s="56">
        <v>4.9779999999999998</v>
      </c>
    </row>
    <row r="81" spans="2:5" x14ac:dyDescent="0.3">
      <c r="B81" s="53" t="s">
        <v>188</v>
      </c>
      <c r="C81" s="53" t="s">
        <v>229</v>
      </c>
      <c r="D81" s="53" t="s">
        <v>186</v>
      </c>
      <c r="E81" s="54">
        <v>4.8899999999999997</v>
      </c>
    </row>
    <row r="82" spans="2:5" x14ac:dyDescent="0.3">
      <c r="B82" s="55" t="s">
        <v>188</v>
      </c>
      <c r="C82" s="55" t="s">
        <v>246</v>
      </c>
      <c r="D82" s="55" t="s">
        <v>187</v>
      </c>
      <c r="E82" s="56">
        <v>4.8006429999999982</v>
      </c>
    </row>
    <row r="83" spans="2:5" x14ac:dyDescent="0.3">
      <c r="B83" s="53" t="s">
        <v>188</v>
      </c>
      <c r="C83" s="53" t="s">
        <v>317</v>
      </c>
      <c r="D83" s="53" t="s">
        <v>186</v>
      </c>
      <c r="E83" s="54">
        <v>4.5606669999999996</v>
      </c>
    </row>
    <row r="84" spans="2:5" x14ac:dyDescent="0.3">
      <c r="B84" s="55" t="s">
        <v>188</v>
      </c>
      <c r="C84" s="55" t="s">
        <v>318</v>
      </c>
      <c r="D84" s="55" t="s">
        <v>186</v>
      </c>
      <c r="E84" s="56">
        <v>4.4603729999999997</v>
      </c>
    </row>
    <row r="85" spans="2:5" x14ac:dyDescent="0.3">
      <c r="B85" s="53" t="s">
        <v>188</v>
      </c>
      <c r="C85" s="53" t="s">
        <v>230</v>
      </c>
      <c r="D85" s="53" t="s">
        <v>186</v>
      </c>
      <c r="E85" s="54">
        <v>4.2279999999999998</v>
      </c>
    </row>
    <row r="86" spans="2:5" x14ac:dyDescent="0.3">
      <c r="B86" s="55" t="s">
        <v>188</v>
      </c>
      <c r="C86" s="55" t="s">
        <v>231</v>
      </c>
      <c r="D86" s="55" t="s">
        <v>186</v>
      </c>
      <c r="E86" s="56">
        <v>4</v>
      </c>
    </row>
    <row r="87" spans="2:5" x14ac:dyDescent="0.3">
      <c r="B87" s="53" t="s">
        <v>188</v>
      </c>
      <c r="C87" s="53" t="s">
        <v>232</v>
      </c>
      <c r="D87" s="53" t="s">
        <v>186</v>
      </c>
      <c r="E87" s="54">
        <v>4</v>
      </c>
    </row>
    <row r="88" spans="2:5" x14ac:dyDescent="0.3">
      <c r="B88" s="55" t="s">
        <v>188</v>
      </c>
      <c r="C88" s="55" t="s">
        <v>233</v>
      </c>
      <c r="D88" s="55" t="s">
        <v>186</v>
      </c>
      <c r="E88" s="56">
        <v>4</v>
      </c>
    </row>
    <row r="89" spans="2:5" x14ac:dyDescent="0.3">
      <c r="B89" s="53" t="s">
        <v>188</v>
      </c>
      <c r="C89" s="53" t="s">
        <v>234</v>
      </c>
      <c r="D89" s="53" t="s">
        <v>186</v>
      </c>
      <c r="E89" s="54">
        <v>4</v>
      </c>
    </row>
    <row r="90" spans="2:5" x14ac:dyDescent="0.3">
      <c r="B90" s="55" t="s">
        <v>188</v>
      </c>
      <c r="C90" s="55" t="s">
        <v>235</v>
      </c>
      <c r="D90" s="55" t="s">
        <v>186</v>
      </c>
      <c r="E90" s="56">
        <v>4</v>
      </c>
    </row>
    <row r="91" spans="2:5" x14ac:dyDescent="0.3">
      <c r="B91" s="53" t="s">
        <v>188</v>
      </c>
      <c r="C91" s="53" t="s">
        <v>236</v>
      </c>
      <c r="D91" s="53" t="s">
        <v>186</v>
      </c>
      <c r="E91" s="54">
        <v>4</v>
      </c>
    </row>
    <row r="92" spans="2:5" x14ac:dyDescent="0.3">
      <c r="B92" s="55" t="s">
        <v>188</v>
      </c>
      <c r="C92" s="55" t="s">
        <v>237</v>
      </c>
      <c r="D92" s="55" t="s">
        <v>186</v>
      </c>
      <c r="E92" s="56">
        <v>3.964</v>
      </c>
    </row>
    <row r="93" spans="2:5" x14ac:dyDescent="0.3">
      <c r="B93" s="53" t="s">
        <v>188</v>
      </c>
      <c r="C93" s="53" t="s">
        <v>319</v>
      </c>
      <c r="D93" s="53" t="s">
        <v>186</v>
      </c>
      <c r="E93" s="54">
        <v>3.8896199999999999</v>
      </c>
    </row>
    <row r="94" spans="2:5" x14ac:dyDescent="0.3">
      <c r="B94" s="55" t="s">
        <v>188</v>
      </c>
      <c r="C94" s="55" t="s">
        <v>238</v>
      </c>
      <c r="D94" s="55" t="s">
        <v>186</v>
      </c>
      <c r="E94" s="56">
        <v>3.76</v>
      </c>
    </row>
    <row r="95" spans="2:5" x14ac:dyDescent="0.3">
      <c r="B95" s="53" t="s">
        <v>188</v>
      </c>
      <c r="C95" s="53" t="s">
        <v>239</v>
      </c>
      <c r="D95" s="53" t="s">
        <v>186</v>
      </c>
      <c r="E95" s="54">
        <v>3.7</v>
      </c>
    </row>
    <row r="96" spans="2:5" x14ac:dyDescent="0.3">
      <c r="B96" s="55" t="s">
        <v>188</v>
      </c>
      <c r="C96" s="55" t="s">
        <v>248</v>
      </c>
      <c r="D96" s="55" t="s">
        <v>186</v>
      </c>
      <c r="E96" s="56">
        <v>3.6107170000000002</v>
      </c>
    </row>
    <row r="97" spans="2:5" x14ac:dyDescent="0.3">
      <c r="B97" s="53" t="s">
        <v>188</v>
      </c>
      <c r="C97" s="53" t="s">
        <v>240</v>
      </c>
      <c r="D97" s="53" t="s">
        <v>186</v>
      </c>
      <c r="E97" s="54">
        <v>3.375</v>
      </c>
    </row>
    <row r="98" spans="2:5" x14ac:dyDescent="0.3">
      <c r="B98" s="55" t="s">
        <v>188</v>
      </c>
      <c r="C98" s="55" t="s">
        <v>320</v>
      </c>
      <c r="D98" s="55" t="s">
        <v>186</v>
      </c>
      <c r="E98" s="56">
        <v>3.2721260000000005</v>
      </c>
    </row>
    <row r="99" spans="2:5" x14ac:dyDescent="0.3">
      <c r="B99" s="53" t="s">
        <v>188</v>
      </c>
      <c r="C99" s="53" t="s">
        <v>241</v>
      </c>
      <c r="D99" s="53" t="s">
        <v>186</v>
      </c>
      <c r="E99" s="54">
        <v>3.1790900000000009</v>
      </c>
    </row>
    <row r="100" spans="2:5" x14ac:dyDescent="0.3">
      <c r="B100" s="55" t="s">
        <v>188</v>
      </c>
      <c r="C100" s="55" t="s">
        <v>242</v>
      </c>
      <c r="D100" s="55" t="s">
        <v>186</v>
      </c>
      <c r="E100" s="56">
        <v>3.1</v>
      </c>
    </row>
    <row r="101" spans="2:5" x14ac:dyDescent="0.3">
      <c r="B101" s="53" t="s">
        <v>188</v>
      </c>
      <c r="C101" s="53" t="s">
        <v>243</v>
      </c>
      <c r="D101" s="53" t="s">
        <v>186</v>
      </c>
      <c r="E101" s="54">
        <v>3.0634999999999999</v>
      </c>
    </row>
    <row r="102" spans="2:5" x14ac:dyDescent="0.3">
      <c r="B102" s="55" t="s">
        <v>188</v>
      </c>
      <c r="C102" s="55" t="s">
        <v>244</v>
      </c>
      <c r="D102" s="55" t="s">
        <v>186</v>
      </c>
      <c r="E102" s="56">
        <v>2.998456</v>
      </c>
    </row>
    <row r="103" spans="2:5" x14ac:dyDescent="0.3">
      <c r="B103" s="53" t="s">
        <v>188</v>
      </c>
      <c r="C103" s="53" t="s">
        <v>245</v>
      </c>
      <c r="D103" s="53" t="s">
        <v>186</v>
      </c>
      <c r="E103" s="54">
        <v>2.847</v>
      </c>
    </row>
    <row r="104" spans="2:5" x14ac:dyDescent="0.3">
      <c r="B104" s="55" t="s">
        <v>188</v>
      </c>
      <c r="C104" s="55" t="s">
        <v>247</v>
      </c>
      <c r="D104" s="55" t="s">
        <v>186</v>
      </c>
      <c r="E104" s="56">
        <v>2.8000000000000003</v>
      </c>
    </row>
    <row r="105" spans="2:5" x14ac:dyDescent="0.3">
      <c r="B105" s="53" t="s">
        <v>188</v>
      </c>
      <c r="C105" s="53" t="s">
        <v>249</v>
      </c>
      <c r="D105" s="53" t="s">
        <v>186</v>
      </c>
      <c r="E105" s="54">
        <v>2.673</v>
      </c>
    </row>
    <row r="106" spans="2:5" x14ac:dyDescent="0.3">
      <c r="B106" s="55" t="s">
        <v>188</v>
      </c>
      <c r="C106" s="55" t="s">
        <v>250</v>
      </c>
      <c r="D106" s="55" t="s">
        <v>186</v>
      </c>
      <c r="E106" s="56">
        <v>2.61</v>
      </c>
    </row>
    <row r="107" spans="2:5" x14ac:dyDescent="0.3">
      <c r="B107" s="53" t="s">
        <v>188</v>
      </c>
      <c r="C107" s="53" t="s">
        <v>251</v>
      </c>
      <c r="D107" s="53" t="s">
        <v>186</v>
      </c>
      <c r="E107" s="54">
        <v>2.61</v>
      </c>
    </row>
    <row r="108" spans="2:5" x14ac:dyDescent="0.3">
      <c r="B108" s="55" t="s">
        <v>188</v>
      </c>
      <c r="C108" s="55" t="s">
        <v>252</v>
      </c>
      <c r="D108" s="55" t="s">
        <v>186</v>
      </c>
      <c r="E108" s="56">
        <v>2.5</v>
      </c>
    </row>
    <row r="109" spans="2:5" x14ac:dyDescent="0.3">
      <c r="B109" s="53" t="s">
        <v>188</v>
      </c>
      <c r="C109" s="53" t="s">
        <v>253</v>
      </c>
      <c r="D109" s="53" t="s">
        <v>186</v>
      </c>
      <c r="E109" s="54">
        <v>2.5</v>
      </c>
    </row>
    <row r="110" spans="2:5" x14ac:dyDescent="0.3">
      <c r="B110" s="55" t="s">
        <v>188</v>
      </c>
      <c r="C110" s="55" t="s">
        <v>254</v>
      </c>
      <c r="D110" s="55" t="s">
        <v>186</v>
      </c>
      <c r="E110" s="56">
        <v>2.5</v>
      </c>
    </row>
    <row r="111" spans="2:5" x14ac:dyDescent="0.3">
      <c r="B111" s="53" t="s">
        <v>188</v>
      </c>
      <c r="C111" s="53" t="s">
        <v>255</v>
      </c>
      <c r="D111" s="53" t="s">
        <v>186</v>
      </c>
      <c r="E111" s="54">
        <v>2.5</v>
      </c>
    </row>
    <row r="112" spans="2:5" x14ac:dyDescent="0.3">
      <c r="B112" s="55" t="s">
        <v>188</v>
      </c>
      <c r="C112" s="55" t="s">
        <v>256</v>
      </c>
      <c r="D112" s="55" t="s">
        <v>186</v>
      </c>
      <c r="E112" s="56">
        <v>2.5</v>
      </c>
    </row>
    <row r="113" spans="2:5" x14ac:dyDescent="0.3">
      <c r="B113" s="53" t="s">
        <v>188</v>
      </c>
      <c r="C113" s="53" t="s">
        <v>257</v>
      </c>
      <c r="D113" s="53" t="s">
        <v>186</v>
      </c>
      <c r="E113" s="54">
        <v>2.407</v>
      </c>
    </row>
    <row r="114" spans="2:5" x14ac:dyDescent="0.3">
      <c r="B114" s="55" t="s">
        <v>188</v>
      </c>
      <c r="C114" s="55" t="s">
        <v>258</v>
      </c>
      <c r="D114" s="55" t="s">
        <v>186</v>
      </c>
      <c r="E114" s="56">
        <v>2.2010000000000001</v>
      </c>
    </row>
    <row r="115" spans="2:5" x14ac:dyDescent="0.3">
      <c r="B115" s="53" t="s">
        <v>188</v>
      </c>
      <c r="C115" s="53" t="s">
        <v>259</v>
      </c>
      <c r="D115" s="53" t="s">
        <v>186</v>
      </c>
      <c r="E115" s="54">
        <v>2.1675</v>
      </c>
    </row>
    <row r="116" spans="2:5" x14ac:dyDescent="0.3">
      <c r="B116" s="55" t="s">
        <v>188</v>
      </c>
      <c r="C116" s="55" t="s">
        <v>321</v>
      </c>
      <c r="D116" s="55" t="s">
        <v>186</v>
      </c>
      <c r="E116" s="56">
        <v>1.9880000000000004</v>
      </c>
    </row>
    <row r="117" spans="2:5" x14ac:dyDescent="0.3">
      <c r="B117" s="53" t="s">
        <v>188</v>
      </c>
      <c r="C117" s="53" t="s">
        <v>322</v>
      </c>
      <c r="D117" s="53" t="s">
        <v>186</v>
      </c>
      <c r="E117" s="54">
        <v>1.9336320000000002</v>
      </c>
    </row>
    <row r="118" spans="2:5" x14ac:dyDescent="0.3">
      <c r="B118" s="55" t="s">
        <v>188</v>
      </c>
      <c r="C118" s="55" t="s">
        <v>323</v>
      </c>
      <c r="D118" s="55" t="s">
        <v>186</v>
      </c>
      <c r="E118" s="56">
        <v>1.5081599999999999</v>
      </c>
    </row>
    <row r="119" spans="2:5" x14ac:dyDescent="0.3">
      <c r="B119" s="53" t="s">
        <v>188</v>
      </c>
      <c r="C119" s="53" t="s">
        <v>260</v>
      </c>
      <c r="D119" s="53" t="s">
        <v>186</v>
      </c>
      <c r="E119" s="54">
        <v>1.5</v>
      </c>
    </row>
    <row r="120" spans="2:5" x14ac:dyDescent="0.3">
      <c r="B120" s="55" t="s">
        <v>188</v>
      </c>
      <c r="C120" s="55" t="s">
        <v>261</v>
      </c>
      <c r="D120" s="55" t="s">
        <v>186</v>
      </c>
      <c r="E120" s="56">
        <v>1.5</v>
      </c>
    </row>
    <row r="121" spans="2:5" x14ac:dyDescent="0.3">
      <c r="B121" s="53" t="s">
        <v>188</v>
      </c>
      <c r="C121" s="53" t="s">
        <v>262</v>
      </c>
      <c r="D121" s="53" t="s">
        <v>186</v>
      </c>
      <c r="E121" s="54">
        <v>1.37</v>
      </c>
    </row>
    <row r="122" spans="2:5" x14ac:dyDescent="0.3">
      <c r="B122" s="55" t="s">
        <v>188</v>
      </c>
      <c r="C122" s="55" t="s">
        <v>324</v>
      </c>
      <c r="D122" s="55" t="s">
        <v>187</v>
      </c>
      <c r="E122" s="56">
        <v>1.1519999999999999</v>
      </c>
    </row>
    <row r="123" spans="2:5" x14ac:dyDescent="0.3">
      <c r="B123" s="53" t="s">
        <v>188</v>
      </c>
      <c r="C123" s="53" t="s">
        <v>325</v>
      </c>
      <c r="D123" s="53" t="s">
        <v>186</v>
      </c>
      <c r="E123" s="54">
        <v>1.1214999999999999</v>
      </c>
    </row>
    <row r="124" spans="2:5" x14ac:dyDescent="0.3">
      <c r="B124" s="55" t="s">
        <v>188</v>
      </c>
      <c r="C124" s="55" t="s">
        <v>263</v>
      </c>
      <c r="D124" s="55" t="s">
        <v>186</v>
      </c>
      <c r="E124" s="56">
        <v>1</v>
      </c>
    </row>
    <row r="125" spans="2:5" x14ac:dyDescent="0.3">
      <c r="B125" s="53" t="s">
        <v>188</v>
      </c>
      <c r="C125" s="53" t="s">
        <v>326</v>
      </c>
      <c r="D125" s="53" t="s">
        <v>186</v>
      </c>
      <c r="E125" s="54">
        <v>1</v>
      </c>
    </row>
    <row r="126" spans="2:5" x14ac:dyDescent="0.3">
      <c r="B126" s="55" t="s">
        <v>188</v>
      </c>
      <c r="C126" s="55" t="s">
        <v>264</v>
      </c>
      <c r="D126" s="55" t="s">
        <v>186</v>
      </c>
      <c r="E126" s="56">
        <v>1</v>
      </c>
    </row>
    <row r="127" spans="2:5" x14ac:dyDescent="0.3">
      <c r="B127" s="53" t="s">
        <v>188</v>
      </c>
      <c r="C127" s="53" t="s">
        <v>265</v>
      </c>
      <c r="D127" s="53" t="s">
        <v>186</v>
      </c>
      <c r="E127" s="54">
        <v>0.91408900000000004</v>
      </c>
    </row>
    <row r="128" spans="2:5" x14ac:dyDescent="0.3">
      <c r="B128" s="55" t="s">
        <v>188</v>
      </c>
      <c r="C128" s="55" t="s">
        <v>266</v>
      </c>
      <c r="D128" s="55" t="s">
        <v>186</v>
      </c>
      <c r="E128" s="56">
        <v>0.82399999999999995</v>
      </c>
    </row>
    <row r="129" spans="2:5" x14ac:dyDescent="0.3">
      <c r="B129" s="53" t="s">
        <v>188</v>
      </c>
      <c r="C129" s="53" t="s">
        <v>267</v>
      </c>
      <c r="D129" s="53" t="s">
        <v>186</v>
      </c>
      <c r="E129" s="54">
        <v>0.80420700000000012</v>
      </c>
    </row>
    <row r="130" spans="2:5" x14ac:dyDescent="0.3">
      <c r="B130" s="55" t="s">
        <v>188</v>
      </c>
      <c r="C130" s="55" t="s">
        <v>327</v>
      </c>
      <c r="D130" s="55" t="s">
        <v>186</v>
      </c>
      <c r="E130" s="56">
        <v>0.65649999999999997</v>
      </c>
    </row>
    <row r="131" spans="2:5" x14ac:dyDescent="0.3">
      <c r="B131" s="53" t="s">
        <v>188</v>
      </c>
      <c r="C131" s="53" t="s">
        <v>328</v>
      </c>
      <c r="D131" s="53" t="s">
        <v>186</v>
      </c>
      <c r="E131" s="54">
        <v>0.61099999999999999</v>
      </c>
    </row>
    <row r="132" spans="2:5" x14ac:dyDescent="0.3">
      <c r="B132" s="55" t="s">
        <v>188</v>
      </c>
      <c r="C132" s="55" t="s">
        <v>268</v>
      </c>
      <c r="D132" s="55" t="s">
        <v>186</v>
      </c>
      <c r="E132" s="56">
        <v>0.53500000000000003</v>
      </c>
    </row>
    <row r="133" spans="2:5" x14ac:dyDescent="0.3">
      <c r="B133" s="53" t="s">
        <v>188</v>
      </c>
      <c r="C133" s="53" t="s">
        <v>269</v>
      </c>
      <c r="D133" s="53" t="s">
        <v>186</v>
      </c>
      <c r="E133" s="54">
        <v>0.53500000000000003</v>
      </c>
    </row>
    <row r="134" spans="2:5" x14ac:dyDescent="0.3">
      <c r="B134" s="55" t="s">
        <v>188</v>
      </c>
      <c r="C134" s="55" t="s">
        <v>329</v>
      </c>
      <c r="D134" s="55" t="s">
        <v>186</v>
      </c>
      <c r="E134" s="56">
        <v>0.51082000000000005</v>
      </c>
    </row>
    <row r="135" spans="2:5" x14ac:dyDescent="0.3">
      <c r="B135" s="53" t="s">
        <v>188</v>
      </c>
      <c r="C135" s="53" t="s">
        <v>270</v>
      </c>
      <c r="D135" s="53" t="s">
        <v>186</v>
      </c>
      <c r="E135" s="54">
        <v>0.5</v>
      </c>
    </row>
    <row r="136" spans="2:5" x14ac:dyDescent="0.3">
      <c r="B136" s="55" t="s">
        <v>188</v>
      </c>
      <c r="C136" s="55" t="s">
        <v>271</v>
      </c>
      <c r="D136" s="55" t="s">
        <v>186</v>
      </c>
      <c r="E136" s="56">
        <v>0.5</v>
      </c>
    </row>
    <row r="137" spans="2:5" x14ac:dyDescent="0.3">
      <c r="B137" s="53" t="s">
        <v>188</v>
      </c>
      <c r="C137" s="53" t="s">
        <v>272</v>
      </c>
      <c r="D137" s="53" t="s">
        <v>186</v>
      </c>
      <c r="E137" s="54">
        <v>0.5</v>
      </c>
    </row>
    <row r="138" spans="2:5" x14ac:dyDescent="0.3">
      <c r="B138" s="55" t="s">
        <v>188</v>
      </c>
      <c r="C138" s="55" t="s">
        <v>330</v>
      </c>
      <c r="D138" s="55" t="s">
        <v>186</v>
      </c>
      <c r="E138" s="56">
        <v>0.5</v>
      </c>
    </row>
    <row r="139" spans="2:5" x14ac:dyDescent="0.3">
      <c r="B139" s="53" t="s">
        <v>188</v>
      </c>
      <c r="C139" s="53" t="s">
        <v>273</v>
      </c>
      <c r="D139" s="53" t="s">
        <v>186</v>
      </c>
      <c r="E139" s="54">
        <v>0.5</v>
      </c>
    </row>
    <row r="140" spans="2:5" x14ac:dyDescent="0.3">
      <c r="B140" s="55" t="s">
        <v>188</v>
      </c>
      <c r="C140" s="55" t="s">
        <v>274</v>
      </c>
      <c r="D140" s="55" t="s">
        <v>186</v>
      </c>
      <c r="E140" s="56">
        <v>0.5</v>
      </c>
    </row>
    <row r="141" spans="2:5" x14ac:dyDescent="0.3">
      <c r="B141" s="53" t="s">
        <v>188</v>
      </c>
      <c r="C141" s="53" t="s">
        <v>275</v>
      </c>
      <c r="D141" s="53" t="s">
        <v>186</v>
      </c>
      <c r="E141" s="54">
        <v>0.46144700000000005</v>
      </c>
    </row>
    <row r="142" spans="2:5" x14ac:dyDescent="0.3">
      <c r="B142" s="55" t="s">
        <v>188</v>
      </c>
      <c r="C142" s="55" t="s">
        <v>331</v>
      </c>
      <c r="D142" s="55" t="s">
        <v>186</v>
      </c>
      <c r="E142" s="56">
        <v>0.35</v>
      </c>
    </row>
    <row r="143" spans="2:5" x14ac:dyDescent="0.3">
      <c r="B143" s="53" t="s">
        <v>188</v>
      </c>
      <c r="C143" s="53" t="s">
        <v>276</v>
      </c>
      <c r="D143" s="53" t="s">
        <v>186</v>
      </c>
      <c r="E143" s="54">
        <v>0.34644999999999998</v>
      </c>
    </row>
    <row r="144" spans="2:5" x14ac:dyDescent="0.3">
      <c r="B144" s="55" t="s">
        <v>188</v>
      </c>
      <c r="C144" s="55" t="s">
        <v>332</v>
      </c>
      <c r="D144" s="55" t="s">
        <v>186</v>
      </c>
      <c r="E144" s="56">
        <v>0.34038299999999999</v>
      </c>
    </row>
    <row r="145" spans="2:5" x14ac:dyDescent="0.3">
      <c r="B145" s="53" t="s">
        <v>188</v>
      </c>
      <c r="C145" s="53" t="s">
        <v>277</v>
      </c>
      <c r="D145" s="53" t="s">
        <v>186</v>
      </c>
      <c r="E145" s="54">
        <v>0.25</v>
      </c>
    </row>
    <row r="146" spans="2:5" x14ac:dyDescent="0.3">
      <c r="B146" s="55" t="s">
        <v>188</v>
      </c>
      <c r="C146" s="55" t="s">
        <v>278</v>
      </c>
      <c r="D146" s="55" t="s">
        <v>186</v>
      </c>
      <c r="E146" s="56">
        <v>0.25</v>
      </c>
    </row>
    <row r="147" spans="2:5" x14ac:dyDescent="0.3">
      <c r="B147" s="53" t="s">
        <v>188</v>
      </c>
      <c r="C147" s="53" t="s">
        <v>279</v>
      </c>
      <c r="D147" s="53" t="s">
        <v>186</v>
      </c>
      <c r="E147" s="54">
        <v>0.248</v>
      </c>
    </row>
    <row r="148" spans="2:5" x14ac:dyDescent="0.3">
      <c r="B148" s="55" t="s">
        <v>188</v>
      </c>
      <c r="C148" s="55" t="s">
        <v>333</v>
      </c>
      <c r="D148" s="55" t="s">
        <v>186</v>
      </c>
      <c r="E148" s="56">
        <v>0.23890800000000001</v>
      </c>
    </row>
    <row r="149" spans="2:5" x14ac:dyDescent="0.3">
      <c r="B149" s="53" t="s">
        <v>188</v>
      </c>
      <c r="C149" s="53" t="s">
        <v>334</v>
      </c>
      <c r="D149" s="53" t="s">
        <v>186</v>
      </c>
      <c r="E149" s="54">
        <v>0.13608000000000001</v>
      </c>
    </row>
    <row r="150" spans="2:5" x14ac:dyDescent="0.3">
      <c r="B150" s="55" t="s">
        <v>188</v>
      </c>
      <c r="C150" s="55" t="s">
        <v>280</v>
      </c>
      <c r="D150" s="55" t="s">
        <v>186</v>
      </c>
      <c r="E150" s="56">
        <v>0.125</v>
      </c>
    </row>
    <row r="151" spans="2:5" x14ac:dyDescent="0.3">
      <c r="B151" s="53" t="s">
        <v>188</v>
      </c>
      <c r="C151" s="53" t="s">
        <v>335</v>
      </c>
      <c r="D151" s="53" t="s">
        <v>186</v>
      </c>
      <c r="E151" s="54">
        <v>0.108864</v>
      </c>
    </row>
    <row r="152" spans="2:5" x14ac:dyDescent="0.3">
      <c r="B152" s="55" t="s">
        <v>188</v>
      </c>
      <c r="C152" s="55" t="s">
        <v>281</v>
      </c>
      <c r="D152" s="55" t="s">
        <v>186</v>
      </c>
      <c r="E152" s="56">
        <v>0.1</v>
      </c>
    </row>
    <row r="153" spans="2:5" x14ac:dyDescent="0.3">
      <c r="B153" s="53" t="s">
        <v>188</v>
      </c>
      <c r="C153" s="53" t="s">
        <v>336</v>
      </c>
      <c r="D153" s="53" t="s">
        <v>186</v>
      </c>
      <c r="E153" s="54">
        <v>6.5239999999999992E-2</v>
      </c>
    </row>
    <row r="154" spans="2:5" x14ac:dyDescent="0.3">
      <c r="B154" s="55" t="s">
        <v>188</v>
      </c>
      <c r="C154" s="55" t="s">
        <v>282</v>
      </c>
      <c r="D154" s="55" t="s">
        <v>186</v>
      </c>
      <c r="E154" s="56">
        <v>4.4999999999999998E-2</v>
      </c>
    </row>
    <row r="155" spans="2:5" x14ac:dyDescent="0.3">
      <c r="B155" s="53" t="s">
        <v>188</v>
      </c>
      <c r="C155" s="53" t="s">
        <v>283</v>
      </c>
      <c r="D155" s="53" t="s">
        <v>186</v>
      </c>
      <c r="E155" s="54">
        <v>1.4999999999999999E-2</v>
      </c>
    </row>
    <row r="156" spans="2:5" x14ac:dyDescent="0.3">
      <c r="B156" s="55" t="s">
        <v>188</v>
      </c>
      <c r="C156" s="55" t="s">
        <v>284</v>
      </c>
      <c r="D156" s="55" t="s">
        <v>186</v>
      </c>
      <c r="E156" s="56">
        <v>1.4999999999999999E-2</v>
      </c>
    </row>
    <row r="157" spans="2:5" x14ac:dyDescent="0.3">
      <c r="B157" s="53" t="s">
        <v>188</v>
      </c>
      <c r="C157" s="53" t="s">
        <v>285</v>
      </c>
      <c r="D157" s="53" t="s">
        <v>186</v>
      </c>
      <c r="E157" s="54">
        <v>1.4999999999999999E-2</v>
      </c>
    </row>
    <row r="158" spans="2:5" x14ac:dyDescent="0.3">
      <c r="B158" s="55" t="s">
        <v>188</v>
      </c>
      <c r="C158" s="55" t="s">
        <v>286</v>
      </c>
      <c r="D158" s="55" t="s">
        <v>186</v>
      </c>
      <c r="E158" s="56">
        <v>1.4999999999999999E-2</v>
      </c>
    </row>
    <row r="159" spans="2:5" x14ac:dyDescent="0.3">
      <c r="B159" s="53" t="s">
        <v>188</v>
      </c>
      <c r="C159" s="53" t="s">
        <v>287</v>
      </c>
      <c r="D159" s="53" t="s">
        <v>186</v>
      </c>
      <c r="E159" s="54">
        <v>1.4999999999999999E-2</v>
      </c>
    </row>
    <row r="160" spans="2:5" x14ac:dyDescent="0.3">
      <c r="B160" s="55" t="s">
        <v>188</v>
      </c>
      <c r="C160" s="55" t="s">
        <v>288</v>
      </c>
      <c r="D160" s="55" t="s">
        <v>186</v>
      </c>
      <c r="E160" s="56">
        <v>1.4999999999999999E-2</v>
      </c>
    </row>
    <row r="161" spans="2:8" x14ac:dyDescent="0.3">
      <c r="B161" s="53" t="s">
        <v>188</v>
      </c>
      <c r="C161" s="53" t="s">
        <v>289</v>
      </c>
      <c r="D161" s="53" t="s">
        <v>186</v>
      </c>
      <c r="E161" s="54">
        <v>0.01</v>
      </c>
    </row>
    <row r="162" spans="2:8" x14ac:dyDescent="0.3">
      <c r="B162" s="55" t="s">
        <v>188</v>
      </c>
      <c r="C162" s="55" t="s">
        <v>290</v>
      </c>
      <c r="D162" s="55" t="s">
        <v>186</v>
      </c>
      <c r="E162" s="56">
        <v>0.01</v>
      </c>
    </row>
    <row r="163" spans="2:8" x14ac:dyDescent="0.3">
      <c r="B163" s="53" t="s">
        <v>188</v>
      </c>
      <c r="C163" s="53" t="s">
        <v>291</v>
      </c>
      <c r="D163" s="53" t="s">
        <v>186</v>
      </c>
      <c r="E163" s="54">
        <v>0.01</v>
      </c>
    </row>
    <row r="164" spans="2:8" x14ac:dyDescent="0.3">
      <c r="B164" s="55" t="s">
        <v>188</v>
      </c>
      <c r="C164" s="55" t="s">
        <v>292</v>
      </c>
      <c r="D164" s="55" t="s">
        <v>186</v>
      </c>
      <c r="E164" s="56">
        <v>0.01</v>
      </c>
    </row>
    <row r="165" spans="2:8" x14ac:dyDescent="0.3">
      <c r="B165" s="53" t="s">
        <v>188</v>
      </c>
      <c r="C165" s="53" t="s">
        <v>337</v>
      </c>
      <c r="D165" s="53" t="s">
        <v>186</v>
      </c>
      <c r="E165" s="54">
        <v>9.3200000000000002E-3</v>
      </c>
      <c r="H165" s="60"/>
    </row>
    <row r="166" spans="2:8" x14ac:dyDescent="0.3">
      <c r="B166" s="57"/>
      <c r="C166" s="57" t="s">
        <v>293</v>
      </c>
      <c r="D166" s="57"/>
      <c r="E166" s="58">
        <f>SUM(E7:E165)</f>
        <v>161034.42890622019</v>
      </c>
      <c r="F166" s="60"/>
      <c r="G166" s="60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3727-4E0E-4209-833B-C253D0FC7C7E}">
  <dimension ref="B2:F92"/>
  <sheetViews>
    <sheetView showGridLines="0" zoomScale="80" zoomScaleNormal="80" workbookViewId="0">
      <selection activeCell="B15" sqref="B15"/>
    </sheetView>
  </sheetViews>
  <sheetFormatPr baseColWidth="10" defaultColWidth="11.453125" defaultRowHeight="12" x14ac:dyDescent="0.3"/>
  <cols>
    <col min="1" max="1" width="6" style="3" customWidth="1"/>
    <col min="2" max="2" width="11.453125" style="3"/>
    <col min="3" max="3" width="62.6328125" style="3" bestFit="1" customWidth="1"/>
    <col min="4" max="4" width="12.6328125" style="3" bestFit="1" customWidth="1"/>
    <col min="5" max="5" width="20.453125" style="3" customWidth="1"/>
    <col min="6" max="16384" width="11.453125" style="3"/>
  </cols>
  <sheetData>
    <row r="2" spans="2:5" ht="19" x14ac:dyDescent="0.45">
      <c r="B2" s="1" t="s">
        <v>338</v>
      </c>
    </row>
    <row r="4" spans="2:5" x14ac:dyDescent="0.3">
      <c r="B4" s="61" t="s">
        <v>295</v>
      </c>
    </row>
    <row r="5" spans="2:5" x14ac:dyDescent="0.3">
      <c r="B5" s="61" t="s">
        <v>296</v>
      </c>
    </row>
    <row r="6" spans="2:5" ht="24.5" thickBot="1" x14ac:dyDescent="0.35">
      <c r="B6" s="46" t="s">
        <v>181</v>
      </c>
      <c r="C6" s="46" t="s">
        <v>297</v>
      </c>
      <c r="D6" s="62" t="s">
        <v>183</v>
      </c>
      <c r="E6" s="64" t="s">
        <v>339</v>
      </c>
    </row>
    <row r="7" spans="2:5" x14ac:dyDescent="0.3">
      <c r="B7" s="53" t="s">
        <v>185</v>
      </c>
      <c r="C7" s="53" t="s">
        <v>96</v>
      </c>
      <c r="D7" s="53" t="s">
        <v>186</v>
      </c>
      <c r="E7" s="54">
        <v>32969.16893</v>
      </c>
    </row>
    <row r="8" spans="2:5" x14ac:dyDescent="0.3">
      <c r="B8" s="55" t="s">
        <v>185</v>
      </c>
      <c r="C8" s="55" t="s">
        <v>71</v>
      </c>
      <c r="D8" s="55" t="s">
        <v>186</v>
      </c>
      <c r="E8" s="56">
        <v>23284.792020000001</v>
      </c>
    </row>
    <row r="9" spans="2:5" x14ac:dyDescent="0.3">
      <c r="B9" s="53" t="s">
        <v>185</v>
      </c>
      <c r="C9" s="53" t="s">
        <v>97</v>
      </c>
      <c r="D9" s="53" t="s">
        <v>186</v>
      </c>
      <c r="E9" s="54">
        <v>18671.454283999999</v>
      </c>
    </row>
    <row r="10" spans="2:5" x14ac:dyDescent="0.3">
      <c r="B10" s="55" t="s">
        <v>185</v>
      </c>
      <c r="C10" s="55" t="s">
        <v>111</v>
      </c>
      <c r="D10" s="55" t="s">
        <v>186</v>
      </c>
      <c r="E10" s="56">
        <v>15082.422419</v>
      </c>
    </row>
    <row r="11" spans="2:5" x14ac:dyDescent="0.3">
      <c r="B11" s="53" t="s">
        <v>185</v>
      </c>
      <c r="C11" s="53" t="s">
        <v>102</v>
      </c>
      <c r="D11" s="53" t="s">
        <v>186</v>
      </c>
      <c r="E11" s="54">
        <v>12709.638503</v>
      </c>
    </row>
    <row r="12" spans="2:5" x14ac:dyDescent="0.3">
      <c r="B12" s="55" t="s">
        <v>185</v>
      </c>
      <c r="C12" s="55" t="s">
        <v>98</v>
      </c>
      <c r="D12" s="55" t="s">
        <v>186</v>
      </c>
      <c r="E12" s="56">
        <v>6616.8961440000003</v>
      </c>
    </row>
    <row r="13" spans="2:5" x14ac:dyDescent="0.3">
      <c r="B13" s="53" t="s">
        <v>185</v>
      </c>
      <c r="C13" s="53" t="s">
        <v>98</v>
      </c>
      <c r="D13" s="53" t="s">
        <v>187</v>
      </c>
      <c r="E13" s="54">
        <v>6204.4100280000002</v>
      </c>
    </row>
    <row r="14" spans="2:5" x14ac:dyDescent="0.3">
      <c r="B14" s="55" t="s">
        <v>185</v>
      </c>
      <c r="C14" s="55" t="s">
        <v>93</v>
      </c>
      <c r="D14" s="55" t="s">
        <v>187</v>
      </c>
      <c r="E14" s="56">
        <v>5911.088178</v>
      </c>
    </row>
    <row r="15" spans="2:5" x14ac:dyDescent="0.3">
      <c r="B15" s="53" t="s">
        <v>185</v>
      </c>
      <c r="C15" s="53" t="s">
        <v>114</v>
      </c>
      <c r="D15" s="53" t="s">
        <v>186</v>
      </c>
      <c r="E15" s="54">
        <v>5871.3175369999999</v>
      </c>
    </row>
    <row r="16" spans="2:5" x14ac:dyDescent="0.3">
      <c r="B16" s="55" t="s">
        <v>185</v>
      </c>
      <c r="C16" s="55" t="s">
        <v>103</v>
      </c>
      <c r="D16" s="55" t="s">
        <v>187</v>
      </c>
      <c r="E16" s="56">
        <v>4944.5946400000003</v>
      </c>
    </row>
    <row r="17" spans="2:5" x14ac:dyDescent="0.3">
      <c r="B17" s="53" t="s">
        <v>185</v>
      </c>
      <c r="C17" s="53" t="s">
        <v>117</v>
      </c>
      <c r="D17" s="53" t="s">
        <v>186</v>
      </c>
      <c r="E17" s="54">
        <v>4571.4066570000005</v>
      </c>
    </row>
    <row r="18" spans="2:5" x14ac:dyDescent="0.3">
      <c r="B18" s="55" t="s">
        <v>185</v>
      </c>
      <c r="C18" s="55" t="s">
        <v>131</v>
      </c>
      <c r="D18" s="55" t="s">
        <v>186</v>
      </c>
      <c r="E18" s="56">
        <v>3180.7720260000001</v>
      </c>
    </row>
    <row r="19" spans="2:5" x14ac:dyDescent="0.3">
      <c r="B19" s="53" t="s">
        <v>185</v>
      </c>
      <c r="C19" s="53" t="s">
        <v>97</v>
      </c>
      <c r="D19" s="53" t="s">
        <v>187</v>
      </c>
      <c r="E19" s="54">
        <v>2664.9927210000001</v>
      </c>
    </row>
    <row r="20" spans="2:5" x14ac:dyDescent="0.3">
      <c r="B20" s="55" t="s">
        <v>185</v>
      </c>
      <c r="C20" s="55" t="s">
        <v>340</v>
      </c>
      <c r="D20" s="55" t="s">
        <v>186</v>
      </c>
      <c r="E20" s="56">
        <v>2348.8750042199999</v>
      </c>
    </row>
    <row r="21" spans="2:5" x14ac:dyDescent="0.3">
      <c r="B21" s="53" t="s">
        <v>185</v>
      </c>
      <c r="C21" s="53" t="s">
        <v>86</v>
      </c>
      <c r="D21" s="53" t="s">
        <v>186</v>
      </c>
      <c r="E21" s="54">
        <v>2008.2101620000001</v>
      </c>
    </row>
    <row r="22" spans="2:5" x14ac:dyDescent="0.3">
      <c r="B22" s="55" t="s">
        <v>185</v>
      </c>
      <c r="C22" s="55" t="s">
        <v>103</v>
      </c>
      <c r="D22" s="55" t="s">
        <v>186</v>
      </c>
      <c r="E22" s="56">
        <v>1800.2387209999999</v>
      </c>
    </row>
    <row r="23" spans="2:5" x14ac:dyDescent="0.3">
      <c r="B23" s="53" t="s">
        <v>185</v>
      </c>
      <c r="C23" s="53" t="s">
        <v>340</v>
      </c>
      <c r="D23" s="53" t="s">
        <v>187</v>
      </c>
      <c r="E23" s="54">
        <v>1163.493892</v>
      </c>
    </row>
    <row r="24" spans="2:5" x14ac:dyDescent="0.3">
      <c r="B24" s="55" t="s">
        <v>185</v>
      </c>
      <c r="C24" s="55" t="s">
        <v>116</v>
      </c>
      <c r="D24" s="55" t="s">
        <v>186</v>
      </c>
      <c r="E24" s="56">
        <v>923.14330199999995</v>
      </c>
    </row>
    <row r="25" spans="2:5" x14ac:dyDescent="0.3">
      <c r="B25" s="53" t="s">
        <v>185</v>
      </c>
      <c r="C25" s="53" t="s">
        <v>78</v>
      </c>
      <c r="D25" s="53" t="s">
        <v>187</v>
      </c>
      <c r="E25" s="54">
        <v>881.47047999999995</v>
      </c>
    </row>
    <row r="26" spans="2:5" x14ac:dyDescent="0.3">
      <c r="B26" s="55" t="s">
        <v>185</v>
      </c>
      <c r="C26" s="55" t="s">
        <v>79</v>
      </c>
      <c r="D26" s="55" t="s">
        <v>187</v>
      </c>
      <c r="E26" s="56">
        <v>833.73365000000001</v>
      </c>
    </row>
    <row r="27" spans="2:5" x14ac:dyDescent="0.3">
      <c r="B27" s="53" t="s">
        <v>185</v>
      </c>
      <c r="C27" s="53" t="s">
        <v>115</v>
      </c>
      <c r="D27" s="53" t="s">
        <v>186</v>
      </c>
      <c r="E27" s="54">
        <v>739.33660299999997</v>
      </c>
    </row>
    <row r="28" spans="2:5" x14ac:dyDescent="0.3">
      <c r="B28" s="55" t="s">
        <v>185</v>
      </c>
      <c r="C28" s="55" t="s">
        <v>129</v>
      </c>
      <c r="D28" s="55" t="s">
        <v>186</v>
      </c>
      <c r="E28" s="56">
        <v>636.95048099999997</v>
      </c>
    </row>
    <row r="29" spans="2:5" x14ac:dyDescent="0.3">
      <c r="B29" s="53" t="s">
        <v>185</v>
      </c>
      <c r="C29" s="53" t="s">
        <v>72</v>
      </c>
      <c r="D29" s="53" t="s">
        <v>186</v>
      </c>
      <c r="E29" s="54">
        <v>580.785932</v>
      </c>
    </row>
    <row r="30" spans="2:5" x14ac:dyDescent="0.3">
      <c r="B30" s="55" t="s">
        <v>185</v>
      </c>
      <c r="C30" s="55" t="s">
        <v>80</v>
      </c>
      <c r="D30" s="55" t="s">
        <v>187</v>
      </c>
      <c r="E30" s="56">
        <v>506.12280399999997</v>
      </c>
    </row>
    <row r="31" spans="2:5" x14ac:dyDescent="0.3">
      <c r="B31" s="53" t="s">
        <v>185</v>
      </c>
      <c r="C31" s="53" t="s">
        <v>118</v>
      </c>
      <c r="D31" s="53" t="s">
        <v>186</v>
      </c>
      <c r="E31" s="54">
        <v>460.12310100000002</v>
      </c>
    </row>
    <row r="32" spans="2:5" x14ac:dyDescent="0.3">
      <c r="B32" s="55" t="s">
        <v>185</v>
      </c>
      <c r="C32" s="55" t="s">
        <v>104</v>
      </c>
      <c r="D32" s="55" t="s">
        <v>186</v>
      </c>
      <c r="E32" s="56">
        <v>398.38008100000002</v>
      </c>
    </row>
    <row r="33" spans="2:5" x14ac:dyDescent="0.3">
      <c r="B33" s="53" t="s">
        <v>185</v>
      </c>
      <c r="C33" s="53" t="s">
        <v>106</v>
      </c>
      <c r="D33" s="53" t="s">
        <v>186</v>
      </c>
      <c r="E33" s="54">
        <v>285.82364699999999</v>
      </c>
    </row>
    <row r="34" spans="2:5" x14ac:dyDescent="0.3">
      <c r="B34" s="55" t="s">
        <v>185</v>
      </c>
      <c r="C34" s="55" t="s">
        <v>110</v>
      </c>
      <c r="D34" s="55" t="s">
        <v>186</v>
      </c>
      <c r="E34" s="56">
        <v>255.286317</v>
      </c>
    </row>
    <row r="35" spans="2:5" x14ac:dyDescent="0.3">
      <c r="B35" s="53" t="s">
        <v>185</v>
      </c>
      <c r="C35" s="53" t="s">
        <v>125</v>
      </c>
      <c r="D35" s="53" t="s">
        <v>186</v>
      </c>
      <c r="E35" s="54">
        <v>233.403402</v>
      </c>
    </row>
    <row r="36" spans="2:5" x14ac:dyDescent="0.3">
      <c r="B36" s="55" t="s">
        <v>185</v>
      </c>
      <c r="C36" s="55" t="s">
        <v>105</v>
      </c>
      <c r="D36" s="55" t="s">
        <v>186</v>
      </c>
      <c r="E36" s="56">
        <v>183.877971</v>
      </c>
    </row>
    <row r="37" spans="2:5" x14ac:dyDescent="0.3">
      <c r="B37" s="53" t="s">
        <v>185</v>
      </c>
      <c r="C37" s="53" t="s">
        <v>119</v>
      </c>
      <c r="D37" s="53" t="s">
        <v>186</v>
      </c>
      <c r="E37" s="54">
        <v>181.510561</v>
      </c>
    </row>
    <row r="38" spans="2:5" x14ac:dyDescent="0.3">
      <c r="B38" s="55" t="s">
        <v>185</v>
      </c>
      <c r="C38" s="55" t="s">
        <v>96</v>
      </c>
      <c r="D38" s="55" t="s">
        <v>187</v>
      </c>
      <c r="E38" s="56">
        <v>164.28018399999999</v>
      </c>
    </row>
    <row r="39" spans="2:5" x14ac:dyDescent="0.3">
      <c r="B39" s="53" t="s">
        <v>185</v>
      </c>
      <c r="C39" s="53" t="s">
        <v>131</v>
      </c>
      <c r="D39" s="53" t="s">
        <v>187</v>
      </c>
      <c r="E39" s="54">
        <v>154.11353800000001</v>
      </c>
    </row>
    <row r="40" spans="2:5" x14ac:dyDescent="0.3">
      <c r="B40" s="55" t="s">
        <v>185</v>
      </c>
      <c r="C40" s="55" t="s">
        <v>123</v>
      </c>
      <c r="D40" s="55" t="s">
        <v>186</v>
      </c>
      <c r="E40" s="56">
        <v>150.94947500000001</v>
      </c>
    </row>
    <row r="41" spans="2:5" x14ac:dyDescent="0.3">
      <c r="B41" s="53" t="s">
        <v>185</v>
      </c>
      <c r="C41" s="53" t="s">
        <v>94</v>
      </c>
      <c r="D41" s="53" t="s">
        <v>186</v>
      </c>
      <c r="E41" s="54">
        <v>138.402221</v>
      </c>
    </row>
    <row r="42" spans="2:5" x14ac:dyDescent="0.3">
      <c r="B42" s="55" t="s">
        <v>185</v>
      </c>
      <c r="C42" s="55" t="s">
        <v>133</v>
      </c>
      <c r="D42" s="55" t="s">
        <v>186</v>
      </c>
      <c r="E42" s="56">
        <v>91.403694999999999</v>
      </c>
    </row>
    <row r="43" spans="2:5" x14ac:dyDescent="0.3">
      <c r="B43" s="53" t="s">
        <v>185</v>
      </c>
      <c r="C43" s="53" t="s">
        <v>100</v>
      </c>
      <c r="D43" s="53" t="s">
        <v>187</v>
      </c>
      <c r="E43" s="54">
        <v>90.661092999999994</v>
      </c>
    </row>
    <row r="44" spans="2:5" x14ac:dyDescent="0.3">
      <c r="B44" s="55" t="s">
        <v>185</v>
      </c>
      <c r="C44" s="55" t="s">
        <v>116</v>
      </c>
      <c r="D44" s="55" t="s">
        <v>187</v>
      </c>
      <c r="E44" s="56">
        <v>89.235758000000004</v>
      </c>
    </row>
    <row r="45" spans="2:5" x14ac:dyDescent="0.3">
      <c r="B45" s="53" t="s">
        <v>185</v>
      </c>
      <c r="C45" s="53" t="s">
        <v>115</v>
      </c>
      <c r="D45" s="53" t="s">
        <v>187</v>
      </c>
      <c r="E45" s="54">
        <v>71.397772000000003</v>
      </c>
    </row>
    <row r="46" spans="2:5" x14ac:dyDescent="0.3">
      <c r="B46" s="55" t="s">
        <v>185</v>
      </c>
      <c r="C46" s="55" t="s">
        <v>81</v>
      </c>
      <c r="D46" s="55" t="s">
        <v>187</v>
      </c>
      <c r="E46" s="56">
        <v>62.416065000000003</v>
      </c>
    </row>
    <row r="47" spans="2:5" x14ac:dyDescent="0.3">
      <c r="B47" s="53" t="s">
        <v>185</v>
      </c>
      <c r="C47" s="53" t="s">
        <v>75</v>
      </c>
      <c r="D47" s="53" t="s">
        <v>186</v>
      </c>
      <c r="E47" s="54">
        <v>57.251899999999999</v>
      </c>
    </row>
    <row r="48" spans="2:5" x14ac:dyDescent="0.3">
      <c r="B48" s="55" t="s">
        <v>185</v>
      </c>
      <c r="C48" s="55" t="s">
        <v>114</v>
      </c>
      <c r="D48" s="55" t="s">
        <v>187</v>
      </c>
      <c r="E48" s="56">
        <v>47.061228999999997</v>
      </c>
    </row>
    <row r="49" spans="2:5" x14ac:dyDescent="0.3">
      <c r="B49" s="53" t="s">
        <v>185</v>
      </c>
      <c r="C49" s="53" t="s">
        <v>118</v>
      </c>
      <c r="D49" s="53" t="s">
        <v>187</v>
      </c>
      <c r="E49" s="54">
        <v>44.623604</v>
      </c>
    </row>
    <row r="50" spans="2:5" x14ac:dyDescent="0.3">
      <c r="B50" s="55" t="s">
        <v>185</v>
      </c>
      <c r="C50" s="55" t="s">
        <v>73</v>
      </c>
      <c r="D50" s="55" t="s">
        <v>186</v>
      </c>
      <c r="E50" s="56">
        <v>33.125</v>
      </c>
    </row>
    <row r="51" spans="2:5" x14ac:dyDescent="0.3">
      <c r="B51" s="53" t="s">
        <v>185</v>
      </c>
      <c r="C51" s="53" t="s">
        <v>106</v>
      </c>
      <c r="D51" s="53" t="s">
        <v>187</v>
      </c>
      <c r="E51" s="54">
        <v>23.890885999999998</v>
      </c>
    </row>
    <row r="52" spans="2:5" x14ac:dyDescent="0.3">
      <c r="B52" s="55" t="s">
        <v>185</v>
      </c>
      <c r="C52" s="55" t="s">
        <v>129</v>
      </c>
      <c r="D52" s="55" t="s">
        <v>187</v>
      </c>
      <c r="E52" s="56">
        <v>23.442148</v>
      </c>
    </row>
    <row r="53" spans="2:5" x14ac:dyDescent="0.3">
      <c r="B53" s="53" t="s">
        <v>185</v>
      </c>
      <c r="C53" s="53" t="s">
        <v>127</v>
      </c>
      <c r="D53" s="53" t="s">
        <v>186</v>
      </c>
      <c r="E53" s="54">
        <v>22.742999999999999</v>
      </c>
    </row>
    <row r="54" spans="2:5" x14ac:dyDescent="0.3">
      <c r="B54" s="55" t="s">
        <v>185</v>
      </c>
      <c r="C54" s="55" t="s">
        <v>117</v>
      </c>
      <c r="D54" s="55" t="s">
        <v>187</v>
      </c>
      <c r="E54" s="56">
        <v>18.995242999999999</v>
      </c>
    </row>
    <row r="55" spans="2:5" x14ac:dyDescent="0.3">
      <c r="B55" s="53" t="s">
        <v>185</v>
      </c>
      <c r="C55" s="53" t="s">
        <v>341</v>
      </c>
      <c r="D55" s="53" t="s">
        <v>186</v>
      </c>
      <c r="E55" s="54">
        <v>17.022417999999998</v>
      </c>
    </row>
    <row r="56" spans="2:5" x14ac:dyDescent="0.3">
      <c r="B56" s="55" t="s">
        <v>185</v>
      </c>
      <c r="C56" s="55" t="s">
        <v>105</v>
      </c>
      <c r="D56" s="55" t="s">
        <v>187</v>
      </c>
      <c r="E56" s="56">
        <v>16.311968</v>
      </c>
    </row>
    <row r="57" spans="2:5" x14ac:dyDescent="0.3">
      <c r="B57" s="53" t="s">
        <v>185</v>
      </c>
      <c r="C57" s="53" t="s">
        <v>110</v>
      </c>
      <c r="D57" s="53" t="s">
        <v>187</v>
      </c>
      <c r="E57" s="54">
        <v>8.6421659999999996</v>
      </c>
    </row>
    <row r="58" spans="2:5" x14ac:dyDescent="0.3">
      <c r="B58" s="55" t="s">
        <v>185</v>
      </c>
      <c r="C58" s="55" t="s">
        <v>120</v>
      </c>
      <c r="D58" s="55" t="s">
        <v>186</v>
      </c>
      <c r="E58" s="56">
        <v>8.5959979999999998</v>
      </c>
    </row>
    <row r="59" spans="2:5" x14ac:dyDescent="0.3">
      <c r="B59" s="53" t="s">
        <v>185</v>
      </c>
      <c r="C59" s="53" t="s">
        <v>341</v>
      </c>
      <c r="D59" s="53" t="s">
        <v>187</v>
      </c>
      <c r="E59" s="54">
        <v>4.4000000000000004</v>
      </c>
    </row>
    <row r="60" spans="2:5" x14ac:dyDescent="0.3">
      <c r="B60" s="55" t="s">
        <v>185</v>
      </c>
      <c r="C60" s="55" t="s">
        <v>121</v>
      </c>
      <c r="D60" s="55" t="s">
        <v>186</v>
      </c>
      <c r="E60" s="56">
        <v>4.1481849999999998</v>
      </c>
    </row>
    <row r="61" spans="2:5" x14ac:dyDescent="0.3">
      <c r="B61" s="53" t="s">
        <v>342</v>
      </c>
      <c r="C61" s="53" t="s">
        <v>119</v>
      </c>
      <c r="D61" s="53" t="s">
        <v>187</v>
      </c>
      <c r="E61" s="54">
        <v>0.69345699999999999</v>
      </c>
    </row>
    <row r="62" spans="2:5" x14ac:dyDescent="0.3">
      <c r="B62" s="55" t="s">
        <v>188</v>
      </c>
      <c r="C62" s="55" t="s">
        <v>97</v>
      </c>
      <c r="D62" s="55" t="s">
        <v>186</v>
      </c>
      <c r="E62" s="56">
        <v>488.40408699999983</v>
      </c>
    </row>
    <row r="63" spans="2:5" x14ac:dyDescent="0.3">
      <c r="B63" s="53" t="s">
        <v>188</v>
      </c>
      <c r="C63" s="53" t="s">
        <v>96</v>
      </c>
      <c r="D63" s="53" t="s">
        <v>186</v>
      </c>
      <c r="E63" s="54">
        <v>451.74854800000003</v>
      </c>
    </row>
    <row r="64" spans="2:5" x14ac:dyDescent="0.3">
      <c r="B64" s="55" t="s">
        <v>188</v>
      </c>
      <c r="C64" s="55" t="s">
        <v>343</v>
      </c>
      <c r="D64" s="55" t="s">
        <v>186</v>
      </c>
      <c r="E64" s="56">
        <v>379.85312599999963</v>
      </c>
    </row>
    <row r="65" spans="2:5" x14ac:dyDescent="0.3">
      <c r="B65" s="53" t="s">
        <v>188</v>
      </c>
      <c r="C65" s="53" t="s">
        <v>102</v>
      </c>
      <c r="D65" s="53" t="s">
        <v>186</v>
      </c>
      <c r="E65" s="54">
        <v>254.37043900000003</v>
      </c>
    </row>
    <row r="66" spans="2:5" x14ac:dyDescent="0.3">
      <c r="B66" s="55" t="s">
        <v>188</v>
      </c>
      <c r="C66" s="55" t="s">
        <v>298</v>
      </c>
      <c r="D66" s="55" t="s">
        <v>186</v>
      </c>
      <c r="E66" s="56">
        <v>231.04306699999992</v>
      </c>
    </row>
    <row r="67" spans="2:5" x14ac:dyDescent="0.3">
      <c r="B67" s="53" t="s">
        <v>188</v>
      </c>
      <c r="C67" s="53" t="s">
        <v>103</v>
      </c>
      <c r="D67" s="53" t="s">
        <v>186</v>
      </c>
      <c r="E67" s="54">
        <v>224.94416200000001</v>
      </c>
    </row>
    <row r="68" spans="2:5" x14ac:dyDescent="0.3">
      <c r="B68" s="55" t="s">
        <v>188</v>
      </c>
      <c r="C68" s="55" t="s">
        <v>299</v>
      </c>
      <c r="D68" s="55" t="s">
        <v>186</v>
      </c>
      <c r="E68" s="56">
        <v>146.34588600000001</v>
      </c>
    </row>
    <row r="69" spans="2:5" x14ac:dyDescent="0.3">
      <c r="B69" s="53" t="s">
        <v>188</v>
      </c>
      <c r="C69" s="53" t="s">
        <v>123</v>
      </c>
      <c r="D69" s="53" t="s">
        <v>186</v>
      </c>
      <c r="E69" s="54">
        <v>94.428620000000009</v>
      </c>
    </row>
    <row r="70" spans="2:5" x14ac:dyDescent="0.3">
      <c r="B70" s="55" t="s">
        <v>188</v>
      </c>
      <c r="C70" s="55" t="s">
        <v>73</v>
      </c>
      <c r="D70" s="55" t="s">
        <v>186</v>
      </c>
      <c r="E70" s="56">
        <v>69.186814999999996</v>
      </c>
    </row>
    <row r="71" spans="2:5" x14ac:dyDescent="0.3">
      <c r="B71" s="53" t="s">
        <v>188</v>
      </c>
      <c r="C71" s="53" t="s">
        <v>114</v>
      </c>
      <c r="D71" s="53" t="s">
        <v>186</v>
      </c>
      <c r="E71" s="54">
        <v>42.371946000000001</v>
      </c>
    </row>
    <row r="72" spans="2:5" x14ac:dyDescent="0.3">
      <c r="B72" s="55" t="s">
        <v>188</v>
      </c>
      <c r="C72" s="55" t="s">
        <v>105</v>
      </c>
      <c r="D72" s="55" t="s">
        <v>186</v>
      </c>
      <c r="E72" s="56">
        <v>31.185009000000012</v>
      </c>
    </row>
    <row r="73" spans="2:5" x14ac:dyDescent="0.3">
      <c r="B73" s="53" t="s">
        <v>188</v>
      </c>
      <c r="C73" s="53" t="s">
        <v>301</v>
      </c>
      <c r="D73" s="53" t="s">
        <v>186</v>
      </c>
      <c r="E73" s="54">
        <v>27.691419000000003</v>
      </c>
    </row>
    <row r="74" spans="2:5" x14ac:dyDescent="0.3">
      <c r="B74" s="55" t="s">
        <v>188</v>
      </c>
      <c r="C74" s="55" t="s">
        <v>110</v>
      </c>
      <c r="D74" s="55" t="s">
        <v>186</v>
      </c>
      <c r="E74" s="56">
        <v>26.144891999999999</v>
      </c>
    </row>
    <row r="75" spans="2:5" x14ac:dyDescent="0.3">
      <c r="B75" s="53" t="s">
        <v>188</v>
      </c>
      <c r="C75" s="53" t="s">
        <v>132</v>
      </c>
      <c r="D75" s="53" t="s">
        <v>186</v>
      </c>
      <c r="E75" s="54">
        <v>23.082499999999992</v>
      </c>
    </row>
    <row r="76" spans="2:5" x14ac:dyDescent="0.3">
      <c r="B76" s="55" t="s">
        <v>188</v>
      </c>
      <c r="C76" s="55" t="s">
        <v>116</v>
      </c>
      <c r="D76" s="55" t="s">
        <v>186</v>
      </c>
      <c r="E76" s="56">
        <v>21.268481000000001</v>
      </c>
    </row>
    <row r="77" spans="2:5" x14ac:dyDescent="0.3">
      <c r="B77" s="53" t="s">
        <v>188</v>
      </c>
      <c r="C77" s="53" t="s">
        <v>115</v>
      </c>
      <c r="D77" s="53" t="s">
        <v>186</v>
      </c>
      <c r="E77" s="54">
        <v>14.337211000000002</v>
      </c>
    </row>
    <row r="78" spans="2:5" x14ac:dyDescent="0.3">
      <c r="B78" s="55" t="s">
        <v>188</v>
      </c>
      <c r="C78" s="55" t="s">
        <v>343</v>
      </c>
      <c r="D78" s="55" t="s">
        <v>187</v>
      </c>
      <c r="E78" s="56">
        <v>14.32907</v>
      </c>
    </row>
    <row r="79" spans="2:5" x14ac:dyDescent="0.3">
      <c r="B79" s="53" t="s">
        <v>188</v>
      </c>
      <c r="C79" s="53" t="s">
        <v>72</v>
      </c>
      <c r="D79" s="53" t="s">
        <v>186</v>
      </c>
      <c r="E79" s="54">
        <v>10.4</v>
      </c>
    </row>
    <row r="80" spans="2:5" x14ac:dyDescent="0.3">
      <c r="B80" s="55" t="s">
        <v>188</v>
      </c>
      <c r="C80" s="55" t="s">
        <v>118</v>
      </c>
      <c r="D80" s="55" t="s">
        <v>186</v>
      </c>
      <c r="E80" s="56">
        <v>8.9574990000000003</v>
      </c>
    </row>
    <row r="81" spans="2:6" x14ac:dyDescent="0.3">
      <c r="B81" s="53" t="s">
        <v>188</v>
      </c>
      <c r="C81" s="53" t="s">
        <v>97</v>
      </c>
      <c r="D81" s="53" t="s">
        <v>187</v>
      </c>
      <c r="E81" s="54">
        <v>7.7167399999999997</v>
      </c>
    </row>
    <row r="82" spans="2:6" x14ac:dyDescent="0.3">
      <c r="B82" s="55" t="s">
        <v>188</v>
      </c>
      <c r="C82" s="55" t="s">
        <v>302</v>
      </c>
      <c r="D82" s="55" t="s">
        <v>186</v>
      </c>
      <c r="E82" s="56">
        <v>6.3250000001455176</v>
      </c>
    </row>
    <row r="83" spans="2:6" x14ac:dyDescent="0.3">
      <c r="B83" s="53" t="s">
        <v>188</v>
      </c>
      <c r="C83" s="53" t="s">
        <v>344</v>
      </c>
      <c r="D83" s="53" t="s">
        <v>186</v>
      </c>
      <c r="E83" s="54">
        <v>3.8889999999999993</v>
      </c>
    </row>
    <row r="84" spans="2:6" x14ac:dyDescent="0.3">
      <c r="B84" s="55" t="s">
        <v>188</v>
      </c>
      <c r="C84" s="55" t="s">
        <v>303</v>
      </c>
      <c r="D84" s="55" t="s">
        <v>186</v>
      </c>
      <c r="E84" s="56">
        <v>2.3361229999999997</v>
      </c>
    </row>
    <row r="85" spans="2:6" x14ac:dyDescent="0.3">
      <c r="B85" s="53" t="s">
        <v>188</v>
      </c>
      <c r="C85" s="53" t="s">
        <v>104</v>
      </c>
      <c r="D85" s="53" t="s">
        <v>186</v>
      </c>
      <c r="E85" s="54">
        <v>1.6278239999999999</v>
      </c>
    </row>
    <row r="86" spans="2:6" x14ac:dyDescent="0.3">
      <c r="B86" s="55" t="s">
        <v>188</v>
      </c>
      <c r="C86" s="55" t="s">
        <v>121</v>
      </c>
      <c r="D86" s="55" t="s">
        <v>186</v>
      </c>
      <c r="E86" s="56">
        <v>1.508529</v>
      </c>
    </row>
    <row r="87" spans="2:6" x14ac:dyDescent="0.3">
      <c r="B87" s="53" t="s">
        <v>188</v>
      </c>
      <c r="C87" s="53" t="s">
        <v>105</v>
      </c>
      <c r="D87" s="53" t="s">
        <v>187</v>
      </c>
      <c r="E87" s="54">
        <v>1.4921899999999997</v>
      </c>
    </row>
    <row r="88" spans="2:6" x14ac:dyDescent="0.3">
      <c r="B88" s="55" t="s">
        <v>188</v>
      </c>
      <c r="C88" s="55" t="s">
        <v>119</v>
      </c>
      <c r="D88" s="55" t="s">
        <v>186</v>
      </c>
      <c r="E88" s="56">
        <v>0.9746760000000001</v>
      </c>
      <c r="F88" s="60"/>
    </row>
    <row r="89" spans="2:6" x14ac:dyDescent="0.3">
      <c r="B89" s="53" t="s">
        <v>188</v>
      </c>
      <c r="C89" s="53" t="s">
        <v>304</v>
      </c>
      <c r="D89" s="53" t="s">
        <v>186</v>
      </c>
      <c r="E89" s="54">
        <v>0.40868300000000002</v>
      </c>
    </row>
    <row r="90" spans="2:6" x14ac:dyDescent="0.3">
      <c r="B90" s="55" t="s">
        <v>188</v>
      </c>
      <c r="C90" s="55" t="s">
        <v>305</v>
      </c>
      <c r="D90" s="55" t="s">
        <v>186</v>
      </c>
      <c r="E90" s="56">
        <v>0.4</v>
      </c>
    </row>
    <row r="91" spans="2:6" x14ac:dyDescent="0.3">
      <c r="B91" s="53" t="s">
        <v>188</v>
      </c>
      <c r="C91" s="53" t="s">
        <v>120</v>
      </c>
      <c r="D91" s="53" t="s">
        <v>186</v>
      </c>
      <c r="E91" s="54">
        <v>0.13016299999999997</v>
      </c>
      <c r="F91" s="65"/>
    </row>
    <row r="92" spans="2:6" x14ac:dyDescent="0.3">
      <c r="B92" s="66"/>
      <c r="C92" s="57" t="s">
        <v>293</v>
      </c>
      <c r="D92" s="57"/>
      <c r="E92" s="58">
        <f>SUM(E7:E91)</f>
        <v>161034.42890622019</v>
      </c>
      <c r="F92" s="6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702A-C2D9-4312-8B26-63B42C24EF8C}">
  <dimension ref="B2:M270"/>
  <sheetViews>
    <sheetView showGridLines="0" zoomScale="80" zoomScaleNormal="80" workbookViewId="0">
      <selection activeCell="B15" sqref="B15"/>
    </sheetView>
  </sheetViews>
  <sheetFormatPr baseColWidth="10" defaultColWidth="11.453125" defaultRowHeight="12" x14ac:dyDescent="0.3"/>
  <cols>
    <col min="1" max="1" width="5.36328125" style="3" customWidth="1"/>
    <col min="2" max="2" width="48.36328125" style="3" customWidth="1"/>
    <col min="3" max="3" width="11.453125" style="3"/>
    <col min="4" max="4" width="53.54296875" style="3" bestFit="1" customWidth="1"/>
    <col min="5" max="16384" width="11.453125" style="3"/>
  </cols>
  <sheetData>
    <row r="2" spans="2:13" ht="19" x14ac:dyDescent="0.45">
      <c r="B2" s="1" t="s">
        <v>345</v>
      </c>
    </row>
    <row r="4" spans="2:13" ht="16" thickBot="1" x14ac:dyDescent="0.35">
      <c r="B4" s="67"/>
      <c r="C4" s="67"/>
      <c r="D4" s="67"/>
      <c r="E4" s="68" t="s">
        <v>346</v>
      </c>
      <c r="F4" s="68"/>
      <c r="G4" s="68"/>
      <c r="H4" s="68"/>
      <c r="I4" s="68"/>
      <c r="J4" s="68"/>
      <c r="K4" s="68"/>
      <c r="L4" s="68"/>
      <c r="M4" s="67"/>
    </row>
    <row r="5" spans="2:13" ht="12.5" thickBot="1" x14ac:dyDescent="0.35">
      <c r="B5" s="69" t="s">
        <v>347</v>
      </c>
      <c r="C5" s="69" t="s">
        <v>183</v>
      </c>
      <c r="D5" s="69" t="s">
        <v>59</v>
      </c>
      <c r="E5" s="70" t="s">
        <v>128</v>
      </c>
      <c r="F5" s="70" t="s">
        <v>122</v>
      </c>
      <c r="G5" s="70" t="s">
        <v>126</v>
      </c>
      <c r="H5" s="70" t="s">
        <v>85</v>
      </c>
      <c r="I5" s="70" t="s">
        <v>113</v>
      </c>
      <c r="J5" s="70" t="s">
        <v>95</v>
      </c>
      <c r="K5" s="70" t="s">
        <v>70</v>
      </c>
      <c r="L5" s="70" t="s">
        <v>130</v>
      </c>
      <c r="M5" s="70" t="s">
        <v>348</v>
      </c>
    </row>
    <row r="6" spans="2:13" x14ac:dyDescent="0.3">
      <c r="B6" s="71" t="s">
        <v>349</v>
      </c>
      <c r="C6" s="71" t="s">
        <v>187</v>
      </c>
      <c r="D6" s="71" t="s">
        <v>343</v>
      </c>
      <c r="E6" s="72" t="s">
        <v>350</v>
      </c>
      <c r="F6" s="72" t="s">
        <v>350</v>
      </c>
      <c r="G6" s="72" t="s">
        <v>350</v>
      </c>
      <c r="H6" s="72" t="s">
        <v>350</v>
      </c>
      <c r="I6" s="72" t="s">
        <v>350</v>
      </c>
      <c r="J6" s="72" t="s">
        <v>350</v>
      </c>
      <c r="K6" s="72" t="s">
        <v>350</v>
      </c>
      <c r="L6" s="72">
        <v>11.2</v>
      </c>
      <c r="M6" s="72">
        <v>11.2</v>
      </c>
    </row>
    <row r="7" spans="2:13" x14ac:dyDescent="0.3">
      <c r="B7" s="73" t="s">
        <v>223</v>
      </c>
      <c r="C7" s="73" t="s">
        <v>187</v>
      </c>
      <c r="D7" s="73" t="s">
        <v>97</v>
      </c>
      <c r="E7" s="74" t="s">
        <v>350</v>
      </c>
      <c r="F7" s="74" t="s">
        <v>350</v>
      </c>
      <c r="G7" s="74" t="s">
        <v>350</v>
      </c>
      <c r="H7" s="74" t="s">
        <v>350</v>
      </c>
      <c r="I7" s="74" t="s">
        <v>350</v>
      </c>
      <c r="J7" s="74">
        <v>6.3</v>
      </c>
      <c r="K7" s="74" t="s">
        <v>350</v>
      </c>
      <c r="L7" s="74" t="s">
        <v>350</v>
      </c>
      <c r="M7" s="74">
        <v>6.3</v>
      </c>
    </row>
    <row r="8" spans="2:13" x14ac:dyDescent="0.3">
      <c r="B8" s="71" t="s">
        <v>246</v>
      </c>
      <c r="C8" s="71" t="s">
        <v>187</v>
      </c>
      <c r="D8" s="71" t="s">
        <v>343</v>
      </c>
      <c r="E8" s="72" t="s">
        <v>350</v>
      </c>
      <c r="F8" s="72" t="s">
        <v>350</v>
      </c>
      <c r="G8" s="72" t="s">
        <v>350</v>
      </c>
      <c r="H8" s="72" t="s">
        <v>350</v>
      </c>
      <c r="I8" s="72" t="s">
        <v>350</v>
      </c>
      <c r="J8" s="72" t="s">
        <v>350</v>
      </c>
      <c r="K8" s="72" t="s">
        <v>350</v>
      </c>
      <c r="L8" s="72">
        <v>1.98</v>
      </c>
      <c r="M8" s="72">
        <v>1.98</v>
      </c>
    </row>
    <row r="9" spans="2:13" x14ac:dyDescent="0.3">
      <c r="B9" s="73" t="s">
        <v>246</v>
      </c>
      <c r="C9" s="73" t="s">
        <v>187</v>
      </c>
      <c r="D9" s="73" t="s">
        <v>97</v>
      </c>
      <c r="E9" s="74" t="s">
        <v>350</v>
      </c>
      <c r="F9" s="74" t="s">
        <v>350</v>
      </c>
      <c r="G9" s="74" t="s">
        <v>350</v>
      </c>
      <c r="H9" s="74" t="s">
        <v>350</v>
      </c>
      <c r="I9" s="74" t="s">
        <v>350</v>
      </c>
      <c r="J9" s="74">
        <v>1.42</v>
      </c>
      <c r="K9" s="74" t="s">
        <v>350</v>
      </c>
      <c r="L9" s="74" t="s">
        <v>350</v>
      </c>
      <c r="M9" s="74">
        <v>1.42</v>
      </c>
    </row>
    <row r="10" spans="2:13" x14ac:dyDescent="0.3">
      <c r="B10" s="71" t="s">
        <v>246</v>
      </c>
      <c r="C10" s="71" t="s">
        <v>187</v>
      </c>
      <c r="D10" s="71" t="s">
        <v>105</v>
      </c>
      <c r="E10" s="72" t="s">
        <v>350</v>
      </c>
      <c r="F10" s="72" t="s">
        <v>350</v>
      </c>
      <c r="G10" s="72" t="s">
        <v>350</v>
      </c>
      <c r="H10" s="72" t="s">
        <v>350</v>
      </c>
      <c r="I10" s="72" t="s">
        <v>350</v>
      </c>
      <c r="J10" s="72">
        <v>1.4</v>
      </c>
      <c r="K10" s="72" t="s">
        <v>350</v>
      </c>
      <c r="L10" s="72" t="s">
        <v>350</v>
      </c>
      <c r="M10" s="72">
        <v>1.4</v>
      </c>
    </row>
    <row r="11" spans="2:13" x14ac:dyDescent="0.3">
      <c r="B11" s="73" t="s">
        <v>324</v>
      </c>
      <c r="C11" s="73" t="s">
        <v>187</v>
      </c>
      <c r="D11" s="73" t="s">
        <v>343</v>
      </c>
      <c r="E11" s="74" t="s">
        <v>350</v>
      </c>
      <c r="F11" s="74" t="s">
        <v>350</v>
      </c>
      <c r="G11" s="74" t="s">
        <v>350</v>
      </c>
      <c r="H11" s="74" t="s">
        <v>350</v>
      </c>
      <c r="I11" s="74" t="s">
        <v>350</v>
      </c>
      <c r="J11" s="74" t="s">
        <v>350</v>
      </c>
      <c r="K11" s="74" t="s">
        <v>350</v>
      </c>
      <c r="L11" s="74">
        <v>1.1499999999999999</v>
      </c>
      <c r="M11" s="74">
        <v>1.1499999999999999</v>
      </c>
    </row>
    <row r="12" spans="2:13" x14ac:dyDescent="0.3">
      <c r="B12" s="71" t="s">
        <v>223</v>
      </c>
      <c r="C12" s="71" t="s">
        <v>187</v>
      </c>
      <c r="D12" s="71" t="s">
        <v>105</v>
      </c>
      <c r="E12" s="72" t="s">
        <v>350</v>
      </c>
      <c r="F12" s="72" t="s">
        <v>350</v>
      </c>
      <c r="G12" s="72" t="s">
        <v>350</v>
      </c>
      <c r="H12" s="72" t="s">
        <v>350</v>
      </c>
      <c r="I12" s="72" t="s">
        <v>350</v>
      </c>
      <c r="J12" s="72">
        <v>0.09</v>
      </c>
      <c r="K12" s="72" t="s">
        <v>350</v>
      </c>
      <c r="L12" s="72" t="s">
        <v>350</v>
      </c>
      <c r="M12" s="72">
        <v>0.09</v>
      </c>
    </row>
    <row r="13" spans="2:13" x14ac:dyDescent="0.3">
      <c r="B13" s="75" t="s">
        <v>351</v>
      </c>
      <c r="C13" s="76"/>
      <c r="D13" s="76"/>
      <c r="E13" s="77" t="s">
        <v>350</v>
      </c>
      <c r="F13" s="77" t="s">
        <v>350</v>
      </c>
      <c r="G13" s="77" t="s">
        <v>350</v>
      </c>
      <c r="H13" s="77" t="s">
        <v>350</v>
      </c>
      <c r="I13" s="77" t="s">
        <v>350</v>
      </c>
      <c r="J13" s="77">
        <v>9.2100000000000009</v>
      </c>
      <c r="K13" s="77" t="s">
        <v>350</v>
      </c>
      <c r="L13" s="77">
        <v>14.33</v>
      </c>
      <c r="M13" s="77">
        <v>23.54</v>
      </c>
    </row>
    <row r="14" spans="2:13" x14ac:dyDescent="0.3">
      <c r="B14" s="73" t="s">
        <v>189</v>
      </c>
      <c r="C14" s="73" t="s">
        <v>186</v>
      </c>
      <c r="D14" s="73" t="s">
        <v>96</v>
      </c>
      <c r="E14" s="74" t="s">
        <v>350</v>
      </c>
      <c r="F14" s="74" t="s">
        <v>350</v>
      </c>
      <c r="G14" s="74" t="s">
        <v>350</v>
      </c>
      <c r="H14" s="74" t="s">
        <v>350</v>
      </c>
      <c r="I14" s="74" t="s">
        <v>350</v>
      </c>
      <c r="J14" s="74">
        <v>280.42</v>
      </c>
      <c r="K14" s="74" t="s">
        <v>350</v>
      </c>
      <c r="L14" s="74" t="s">
        <v>350</v>
      </c>
      <c r="M14" s="74">
        <v>280.42</v>
      </c>
    </row>
    <row r="15" spans="2:13" x14ac:dyDescent="0.3">
      <c r="B15" s="71" t="s">
        <v>189</v>
      </c>
      <c r="C15" s="71" t="s">
        <v>186</v>
      </c>
      <c r="D15" s="71" t="s">
        <v>103</v>
      </c>
      <c r="E15" s="72" t="s">
        <v>350</v>
      </c>
      <c r="F15" s="72" t="s">
        <v>350</v>
      </c>
      <c r="G15" s="72" t="s">
        <v>350</v>
      </c>
      <c r="H15" s="72" t="s">
        <v>350</v>
      </c>
      <c r="I15" s="72" t="s">
        <v>350</v>
      </c>
      <c r="J15" s="72">
        <v>201.95</v>
      </c>
      <c r="K15" s="72" t="s">
        <v>350</v>
      </c>
      <c r="L15" s="72" t="s">
        <v>350</v>
      </c>
      <c r="M15" s="72">
        <v>201.95</v>
      </c>
    </row>
    <row r="16" spans="2:13" x14ac:dyDescent="0.3">
      <c r="B16" s="73" t="s">
        <v>192</v>
      </c>
      <c r="C16" s="73" t="s">
        <v>186</v>
      </c>
      <c r="D16" s="73" t="s">
        <v>299</v>
      </c>
      <c r="E16" s="74" t="s">
        <v>350</v>
      </c>
      <c r="F16" s="74" t="s">
        <v>350</v>
      </c>
      <c r="G16" s="74" t="s">
        <v>350</v>
      </c>
      <c r="H16" s="74" t="s">
        <v>350</v>
      </c>
      <c r="I16" s="74" t="s">
        <v>350</v>
      </c>
      <c r="J16" s="74" t="s">
        <v>350</v>
      </c>
      <c r="K16" s="74">
        <v>145.28</v>
      </c>
      <c r="L16" s="74" t="s">
        <v>350</v>
      </c>
      <c r="M16" s="74">
        <v>145.28</v>
      </c>
    </row>
    <row r="17" spans="2:13" x14ac:dyDescent="0.3">
      <c r="B17" s="71" t="s">
        <v>191</v>
      </c>
      <c r="C17" s="71" t="s">
        <v>186</v>
      </c>
      <c r="D17" s="71" t="s">
        <v>343</v>
      </c>
      <c r="E17" s="72">
        <v>19.670000000000002</v>
      </c>
      <c r="F17" s="72" t="s">
        <v>350</v>
      </c>
      <c r="G17" s="72" t="s">
        <v>350</v>
      </c>
      <c r="H17" s="72" t="s">
        <v>350</v>
      </c>
      <c r="I17" s="72" t="s">
        <v>350</v>
      </c>
      <c r="J17" s="72" t="s">
        <v>350</v>
      </c>
      <c r="K17" s="72" t="s">
        <v>350</v>
      </c>
      <c r="L17" s="72">
        <v>106.77</v>
      </c>
      <c r="M17" s="72">
        <v>126.43</v>
      </c>
    </row>
    <row r="18" spans="2:13" x14ac:dyDescent="0.3">
      <c r="B18" s="73" t="s">
        <v>191</v>
      </c>
      <c r="C18" s="73" t="s">
        <v>186</v>
      </c>
      <c r="D18" s="73" t="s">
        <v>97</v>
      </c>
      <c r="E18" s="74" t="s">
        <v>350</v>
      </c>
      <c r="F18" s="74" t="s">
        <v>350</v>
      </c>
      <c r="G18" s="74" t="s">
        <v>350</v>
      </c>
      <c r="H18" s="74" t="s">
        <v>350</v>
      </c>
      <c r="I18" s="74" t="s">
        <v>350</v>
      </c>
      <c r="J18" s="74">
        <v>112.88</v>
      </c>
      <c r="K18" s="74" t="s">
        <v>350</v>
      </c>
      <c r="L18" s="74" t="s">
        <v>350</v>
      </c>
      <c r="M18" s="74">
        <v>112.88</v>
      </c>
    </row>
    <row r="19" spans="2:13" x14ac:dyDescent="0.3">
      <c r="B19" s="71" t="s">
        <v>190</v>
      </c>
      <c r="C19" s="71" t="s">
        <v>186</v>
      </c>
      <c r="D19" s="71" t="s">
        <v>96</v>
      </c>
      <c r="E19" s="72" t="s">
        <v>350</v>
      </c>
      <c r="F19" s="72" t="s">
        <v>350</v>
      </c>
      <c r="G19" s="72" t="s">
        <v>350</v>
      </c>
      <c r="H19" s="72" t="s">
        <v>350</v>
      </c>
      <c r="I19" s="72" t="s">
        <v>350</v>
      </c>
      <c r="J19" s="72">
        <v>105.83</v>
      </c>
      <c r="K19" s="72" t="s">
        <v>350</v>
      </c>
      <c r="L19" s="72" t="s">
        <v>350</v>
      </c>
      <c r="M19" s="72">
        <v>105.83</v>
      </c>
    </row>
    <row r="20" spans="2:13" x14ac:dyDescent="0.3">
      <c r="B20" s="73" t="s">
        <v>193</v>
      </c>
      <c r="C20" s="73" t="s">
        <v>186</v>
      </c>
      <c r="D20" s="73" t="s">
        <v>298</v>
      </c>
      <c r="E20" s="74" t="s">
        <v>350</v>
      </c>
      <c r="F20" s="74" t="s">
        <v>350</v>
      </c>
      <c r="G20" s="74" t="s">
        <v>350</v>
      </c>
      <c r="H20" s="74">
        <v>104.06</v>
      </c>
      <c r="I20" s="74" t="s">
        <v>350</v>
      </c>
      <c r="J20" s="74" t="s">
        <v>350</v>
      </c>
      <c r="K20" s="74" t="s">
        <v>350</v>
      </c>
      <c r="L20" s="74" t="s">
        <v>350</v>
      </c>
      <c r="M20" s="74">
        <v>104.06</v>
      </c>
    </row>
    <row r="21" spans="2:13" x14ac:dyDescent="0.3">
      <c r="B21" s="71" t="s">
        <v>195</v>
      </c>
      <c r="C21" s="71" t="s">
        <v>186</v>
      </c>
      <c r="D21" s="71" t="s">
        <v>102</v>
      </c>
      <c r="E21" s="72" t="s">
        <v>350</v>
      </c>
      <c r="F21" s="72" t="s">
        <v>350</v>
      </c>
      <c r="G21" s="72" t="s">
        <v>350</v>
      </c>
      <c r="H21" s="72" t="s">
        <v>350</v>
      </c>
      <c r="I21" s="72" t="s">
        <v>350</v>
      </c>
      <c r="J21" s="72">
        <v>80.94</v>
      </c>
      <c r="K21" s="72" t="s">
        <v>350</v>
      </c>
      <c r="L21" s="72" t="s">
        <v>350</v>
      </c>
      <c r="M21" s="72">
        <v>80.94</v>
      </c>
    </row>
    <row r="22" spans="2:13" x14ac:dyDescent="0.3">
      <c r="B22" s="73" t="s">
        <v>198</v>
      </c>
      <c r="C22" s="73" t="s">
        <v>186</v>
      </c>
      <c r="D22" s="73" t="s">
        <v>97</v>
      </c>
      <c r="E22" s="74" t="s">
        <v>350</v>
      </c>
      <c r="F22" s="74" t="s">
        <v>350</v>
      </c>
      <c r="G22" s="74" t="s">
        <v>350</v>
      </c>
      <c r="H22" s="74" t="s">
        <v>350</v>
      </c>
      <c r="I22" s="74" t="s">
        <v>350</v>
      </c>
      <c r="J22" s="74">
        <v>61.22</v>
      </c>
      <c r="K22" s="74" t="s">
        <v>350</v>
      </c>
      <c r="L22" s="74" t="s">
        <v>350</v>
      </c>
      <c r="M22" s="74">
        <v>61.22</v>
      </c>
    </row>
    <row r="23" spans="2:13" x14ac:dyDescent="0.3">
      <c r="B23" s="71" t="s">
        <v>190</v>
      </c>
      <c r="C23" s="71" t="s">
        <v>186</v>
      </c>
      <c r="D23" s="71" t="s">
        <v>97</v>
      </c>
      <c r="E23" s="72" t="s">
        <v>350</v>
      </c>
      <c r="F23" s="72" t="s">
        <v>350</v>
      </c>
      <c r="G23" s="72" t="s">
        <v>350</v>
      </c>
      <c r="H23" s="72" t="s">
        <v>350</v>
      </c>
      <c r="I23" s="72" t="s">
        <v>350</v>
      </c>
      <c r="J23" s="72">
        <v>59.64</v>
      </c>
      <c r="K23" s="72" t="s">
        <v>350</v>
      </c>
      <c r="L23" s="72" t="s">
        <v>350</v>
      </c>
      <c r="M23" s="72">
        <v>59.64</v>
      </c>
    </row>
    <row r="24" spans="2:13" x14ac:dyDescent="0.3">
      <c r="B24" s="73" t="s">
        <v>196</v>
      </c>
      <c r="C24" s="73" t="s">
        <v>186</v>
      </c>
      <c r="D24" s="73" t="s">
        <v>343</v>
      </c>
      <c r="E24" s="74">
        <v>9.1999999999999993</v>
      </c>
      <c r="F24" s="74" t="s">
        <v>350</v>
      </c>
      <c r="G24" s="74" t="s">
        <v>350</v>
      </c>
      <c r="H24" s="74" t="s">
        <v>350</v>
      </c>
      <c r="I24" s="74" t="s">
        <v>350</v>
      </c>
      <c r="J24" s="74" t="s">
        <v>350</v>
      </c>
      <c r="K24" s="74" t="s">
        <v>350</v>
      </c>
      <c r="L24" s="74">
        <v>41.21</v>
      </c>
      <c r="M24" s="74">
        <v>50.41</v>
      </c>
    </row>
    <row r="25" spans="2:13" x14ac:dyDescent="0.3">
      <c r="B25" s="71" t="s">
        <v>197</v>
      </c>
      <c r="C25" s="71" t="s">
        <v>186</v>
      </c>
      <c r="D25" s="71" t="s">
        <v>102</v>
      </c>
      <c r="E25" s="72" t="s">
        <v>350</v>
      </c>
      <c r="F25" s="72" t="s">
        <v>350</v>
      </c>
      <c r="G25" s="72" t="s">
        <v>350</v>
      </c>
      <c r="H25" s="72" t="s">
        <v>350</v>
      </c>
      <c r="I25" s="72" t="s">
        <v>350</v>
      </c>
      <c r="J25" s="72">
        <v>43.47</v>
      </c>
      <c r="K25" s="72" t="s">
        <v>350</v>
      </c>
      <c r="L25" s="72" t="s">
        <v>350</v>
      </c>
      <c r="M25" s="72">
        <v>43.47</v>
      </c>
    </row>
    <row r="26" spans="2:13" x14ac:dyDescent="0.3">
      <c r="B26" s="73" t="s">
        <v>199</v>
      </c>
      <c r="C26" s="73" t="s">
        <v>186</v>
      </c>
      <c r="D26" s="73" t="s">
        <v>97</v>
      </c>
      <c r="E26" s="74" t="s">
        <v>350</v>
      </c>
      <c r="F26" s="74" t="s">
        <v>350</v>
      </c>
      <c r="G26" s="74" t="s">
        <v>350</v>
      </c>
      <c r="H26" s="74" t="s">
        <v>350</v>
      </c>
      <c r="I26" s="74" t="s">
        <v>350</v>
      </c>
      <c r="J26" s="74">
        <v>39.85</v>
      </c>
      <c r="K26" s="74" t="s">
        <v>350</v>
      </c>
      <c r="L26" s="74" t="s">
        <v>350</v>
      </c>
      <c r="M26" s="74">
        <v>39.85</v>
      </c>
    </row>
    <row r="27" spans="2:13" x14ac:dyDescent="0.3">
      <c r="B27" s="71" t="s">
        <v>194</v>
      </c>
      <c r="C27" s="71" t="s">
        <v>186</v>
      </c>
      <c r="D27" s="71" t="s">
        <v>102</v>
      </c>
      <c r="E27" s="72" t="s">
        <v>350</v>
      </c>
      <c r="F27" s="72" t="s">
        <v>350</v>
      </c>
      <c r="G27" s="72" t="s">
        <v>350</v>
      </c>
      <c r="H27" s="72" t="s">
        <v>350</v>
      </c>
      <c r="I27" s="72" t="s">
        <v>350</v>
      </c>
      <c r="J27" s="72">
        <v>39.74</v>
      </c>
      <c r="K27" s="72" t="s">
        <v>350</v>
      </c>
      <c r="L27" s="72" t="s">
        <v>350</v>
      </c>
      <c r="M27" s="72">
        <v>39.74</v>
      </c>
    </row>
    <row r="28" spans="2:13" x14ac:dyDescent="0.3">
      <c r="B28" s="73" t="s">
        <v>196</v>
      </c>
      <c r="C28" s="73" t="s">
        <v>186</v>
      </c>
      <c r="D28" s="73" t="s">
        <v>97</v>
      </c>
      <c r="E28" s="74" t="s">
        <v>350</v>
      </c>
      <c r="F28" s="74" t="s">
        <v>350</v>
      </c>
      <c r="G28" s="74" t="s">
        <v>350</v>
      </c>
      <c r="H28" s="74" t="s">
        <v>350</v>
      </c>
      <c r="I28" s="74" t="s">
        <v>350</v>
      </c>
      <c r="J28" s="74">
        <v>37.08</v>
      </c>
      <c r="K28" s="74" t="s">
        <v>350</v>
      </c>
      <c r="L28" s="74" t="s">
        <v>350</v>
      </c>
      <c r="M28" s="74">
        <v>37.08</v>
      </c>
    </row>
    <row r="29" spans="2:13" x14ac:dyDescent="0.3">
      <c r="B29" s="71" t="s">
        <v>194</v>
      </c>
      <c r="C29" s="71" t="s">
        <v>186</v>
      </c>
      <c r="D29" s="71" t="s">
        <v>96</v>
      </c>
      <c r="E29" s="72" t="s">
        <v>350</v>
      </c>
      <c r="F29" s="72" t="s">
        <v>350</v>
      </c>
      <c r="G29" s="72" t="s">
        <v>350</v>
      </c>
      <c r="H29" s="72" t="s">
        <v>350</v>
      </c>
      <c r="I29" s="72" t="s">
        <v>350</v>
      </c>
      <c r="J29" s="72">
        <v>33.9</v>
      </c>
      <c r="K29" s="72" t="s">
        <v>350</v>
      </c>
      <c r="L29" s="72" t="s">
        <v>350</v>
      </c>
      <c r="M29" s="72">
        <v>33.9</v>
      </c>
    </row>
    <row r="30" spans="2:13" x14ac:dyDescent="0.3">
      <c r="B30" s="73" t="s">
        <v>201</v>
      </c>
      <c r="C30" s="73" t="s">
        <v>186</v>
      </c>
      <c r="D30" s="73" t="s">
        <v>97</v>
      </c>
      <c r="E30" s="74" t="s">
        <v>350</v>
      </c>
      <c r="F30" s="74" t="s">
        <v>350</v>
      </c>
      <c r="G30" s="74" t="s">
        <v>350</v>
      </c>
      <c r="H30" s="74" t="s">
        <v>350</v>
      </c>
      <c r="I30" s="74" t="s">
        <v>350</v>
      </c>
      <c r="J30" s="74">
        <v>30.69</v>
      </c>
      <c r="K30" s="74" t="s">
        <v>350</v>
      </c>
      <c r="L30" s="74" t="s">
        <v>350</v>
      </c>
      <c r="M30" s="74">
        <v>30.69</v>
      </c>
    </row>
    <row r="31" spans="2:13" x14ac:dyDescent="0.3">
      <c r="B31" s="71" t="s">
        <v>203</v>
      </c>
      <c r="C31" s="71" t="s">
        <v>186</v>
      </c>
      <c r="D31" s="71" t="s">
        <v>298</v>
      </c>
      <c r="E31" s="72" t="s">
        <v>350</v>
      </c>
      <c r="F31" s="72" t="s">
        <v>350</v>
      </c>
      <c r="G31" s="72" t="s">
        <v>350</v>
      </c>
      <c r="H31" s="72" t="s">
        <v>350</v>
      </c>
      <c r="I31" s="72" t="s">
        <v>350</v>
      </c>
      <c r="J31" s="72" t="s">
        <v>350</v>
      </c>
      <c r="K31" s="72">
        <v>30.53</v>
      </c>
      <c r="L31" s="72" t="s">
        <v>350</v>
      </c>
      <c r="M31" s="72">
        <v>30.53</v>
      </c>
    </row>
    <row r="32" spans="2:13" x14ac:dyDescent="0.3">
      <c r="B32" s="73" t="s">
        <v>200</v>
      </c>
      <c r="C32" s="73" t="s">
        <v>186</v>
      </c>
      <c r="D32" s="73" t="s">
        <v>97</v>
      </c>
      <c r="E32" s="74" t="s">
        <v>350</v>
      </c>
      <c r="F32" s="74" t="s">
        <v>350</v>
      </c>
      <c r="G32" s="74" t="s">
        <v>350</v>
      </c>
      <c r="H32" s="74" t="s">
        <v>350</v>
      </c>
      <c r="I32" s="74" t="s">
        <v>350</v>
      </c>
      <c r="J32" s="74">
        <v>29.4</v>
      </c>
      <c r="K32" s="74" t="s">
        <v>350</v>
      </c>
      <c r="L32" s="74" t="s">
        <v>350</v>
      </c>
      <c r="M32" s="74">
        <v>29.4</v>
      </c>
    </row>
    <row r="33" spans="2:13" x14ac:dyDescent="0.3">
      <c r="B33" s="71" t="s">
        <v>310</v>
      </c>
      <c r="C33" s="71" t="s">
        <v>186</v>
      </c>
      <c r="D33" s="71" t="s">
        <v>343</v>
      </c>
      <c r="E33" s="72">
        <v>8.19</v>
      </c>
      <c r="F33" s="72" t="s">
        <v>350</v>
      </c>
      <c r="G33" s="72" t="s">
        <v>350</v>
      </c>
      <c r="H33" s="72" t="s">
        <v>350</v>
      </c>
      <c r="I33" s="72" t="s">
        <v>350</v>
      </c>
      <c r="J33" s="72" t="s">
        <v>350</v>
      </c>
      <c r="K33" s="72" t="s">
        <v>350</v>
      </c>
      <c r="L33" s="72">
        <v>20.51</v>
      </c>
      <c r="M33" s="72">
        <v>28.7</v>
      </c>
    </row>
    <row r="34" spans="2:13" x14ac:dyDescent="0.3">
      <c r="B34" s="73" t="s">
        <v>309</v>
      </c>
      <c r="C34" s="73" t="s">
        <v>186</v>
      </c>
      <c r="D34" s="73" t="s">
        <v>343</v>
      </c>
      <c r="E34" s="74">
        <v>9.0299999999999994</v>
      </c>
      <c r="F34" s="74" t="s">
        <v>350</v>
      </c>
      <c r="G34" s="74" t="s">
        <v>350</v>
      </c>
      <c r="H34" s="74" t="s">
        <v>350</v>
      </c>
      <c r="I34" s="74" t="s">
        <v>350</v>
      </c>
      <c r="J34" s="74" t="s">
        <v>350</v>
      </c>
      <c r="K34" s="74" t="s">
        <v>350</v>
      </c>
      <c r="L34" s="74">
        <v>19.5</v>
      </c>
      <c r="M34" s="74">
        <v>28.52</v>
      </c>
    </row>
    <row r="35" spans="2:13" x14ac:dyDescent="0.3">
      <c r="B35" s="71" t="s">
        <v>202</v>
      </c>
      <c r="C35" s="71" t="s">
        <v>186</v>
      </c>
      <c r="D35" s="71" t="s">
        <v>97</v>
      </c>
      <c r="E35" s="72" t="s">
        <v>350</v>
      </c>
      <c r="F35" s="72" t="s">
        <v>350</v>
      </c>
      <c r="G35" s="72" t="s">
        <v>350</v>
      </c>
      <c r="H35" s="72" t="s">
        <v>350</v>
      </c>
      <c r="I35" s="72" t="s">
        <v>350</v>
      </c>
      <c r="J35" s="72">
        <v>27.95</v>
      </c>
      <c r="K35" s="72" t="s">
        <v>350</v>
      </c>
      <c r="L35" s="72" t="s">
        <v>350</v>
      </c>
      <c r="M35" s="72">
        <v>27.95</v>
      </c>
    </row>
    <row r="36" spans="2:13" x14ac:dyDescent="0.3">
      <c r="B36" s="73" t="s">
        <v>206</v>
      </c>
      <c r="C36" s="73" t="s">
        <v>186</v>
      </c>
      <c r="D36" s="73" t="s">
        <v>123</v>
      </c>
      <c r="E36" s="74" t="s">
        <v>350</v>
      </c>
      <c r="F36" s="74" t="s">
        <v>350</v>
      </c>
      <c r="G36" s="74" t="s">
        <v>350</v>
      </c>
      <c r="H36" s="74">
        <v>25</v>
      </c>
      <c r="I36" s="74" t="s">
        <v>350</v>
      </c>
      <c r="J36" s="74" t="s">
        <v>350</v>
      </c>
      <c r="K36" s="74" t="s">
        <v>350</v>
      </c>
      <c r="L36" s="74" t="s">
        <v>350</v>
      </c>
      <c r="M36" s="74">
        <v>25</v>
      </c>
    </row>
    <row r="37" spans="2:13" x14ac:dyDescent="0.3">
      <c r="B37" s="71" t="s">
        <v>209</v>
      </c>
      <c r="C37" s="71" t="s">
        <v>186</v>
      </c>
      <c r="D37" s="71" t="s">
        <v>298</v>
      </c>
      <c r="E37" s="72" t="s">
        <v>350</v>
      </c>
      <c r="F37" s="72" t="s">
        <v>350</v>
      </c>
      <c r="G37" s="72" t="s">
        <v>350</v>
      </c>
      <c r="H37" s="72">
        <v>24.16</v>
      </c>
      <c r="I37" s="72" t="s">
        <v>350</v>
      </c>
      <c r="J37" s="72" t="s">
        <v>350</v>
      </c>
      <c r="K37" s="72" t="s">
        <v>350</v>
      </c>
      <c r="L37" s="72" t="s">
        <v>350</v>
      </c>
      <c r="M37" s="72">
        <v>24.16</v>
      </c>
    </row>
    <row r="38" spans="2:13" x14ac:dyDescent="0.3">
      <c r="B38" s="73" t="s">
        <v>217</v>
      </c>
      <c r="C38" s="73" t="s">
        <v>186</v>
      </c>
      <c r="D38" s="73" t="s">
        <v>343</v>
      </c>
      <c r="E38" s="74">
        <v>5.66</v>
      </c>
      <c r="F38" s="74" t="s">
        <v>350</v>
      </c>
      <c r="G38" s="74" t="s">
        <v>350</v>
      </c>
      <c r="H38" s="74" t="s">
        <v>350</v>
      </c>
      <c r="I38" s="74" t="s">
        <v>350</v>
      </c>
      <c r="J38" s="74" t="s">
        <v>350</v>
      </c>
      <c r="K38" s="74" t="s">
        <v>350</v>
      </c>
      <c r="L38" s="74">
        <v>17.71</v>
      </c>
      <c r="M38" s="74">
        <v>23.37</v>
      </c>
    </row>
    <row r="39" spans="2:13" x14ac:dyDescent="0.3">
      <c r="B39" s="71" t="s">
        <v>194</v>
      </c>
      <c r="C39" s="71" t="s">
        <v>186</v>
      </c>
      <c r="D39" s="71" t="s">
        <v>110</v>
      </c>
      <c r="E39" s="72" t="s">
        <v>350</v>
      </c>
      <c r="F39" s="72" t="s">
        <v>350</v>
      </c>
      <c r="G39" s="72" t="s">
        <v>350</v>
      </c>
      <c r="H39" s="72" t="s">
        <v>350</v>
      </c>
      <c r="I39" s="72" t="s">
        <v>350</v>
      </c>
      <c r="J39" s="72">
        <v>23.14</v>
      </c>
      <c r="K39" s="72" t="s">
        <v>350</v>
      </c>
      <c r="L39" s="72" t="s">
        <v>350</v>
      </c>
      <c r="M39" s="72">
        <v>23.14</v>
      </c>
    </row>
    <row r="40" spans="2:13" x14ac:dyDescent="0.3">
      <c r="B40" s="73" t="s">
        <v>197</v>
      </c>
      <c r="C40" s="73" t="s">
        <v>186</v>
      </c>
      <c r="D40" s="73" t="s">
        <v>97</v>
      </c>
      <c r="E40" s="74" t="s">
        <v>350</v>
      </c>
      <c r="F40" s="74" t="s">
        <v>350</v>
      </c>
      <c r="G40" s="74" t="s">
        <v>350</v>
      </c>
      <c r="H40" s="74" t="s">
        <v>350</v>
      </c>
      <c r="I40" s="74" t="s">
        <v>350</v>
      </c>
      <c r="J40" s="74">
        <v>22.97</v>
      </c>
      <c r="K40" s="74" t="s">
        <v>350</v>
      </c>
      <c r="L40" s="74" t="s">
        <v>350</v>
      </c>
      <c r="M40" s="74">
        <v>22.97</v>
      </c>
    </row>
    <row r="41" spans="2:13" x14ac:dyDescent="0.3">
      <c r="B41" s="71" t="s">
        <v>208</v>
      </c>
      <c r="C41" s="71" t="s">
        <v>186</v>
      </c>
      <c r="D41" s="71" t="s">
        <v>123</v>
      </c>
      <c r="E41" s="72" t="s">
        <v>350</v>
      </c>
      <c r="F41" s="72" t="s">
        <v>350</v>
      </c>
      <c r="G41" s="72" t="s">
        <v>350</v>
      </c>
      <c r="H41" s="72">
        <v>22.75</v>
      </c>
      <c r="I41" s="72" t="s">
        <v>350</v>
      </c>
      <c r="J41" s="72" t="s">
        <v>350</v>
      </c>
      <c r="K41" s="72" t="s">
        <v>350</v>
      </c>
      <c r="L41" s="72" t="s">
        <v>350</v>
      </c>
      <c r="M41" s="72">
        <v>22.75</v>
      </c>
    </row>
    <row r="42" spans="2:13" x14ac:dyDescent="0.3">
      <c r="B42" s="73" t="s">
        <v>311</v>
      </c>
      <c r="C42" s="73" t="s">
        <v>186</v>
      </c>
      <c r="D42" s="73" t="s">
        <v>343</v>
      </c>
      <c r="E42" s="74">
        <v>5.98</v>
      </c>
      <c r="F42" s="74" t="s">
        <v>350</v>
      </c>
      <c r="G42" s="74" t="s">
        <v>350</v>
      </c>
      <c r="H42" s="74" t="s">
        <v>350</v>
      </c>
      <c r="I42" s="74" t="s">
        <v>350</v>
      </c>
      <c r="J42" s="74" t="s">
        <v>350</v>
      </c>
      <c r="K42" s="74" t="s">
        <v>350</v>
      </c>
      <c r="L42" s="74">
        <v>16.52</v>
      </c>
      <c r="M42" s="74">
        <v>22.5</v>
      </c>
    </row>
    <row r="43" spans="2:13" x14ac:dyDescent="0.3">
      <c r="B43" s="71" t="s">
        <v>205</v>
      </c>
      <c r="C43" s="71" t="s">
        <v>186</v>
      </c>
      <c r="D43" s="71" t="s">
        <v>103</v>
      </c>
      <c r="E43" s="72" t="s">
        <v>350</v>
      </c>
      <c r="F43" s="72" t="s">
        <v>350</v>
      </c>
      <c r="G43" s="72" t="s">
        <v>350</v>
      </c>
      <c r="H43" s="72" t="s">
        <v>350</v>
      </c>
      <c r="I43" s="72" t="s">
        <v>350</v>
      </c>
      <c r="J43" s="72">
        <v>20</v>
      </c>
      <c r="K43" s="72" t="s">
        <v>350</v>
      </c>
      <c r="L43" s="72" t="s">
        <v>350</v>
      </c>
      <c r="M43" s="72">
        <v>20</v>
      </c>
    </row>
    <row r="44" spans="2:13" x14ac:dyDescent="0.3">
      <c r="B44" s="73" t="s">
        <v>211</v>
      </c>
      <c r="C44" s="73" t="s">
        <v>186</v>
      </c>
      <c r="D44" s="73" t="s">
        <v>298</v>
      </c>
      <c r="E44" s="74" t="s">
        <v>350</v>
      </c>
      <c r="F44" s="74" t="s">
        <v>350</v>
      </c>
      <c r="G44" s="74" t="s">
        <v>350</v>
      </c>
      <c r="H44" s="74">
        <v>19.13</v>
      </c>
      <c r="I44" s="74" t="s">
        <v>350</v>
      </c>
      <c r="J44" s="74" t="s">
        <v>350</v>
      </c>
      <c r="K44" s="74" t="s">
        <v>350</v>
      </c>
      <c r="L44" s="74" t="s">
        <v>350</v>
      </c>
      <c r="M44" s="74">
        <v>19.13</v>
      </c>
    </row>
    <row r="45" spans="2:13" x14ac:dyDescent="0.3">
      <c r="B45" s="71" t="s">
        <v>207</v>
      </c>
      <c r="C45" s="71" t="s">
        <v>186</v>
      </c>
      <c r="D45" s="71" t="s">
        <v>116</v>
      </c>
      <c r="E45" s="72" t="s">
        <v>350</v>
      </c>
      <c r="F45" s="72" t="s">
        <v>350</v>
      </c>
      <c r="G45" s="72" t="s">
        <v>350</v>
      </c>
      <c r="H45" s="72" t="s">
        <v>350</v>
      </c>
      <c r="I45" s="72">
        <v>18.829999999999998</v>
      </c>
      <c r="J45" s="72" t="s">
        <v>350</v>
      </c>
      <c r="K45" s="72" t="s">
        <v>350</v>
      </c>
      <c r="L45" s="72" t="s">
        <v>350</v>
      </c>
      <c r="M45" s="72">
        <v>18.829999999999998</v>
      </c>
    </row>
    <row r="46" spans="2:13" x14ac:dyDescent="0.3">
      <c r="B46" s="73" t="s">
        <v>191</v>
      </c>
      <c r="C46" s="73" t="s">
        <v>186</v>
      </c>
      <c r="D46" s="73" t="s">
        <v>102</v>
      </c>
      <c r="E46" s="74" t="s">
        <v>350</v>
      </c>
      <c r="F46" s="74" t="s">
        <v>350</v>
      </c>
      <c r="G46" s="74" t="s">
        <v>350</v>
      </c>
      <c r="H46" s="74" t="s">
        <v>350</v>
      </c>
      <c r="I46" s="74" t="s">
        <v>350</v>
      </c>
      <c r="J46" s="74">
        <v>18.63</v>
      </c>
      <c r="K46" s="74" t="s">
        <v>350</v>
      </c>
      <c r="L46" s="74" t="s">
        <v>350</v>
      </c>
      <c r="M46" s="74">
        <v>18.63</v>
      </c>
    </row>
    <row r="47" spans="2:13" x14ac:dyDescent="0.3">
      <c r="B47" s="71" t="s">
        <v>199</v>
      </c>
      <c r="C47" s="71" t="s">
        <v>186</v>
      </c>
      <c r="D47" s="71" t="s">
        <v>102</v>
      </c>
      <c r="E47" s="72" t="s">
        <v>350</v>
      </c>
      <c r="F47" s="72" t="s">
        <v>350</v>
      </c>
      <c r="G47" s="72" t="s">
        <v>350</v>
      </c>
      <c r="H47" s="72" t="s">
        <v>350</v>
      </c>
      <c r="I47" s="72" t="s">
        <v>350</v>
      </c>
      <c r="J47" s="72">
        <v>18.62</v>
      </c>
      <c r="K47" s="72" t="s">
        <v>350</v>
      </c>
      <c r="L47" s="72" t="s">
        <v>350</v>
      </c>
      <c r="M47" s="72">
        <v>18.62</v>
      </c>
    </row>
    <row r="48" spans="2:13" x14ac:dyDescent="0.3">
      <c r="B48" s="73" t="s">
        <v>196</v>
      </c>
      <c r="C48" s="73" t="s">
        <v>186</v>
      </c>
      <c r="D48" s="73" t="s">
        <v>114</v>
      </c>
      <c r="E48" s="74" t="s">
        <v>350</v>
      </c>
      <c r="F48" s="74" t="s">
        <v>350</v>
      </c>
      <c r="G48" s="74" t="s">
        <v>350</v>
      </c>
      <c r="H48" s="74" t="s">
        <v>350</v>
      </c>
      <c r="I48" s="74">
        <v>17.920000000000002</v>
      </c>
      <c r="J48" s="74" t="s">
        <v>350</v>
      </c>
      <c r="K48" s="74" t="s">
        <v>350</v>
      </c>
      <c r="L48" s="74" t="s">
        <v>350</v>
      </c>
      <c r="M48" s="74">
        <v>17.920000000000002</v>
      </c>
    </row>
    <row r="49" spans="2:13" x14ac:dyDescent="0.3">
      <c r="B49" s="71" t="s">
        <v>352</v>
      </c>
      <c r="C49" s="71" t="s">
        <v>186</v>
      </c>
      <c r="D49" s="71" t="s">
        <v>343</v>
      </c>
      <c r="E49" s="72" t="s">
        <v>350</v>
      </c>
      <c r="F49" s="72" t="s">
        <v>350</v>
      </c>
      <c r="G49" s="72" t="s">
        <v>350</v>
      </c>
      <c r="H49" s="72" t="s">
        <v>350</v>
      </c>
      <c r="I49" s="72" t="s">
        <v>350</v>
      </c>
      <c r="J49" s="72" t="s">
        <v>350</v>
      </c>
      <c r="K49" s="72" t="s">
        <v>350</v>
      </c>
      <c r="L49" s="72">
        <v>17.45</v>
      </c>
      <c r="M49" s="72">
        <v>17.45</v>
      </c>
    </row>
    <row r="50" spans="2:13" x14ac:dyDescent="0.3">
      <c r="B50" s="73" t="s">
        <v>212</v>
      </c>
      <c r="C50" s="73" t="s">
        <v>186</v>
      </c>
      <c r="D50" s="73" t="s">
        <v>97</v>
      </c>
      <c r="E50" s="74" t="s">
        <v>350</v>
      </c>
      <c r="F50" s="74" t="s">
        <v>350</v>
      </c>
      <c r="G50" s="74" t="s">
        <v>350</v>
      </c>
      <c r="H50" s="74" t="s">
        <v>350</v>
      </c>
      <c r="I50" s="74" t="s">
        <v>350</v>
      </c>
      <c r="J50" s="74">
        <v>17.13</v>
      </c>
      <c r="K50" s="74" t="s">
        <v>350</v>
      </c>
      <c r="L50" s="74" t="s">
        <v>350</v>
      </c>
      <c r="M50" s="74">
        <v>17.13</v>
      </c>
    </row>
    <row r="51" spans="2:13" x14ac:dyDescent="0.3">
      <c r="B51" s="71" t="s">
        <v>191</v>
      </c>
      <c r="C51" s="71" t="s">
        <v>186</v>
      </c>
      <c r="D51" s="71" t="s">
        <v>96</v>
      </c>
      <c r="E51" s="72" t="s">
        <v>350</v>
      </c>
      <c r="F51" s="72" t="s">
        <v>350</v>
      </c>
      <c r="G51" s="72" t="s">
        <v>350</v>
      </c>
      <c r="H51" s="72" t="s">
        <v>350</v>
      </c>
      <c r="I51" s="72" t="s">
        <v>350</v>
      </c>
      <c r="J51" s="72">
        <v>16.43</v>
      </c>
      <c r="K51" s="72" t="s">
        <v>350</v>
      </c>
      <c r="L51" s="72" t="s">
        <v>350</v>
      </c>
      <c r="M51" s="72">
        <v>16.43</v>
      </c>
    </row>
    <row r="52" spans="2:13" x14ac:dyDescent="0.3">
      <c r="B52" s="73" t="s">
        <v>207</v>
      </c>
      <c r="C52" s="73" t="s">
        <v>186</v>
      </c>
      <c r="D52" s="73" t="s">
        <v>114</v>
      </c>
      <c r="E52" s="74" t="s">
        <v>350</v>
      </c>
      <c r="F52" s="74" t="s">
        <v>350</v>
      </c>
      <c r="G52" s="74" t="s">
        <v>350</v>
      </c>
      <c r="H52" s="74" t="s">
        <v>350</v>
      </c>
      <c r="I52" s="74">
        <v>15.24</v>
      </c>
      <c r="J52" s="74" t="s">
        <v>350</v>
      </c>
      <c r="K52" s="74" t="s">
        <v>350</v>
      </c>
      <c r="L52" s="74" t="s">
        <v>350</v>
      </c>
      <c r="M52" s="74">
        <v>15.24</v>
      </c>
    </row>
    <row r="53" spans="2:13" x14ac:dyDescent="0.3">
      <c r="B53" s="71" t="s">
        <v>213</v>
      </c>
      <c r="C53" s="71" t="s">
        <v>186</v>
      </c>
      <c r="D53" s="71" t="s">
        <v>298</v>
      </c>
      <c r="E53" s="72" t="s">
        <v>350</v>
      </c>
      <c r="F53" s="72" t="s">
        <v>350</v>
      </c>
      <c r="G53" s="72" t="s">
        <v>350</v>
      </c>
      <c r="H53" s="72">
        <v>14.77</v>
      </c>
      <c r="I53" s="72" t="s">
        <v>350</v>
      </c>
      <c r="J53" s="72" t="s">
        <v>350</v>
      </c>
      <c r="K53" s="72" t="s">
        <v>350</v>
      </c>
      <c r="L53" s="72" t="s">
        <v>350</v>
      </c>
      <c r="M53" s="72">
        <v>14.77</v>
      </c>
    </row>
    <row r="54" spans="2:13" x14ac:dyDescent="0.3">
      <c r="B54" s="73" t="s">
        <v>196</v>
      </c>
      <c r="C54" s="73" t="s">
        <v>186</v>
      </c>
      <c r="D54" s="73" t="s">
        <v>301</v>
      </c>
      <c r="E54" s="74" t="s">
        <v>350</v>
      </c>
      <c r="F54" s="74" t="s">
        <v>350</v>
      </c>
      <c r="G54" s="74" t="s">
        <v>350</v>
      </c>
      <c r="H54" s="74" t="s">
        <v>350</v>
      </c>
      <c r="I54" s="74">
        <v>12.8</v>
      </c>
      <c r="J54" s="74" t="s">
        <v>350</v>
      </c>
      <c r="K54" s="74" t="s">
        <v>350</v>
      </c>
      <c r="L54" s="74" t="s">
        <v>350</v>
      </c>
      <c r="M54" s="74">
        <v>12.8</v>
      </c>
    </row>
    <row r="55" spans="2:13" x14ac:dyDescent="0.3">
      <c r="B55" s="71" t="s">
        <v>207</v>
      </c>
      <c r="C55" s="71" t="s">
        <v>186</v>
      </c>
      <c r="D55" s="71" t="s">
        <v>115</v>
      </c>
      <c r="E55" s="72" t="s">
        <v>350</v>
      </c>
      <c r="F55" s="72" t="s">
        <v>350</v>
      </c>
      <c r="G55" s="72" t="s">
        <v>350</v>
      </c>
      <c r="H55" s="72" t="s">
        <v>350</v>
      </c>
      <c r="I55" s="72">
        <v>12.38</v>
      </c>
      <c r="J55" s="72" t="s">
        <v>350</v>
      </c>
      <c r="K55" s="72" t="s">
        <v>350</v>
      </c>
      <c r="L55" s="72" t="s">
        <v>350</v>
      </c>
      <c r="M55" s="72">
        <v>12.38</v>
      </c>
    </row>
    <row r="56" spans="2:13" x14ac:dyDescent="0.3">
      <c r="B56" s="73" t="s">
        <v>215</v>
      </c>
      <c r="C56" s="73" t="s">
        <v>186</v>
      </c>
      <c r="D56" s="73" t="s">
        <v>132</v>
      </c>
      <c r="E56" s="74" t="s">
        <v>350</v>
      </c>
      <c r="F56" s="74" t="s">
        <v>350</v>
      </c>
      <c r="G56" s="74" t="s">
        <v>350</v>
      </c>
      <c r="H56" s="74">
        <v>11.93</v>
      </c>
      <c r="I56" s="74" t="s">
        <v>350</v>
      </c>
      <c r="J56" s="74" t="s">
        <v>350</v>
      </c>
      <c r="K56" s="74" t="s">
        <v>350</v>
      </c>
      <c r="L56" s="74" t="s">
        <v>350</v>
      </c>
      <c r="M56" s="74">
        <v>11.93</v>
      </c>
    </row>
    <row r="57" spans="2:13" x14ac:dyDescent="0.3">
      <c r="B57" s="71" t="s">
        <v>204</v>
      </c>
      <c r="C57" s="71" t="s">
        <v>186</v>
      </c>
      <c r="D57" s="71" t="s">
        <v>97</v>
      </c>
      <c r="E57" s="72" t="s">
        <v>350</v>
      </c>
      <c r="F57" s="72" t="s">
        <v>350</v>
      </c>
      <c r="G57" s="72" t="s">
        <v>350</v>
      </c>
      <c r="H57" s="72" t="s">
        <v>350</v>
      </c>
      <c r="I57" s="72" t="s">
        <v>350</v>
      </c>
      <c r="J57" s="72">
        <v>11.61</v>
      </c>
      <c r="K57" s="72" t="s">
        <v>350</v>
      </c>
      <c r="L57" s="72" t="s">
        <v>350</v>
      </c>
      <c r="M57" s="72">
        <v>11.61</v>
      </c>
    </row>
    <row r="58" spans="2:13" x14ac:dyDescent="0.3">
      <c r="B58" s="73" t="s">
        <v>313</v>
      </c>
      <c r="C58" s="73" t="s">
        <v>186</v>
      </c>
      <c r="D58" s="73" t="s">
        <v>343</v>
      </c>
      <c r="E58" s="74">
        <v>4.3899999999999997</v>
      </c>
      <c r="F58" s="74" t="s">
        <v>350</v>
      </c>
      <c r="G58" s="74" t="s">
        <v>350</v>
      </c>
      <c r="H58" s="74" t="s">
        <v>350</v>
      </c>
      <c r="I58" s="74" t="s">
        <v>350</v>
      </c>
      <c r="J58" s="74" t="s">
        <v>350</v>
      </c>
      <c r="K58" s="74" t="s">
        <v>350</v>
      </c>
      <c r="L58" s="74">
        <v>7.21</v>
      </c>
      <c r="M58" s="74">
        <v>11.6</v>
      </c>
    </row>
    <row r="59" spans="2:13" x14ac:dyDescent="0.3">
      <c r="B59" s="71" t="s">
        <v>210</v>
      </c>
      <c r="C59" s="71" t="s">
        <v>186</v>
      </c>
      <c r="D59" s="71" t="s">
        <v>97</v>
      </c>
      <c r="E59" s="72" t="s">
        <v>350</v>
      </c>
      <c r="F59" s="72" t="s">
        <v>350</v>
      </c>
      <c r="G59" s="72" t="s">
        <v>350</v>
      </c>
      <c r="H59" s="72" t="s">
        <v>350</v>
      </c>
      <c r="I59" s="72" t="s">
        <v>350</v>
      </c>
      <c r="J59" s="72">
        <v>11.59</v>
      </c>
      <c r="K59" s="72" t="s">
        <v>350</v>
      </c>
      <c r="L59" s="72" t="s">
        <v>350</v>
      </c>
      <c r="M59" s="72">
        <v>11.59</v>
      </c>
    </row>
    <row r="60" spans="2:13" x14ac:dyDescent="0.3">
      <c r="B60" s="73" t="s">
        <v>204</v>
      </c>
      <c r="C60" s="73" t="s">
        <v>186</v>
      </c>
      <c r="D60" s="73" t="s">
        <v>96</v>
      </c>
      <c r="E60" s="74" t="s">
        <v>350</v>
      </c>
      <c r="F60" s="74" t="s">
        <v>350</v>
      </c>
      <c r="G60" s="74" t="s">
        <v>350</v>
      </c>
      <c r="H60" s="74" t="s">
        <v>350</v>
      </c>
      <c r="I60" s="74" t="s">
        <v>350</v>
      </c>
      <c r="J60" s="74">
        <v>11.52</v>
      </c>
      <c r="K60" s="74" t="s">
        <v>350</v>
      </c>
      <c r="L60" s="74" t="s">
        <v>350</v>
      </c>
      <c r="M60" s="74">
        <v>11.52</v>
      </c>
    </row>
    <row r="61" spans="2:13" x14ac:dyDescent="0.3">
      <c r="B61" s="71" t="s">
        <v>207</v>
      </c>
      <c r="C61" s="71" t="s">
        <v>186</v>
      </c>
      <c r="D61" s="71" t="s">
        <v>301</v>
      </c>
      <c r="E61" s="72" t="s">
        <v>350</v>
      </c>
      <c r="F61" s="72" t="s">
        <v>350</v>
      </c>
      <c r="G61" s="72" t="s">
        <v>350</v>
      </c>
      <c r="H61" s="72" t="s">
        <v>350</v>
      </c>
      <c r="I61" s="72">
        <v>11.5</v>
      </c>
      <c r="J61" s="72" t="s">
        <v>350</v>
      </c>
      <c r="K61" s="72" t="s">
        <v>350</v>
      </c>
      <c r="L61" s="72" t="s">
        <v>350</v>
      </c>
      <c r="M61" s="72">
        <v>11.5</v>
      </c>
    </row>
    <row r="62" spans="2:13" x14ac:dyDescent="0.3">
      <c r="B62" s="73" t="s">
        <v>214</v>
      </c>
      <c r="C62" s="73" t="s">
        <v>186</v>
      </c>
      <c r="D62" s="73" t="s">
        <v>123</v>
      </c>
      <c r="E62" s="74" t="s">
        <v>350</v>
      </c>
      <c r="F62" s="74" t="s">
        <v>350</v>
      </c>
      <c r="G62" s="74" t="s">
        <v>350</v>
      </c>
      <c r="H62" s="74">
        <v>10.99</v>
      </c>
      <c r="I62" s="74" t="s">
        <v>350</v>
      </c>
      <c r="J62" s="74" t="s">
        <v>350</v>
      </c>
      <c r="K62" s="74" t="s">
        <v>350</v>
      </c>
      <c r="L62" s="74" t="s">
        <v>350</v>
      </c>
      <c r="M62" s="74">
        <v>10.99</v>
      </c>
    </row>
    <row r="63" spans="2:13" x14ac:dyDescent="0.3">
      <c r="B63" s="71" t="s">
        <v>218</v>
      </c>
      <c r="C63" s="71" t="s">
        <v>186</v>
      </c>
      <c r="D63" s="71" t="s">
        <v>298</v>
      </c>
      <c r="E63" s="72" t="s">
        <v>350</v>
      </c>
      <c r="F63" s="72" t="s">
        <v>350</v>
      </c>
      <c r="G63" s="72" t="s">
        <v>350</v>
      </c>
      <c r="H63" s="72">
        <v>10.66</v>
      </c>
      <c r="I63" s="72" t="s">
        <v>350</v>
      </c>
      <c r="J63" s="72" t="s">
        <v>350</v>
      </c>
      <c r="K63" s="72" t="s">
        <v>350</v>
      </c>
      <c r="L63" s="72" t="s">
        <v>350</v>
      </c>
      <c r="M63" s="72">
        <v>10.66</v>
      </c>
    </row>
    <row r="64" spans="2:13" x14ac:dyDescent="0.3">
      <c r="B64" s="73" t="s">
        <v>353</v>
      </c>
      <c r="C64" s="73" t="s">
        <v>186</v>
      </c>
      <c r="D64" s="73" t="s">
        <v>343</v>
      </c>
      <c r="E64" s="74" t="s">
        <v>350</v>
      </c>
      <c r="F64" s="74" t="s">
        <v>350</v>
      </c>
      <c r="G64" s="74" t="s">
        <v>350</v>
      </c>
      <c r="H64" s="74" t="s">
        <v>350</v>
      </c>
      <c r="I64" s="74" t="s">
        <v>350</v>
      </c>
      <c r="J64" s="74" t="s">
        <v>350</v>
      </c>
      <c r="K64" s="74" t="s">
        <v>350</v>
      </c>
      <c r="L64" s="74">
        <v>10.32</v>
      </c>
      <c r="M64" s="74">
        <v>10.32</v>
      </c>
    </row>
    <row r="65" spans="2:13" x14ac:dyDescent="0.3">
      <c r="B65" s="71" t="s">
        <v>216</v>
      </c>
      <c r="C65" s="71" t="s">
        <v>186</v>
      </c>
      <c r="D65" s="71" t="s">
        <v>102</v>
      </c>
      <c r="E65" s="72" t="s">
        <v>350</v>
      </c>
      <c r="F65" s="72" t="s">
        <v>350</v>
      </c>
      <c r="G65" s="72" t="s">
        <v>350</v>
      </c>
      <c r="H65" s="72" t="s">
        <v>350</v>
      </c>
      <c r="I65" s="72" t="s">
        <v>350</v>
      </c>
      <c r="J65" s="72">
        <v>10</v>
      </c>
      <c r="K65" s="72" t="s">
        <v>350</v>
      </c>
      <c r="L65" s="72" t="s">
        <v>350</v>
      </c>
      <c r="M65" s="72">
        <v>10</v>
      </c>
    </row>
    <row r="66" spans="2:13" x14ac:dyDescent="0.3">
      <c r="B66" s="73" t="s">
        <v>220</v>
      </c>
      <c r="C66" s="73" t="s">
        <v>186</v>
      </c>
      <c r="D66" s="73" t="s">
        <v>298</v>
      </c>
      <c r="E66" s="74" t="s">
        <v>350</v>
      </c>
      <c r="F66" s="74" t="s">
        <v>350</v>
      </c>
      <c r="G66" s="74" t="s">
        <v>350</v>
      </c>
      <c r="H66" s="74">
        <v>10</v>
      </c>
      <c r="I66" s="74" t="s">
        <v>350</v>
      </c>
      <c r="J66" s="74" t="s">
        <v>350</v>
      </c>
      <c r="K66" s="74" t="s">
        <v>350</v>
      </c>
      <c r="L66" s="74" t="s">
        <v>350</v>
      </c>
      <c r="M66" s="74">
        <v>10</v>
      </c>
    </row>
    <row r="67" spans="2:13" x14ac:dyDescent="0.3">
      <c r="B67" s="71" t="s">
        <v>204</v>
      </c>
      <c r="C67" s="71" t="s">
        <v>186</v>
      </c>
      <c r="D67" s="71" t="s">
        <v>102</v>
      </c>
      <c r="E67" s="72" t="s">
        <v>350</v>
      </c>
      <c r="F67" s="72" t="s">
        <v>350</v>
      </c>
      <c r="G67" s="72" t="s">
        <v>350</v>
      </c>
      <c r="H67" s="72" t="s">
        <v>350</v>
      </c>
      <c r="I67" s="72" t="s">
        <v>350</v>
      </c>
      <c r="J67" s="72">
        <v>10</v>
      </c>
      <c r="K67" s="72" t="s">
        <v>350</v>
      </c>
      <c r="L67" s="72" t="s">
        <v>350</v>
      </c>
      <c r="M67" s="72">
        <v>10</v>
      </c>
    </row>
    <row r="68" spans="2:13" x14ac:dyDescent="0.3">
      <c r="B68" s="73" t="s">
        <v>221</v>
      </c>
      <c r="C68" s="73" t="s">
        <v>186</v>
      </c>
      <c r="D68" s="73" t="s">
        <v>97</v>
      </c>
      <c r="E68" s="74" t="s">
        <v>350</v>
      </c>
      <c r="F68" s="74" t="s">
        <v>350</v>
      </c>
      <c r="G68" s="74" t="s">
        <v>350</v>
      </c>
      <c r="H68" s="74" t="s">
        <v>350</v>
      </c>
      <c r="I68" s="74" t="s">
        <v>350</v>
      </c>
      <c r="J68" s="74">
        <v>9.16</v>
      </c>
      <c r="K68" s="74" t="s">
        <v>350</v>
      </c>
      <c r="L68" s="74" t="s">
        <v>350</v>
      </c>
      <c r="M68" s="74">
        <v>9.16</v>
      </c>
    </row>
    <row r="69" spans="2:13" x14ac:dyDescent="0.3">
      <c r="B69" s="71" t="s">
        <v>205</v>
      </c>
      <c r="C69" s="71" t="s">
        <v>186</v>
      </c>
      <c r="D69" s="71" t="s">
        <v>97</v>
      </c>
      <c r="E69" s="72" t="s">
        <v>350</v>
      </c>
      <c r="F69" s="72" t="s">
        <v>350</v>
      </c>
      <c r="G69" s="72" t="s">
        <v>350</v>
      </c>
      <c r="H69" s="72" t="s">
        <v>350</v>
      </c>
      <c r="I69" s="72" t="s">
        <v>350</v>
      </c>
      <c r="J69" s="72">
        <v>8.34</v>
      </c>
      <c r="K69" s="72" t="s">
        <v>350</v>
      </c>
      <c r="L69" s="72" t="s">
        <v>350</v>
      </c>
      <c r="M69" s="72">
        <v>8.34</v>
      </c>
    </row>
    <row r="70" spans="2:13" x14ac:dyDescent="0.3">
      <c r="B70" s="73" t="s">
        <v>199</v>
      </c>
      <c r="C70" s="73" t="s">
        <v>186</v>
      </c>
      <c r="D70" s="73" t="s">
        <v>343</v>
      </c>
      <c r="E70" s="74" t="s">
        <v>350</v>
      </c>
      <c r="F70" s="74" t="s">
        <v>350</v>
      </c>
      <c r="G70" s="74" t="s">
        <v>350</v>
      </c>
      <c r="H70" s="74" t="s">
        <v>350</v>
      </c>
      <c r="I70" s="74" t="s">
        <v>350</v>
      </c>
      <c r="J70" s="74" t="s">
        <v>350</v>
      </c>
      <c r="K70" s="74" t="s">
        <v>350</v>
      </c>
      <c r="L70" s="74">
        <v>8.34</v>
      </c>
      <c r="M70" s="74">
        <v>8.34</v>
      </c>
    </row>
    <row r="71" spans="2:13" x14ac:dyDescent="0.3">
      <c r="B71" s="71" t="s">
        <v>190</v>
      </c>
      <c r="C71" s="71" t="s">
        <v>186</v>
      </c>
      <c r="D71" s="71" t="s">
        <v>343</v>
      </c>
      <c r="E71" s="72">
        <v>0.63</v>
      </c>
      <c r="F71" s="72" t="s">
        <v>350</v>
      </c>
      <c r="G71" s="72" t="s">
        <v>350</v>
      </c>
      <c r="H71" s="72" t="s">
        <v>350</v>
      </c>
      <c r="I71" s="72" t="s">
        <v>350</v>
      </c>
      <c r="J71" s="72" t="s">
        <v>350</v>
      </c>
      <c r="K71" s="72" t="s">
        <v>350</v>
      </c>
      <c r="L71" s="72">
        <v>7.68</v>
      </c>
      <c r="M71" s="72">
        <v>8.32</v>
      </c>
    </row>
    <row r="72" spans="2:13" x14ac:dyDescent="0.3">
      <c r="B72" s="73" t="s">
        <v>207</v>
      </c>
      <c r="C72" s="73" t="s">
        <v>186</v>
      </c>
      <c r="D72" s="73" t="s">
        <v>118</v>
      </c>
      <c r="E72" s="74" t="s">
        <v>350</v>
      </c>
      <c r="F72" s="74" t="s">
        <v>350</v>
      </c>
      <c r="G72" s="74" t="s">
        <v>350</v>
      </c>
      <c r="H72" s="74" t="s">
        <v>350</v>
      </c>
      <c r="I72" s="74">
        <v>7.74</v>
      </c>
      <c r="J72" s="74" t="s">
        <v>350</v>
      </c>
      <c r="K72" s="74" t="s">
        <v>350</v>
      </c>
      <c r="L72" s="74" t="s">
        <v>350</v>
      </c>
      <c r="M72" s="74">
        <v>7.74</v>
      </c>
    </row>
    <row r="73" spans="2:13" x14ac:dyDescent="0.3">
      <c r="B73" s="71" t="s">
        <v>219</v>
      </c>
      <c r="C73" s="71" t="s">
        <v>186</v>
      </c>
      <c r="D73" s="71" t="s">
        <v>114</v>
      </c>
      <c r="E73" s="72" t="s">
        <v>350</v>
      </c>
      <c r="F73" s="72" t="s">
        <v>350</v>
      </c>
      <c r="G73" s="72" t="s">
        <v>350</v>
      </c>
      <c r="H73" s="72" t="s">
        <v>350</v>
      </c>
      <c r="I73" s="72">
        <v>7.35</v>
      </c>
      <c r="J73" s="72" t="s">
        <v>350</v>
      </c>
      <c r="K73" s="72" t="s">
        <v>350</v>
      </c>
      <c r="L73" s="72" t="s">
        <v>350</v>
      </c>
      <c r="M73" s="72">
        <v>7.35</v>
      </c>
    </row>
    <row r="74" spans="2:13" x14ac:dyDescent="0.3">
      <c r="B74" s="73" t="s">
        <v>210</v>
      </c>
      <c r="C74" s="73" t="s">
        <v>186</v>
      </c>
      <c r="D74" s="73" t="s">
        <v>102</v>
      </c>
      <c r="E74" s="74" t="s">
        <v>350</v>
      </c>
      <c r="F74" s="74" t="s">
        <v>350</v>
      </c>
      <c r="G74" s="74" t="s">
        <v>350</v>
      </c>
      <c r="H74" s="74" t="s">
        <v>350</v>
      </c>
      <c r="I74" s="74" t="s">
        <v>350</v>
      </c>
      <c r="J74" s="74">
        <v>7.02</v>
      </c>
      <c r="K74" s="74" t="s">
        <v>350</v>
      </c>
      <c r="L74" s="74" t="s">
        <v>350</v>
      </c>
      <c r="M74" s="74">
        <v>7.02</v>
      </c>
    </row>
    <row r="75" spans="2:13" x14ac:dyDescent="0.3">
      <c r="B75" s="71" t="s">
        <v>202</v>
      </c>
      <c r="C75" s="71" t="s">
        <v>186</v>
      </c>
      <c r="D75" s="71" t="s">
        <v>102</v>
      </c>
      <c r="E75" s="72" t="s">
        <v>350</v>
      </c>
      <c r="F75" s="72" t="s">
        <v>350</v>
      </c>
      <c r="G75" s="72" t="s">
        <v>350</v>
      </c>
      <c r="H75" s="72" t="s">
        <v>350</v>
      </c>
      <c r="I75" s="72" t="s">
        <v>350</v>
      </c>
      <c r="J75" s="72">
        <v>6.92</v>
      </c>
      <c r="K75" s="72" t="s">
        <v>350</v>
      </c>
      <c r="L75" s="72" t="s">
        <v>350</v>
      </c>
      <c r="M75" s="72">
        <v>6.92</v>
      </c>
    </row>
    <row r="76" spans="2:13" x14ac:dyDescent="0.3">
      <c r="B76" s="73" t="s">
        <v>221</v>
      </c>
      <c r="C76" s="73" t="s">
        <v>186</v>
      </c>
      <c r="D76" s="73" t="s">
        <v>343</v>
      </c>
      <c r="E76" s="74">
        <v>0.87</v>
      </c>
      <c r="F76" s="74" t="s">
        <v>350</v>
      </c>
      <c r="G76" s="74" t="s">
        <v>350</v>
      </c>
      <c r="H76" s="74" t="s">
        <v>350</v>
      </c>
      <c r="I76" s="74" t="s">
        <v>350</v>
      </c>
      <c r="J76" s="74" t="s">
        <v>350</v>
      </c>
      <c r="K76" s="74" t="s">
        <v>350</v>
      </c>
      <c r="L76" s="74">
        <v>5.14</v>
      </c>
      <c r="M76" s="74">
        <v>6.01</v>
      </c>
    </row>
    <row r="77" spans="2:13" x14ac:dyDescent="0.3">
      <c r="B77" s="71" t="s">
        <v>311</v>
      </c>
      <c r="C77" s="71" t="s">
        <v>186</v>
      </c>
      <c r="D77" s="71" t="s">
        <v>72</v>
      </c>
      <c r="E77" s="72" t="s">
        <v>350</v>
      </c>
      <c r="F77" s="72" t="s">
        <v>350</v>
      </c>
      <c r="G77" s="72">
        <v>5.5</v>
      </c>
      <c r="H77" s="72" t="s">
        <v>350</v>
      </c>
      <c r="I77" s="72" t="s">
        <v>350</v>
      </c>
      <c r="J77" s="72" t="s">
        <v>350</v>
      </c>
      <c r="K77" s="72" t="s">
        <v>350</v>
      </c>
      <c r="L77" s="72" t="s">
        <v>350</v>
      </c>
      <c r="M77" s="72">
        <v>5.5</v>
      </c>
    </row>
    <row r="78" spans="2:13" x14ac:dyDescent="0.3">
      <c r="B78" s="73" t="s">
        <v>217</v>
      </c>
      <c r="C78" s="73" t="s">
        <v>186</v>
      </c>
      <c r="D78" s="73" t="s">
        <v>302</v>
      </c>
      <c r="E78" s="74" t="s">
        <v>350</v>
      </c>
      <c r="F78" s="74" t="s">
        <v>350</v>
      </c>
      <c r="G78" s="74" t="s">
        <v>350</v>
      </c>
      <c r="H78" s="74" t="s">
        <v>350</v>
      </c>
      <c r="I78" s="74" t="s">
        <v>350</v>
      </c>
      <c r="J78" s="74">
        <v>5.33</v>
      </c>
      <c r="K78" s="74" t="s">
        <v>350</v>
      </c>
      <c r="L78" s="74" t="s">
        <v>350</v>
      </c>
      <c r="M78" s="74">
        <v>5.33</v>
      </c>
    </row>
    <row r="79" spans="2:13" x14ac:dyDescent="0.3">
      <c r="B79" s="71" t="s">
        <v>316</v>
      </c>
      <c r="C79" s="71" t="s">
        <v>186</v>
      </c>
      <c r="D79" s="71" t="s">
        <v>343</v>
      </c>
      <c r="E79" s="72">
        <v>0.35</v>
      </c>
      <c r="F79" s="72" t="s">
        <v>350</v>
      </c>
      <c r="G79" s="72" t="s">
        <v>350</v>
      </c>
      <c r="H79" s="72" t="s">
        <v>350</v>
      </c>
      <c r="I79" s="72" t="s">
        <v>350</v>
      </c>
      <c r="J79" s="72" t="s">
        <v>350</v>
      </c>
      <c r="K79" s="72" t="s">
        <v>350</v>
      </c>
      <c r="L79" s="72">
        <v>4.76</v>
      </c>
      <c r="M79" s="72">
        <v>5.1100000000000003</v>
      </c>
    </row>
    <row r="80" spans="2:13" x14ac:dyDescent="0.3">
      <c r="B80" s="73" t="s">
        <v>189</v>
      </c>
      <c r="C80" s="73" t="s">
        <v>186</v>
      </c>
      <c r="D80" s="73" t="s">
        <v>102</v>
      </c>
      <c r="E80" s="74" t="s">
        <v>350</v>
      </c>
      <c r="F80" s="74" t="s">
        <v>350</v>
      </c>
      <c r="G80" s="74" t="s">
        <v>350</v>
      </c>
      <c r="H80" s="74" t="s">
        <v>350</v>
      </c>
      <c r="I80" s="74" t="s">
        <v>350</v>
      </c>
      <c r="J80" s="74">
        <v>5</v>
      </c>
      <c r="K80" s="74" t="s">
        <v>350</v>
      </c>
      <c r="L80" s="74" t="s">
        <v>350</v>
      </c>
      <c r="M80" s="74">
        <v>5</v>
      </c>
    </row>
    <row r="81" spans="2:13" x14ac:dyDescent="0.3">
      <c r="B81" s="71" t="s">
        <v>200</v>
      </c>
      <c r="C81" s="71" t="s">
        <v>186</v>
      </c>
      <c r="D81" s="71" t="s">
        <v>102</v>
      </c>
      <c r="E81" s="72" t="s">
        <v>350</v>
      </c>
      <c r="F81" s="72" t="s">
        <v>350</v>
      </c>
      <c r="G81" s="72" t="s">
        <v>350</v>
      </c>
      <c r="H81" s="72" t="s">
        <v>350</v>
      </c>
      <c r="I81" s="72" t="s">
        <v>350</v>
      </c>
      <c r="J81" s="72">
        <v>5</v>
      </c>
      <c r="K81" s="72" t="s">
        <v>350</v>
      </c>
      <c r="L81" s="72" t="s">
        <v>350</v>
      </c>
      <c r="M81" s="72">
        <v>5</v>
      </c>
    </row>
    <row r="82" spans="2:13" x14ac:dyDescent="0.3">
      <c r="B82" s="73" t="s">
        <v>217</v>
      </c>
      <c r="C82" s="73" t="s">
        <v>186</v>
      </c>
      <c r="D82" s="73" t="s">
        <v>102</v>
      </c>
      <c r="E82" s="74" t="s">
        <v>350</v>
      </c>
      <c r="F82" s="74" t="s">
        <v>350</v>
      </c>
      <c r="G82" s="74" t="s">
        <v>350</v>
      </c>
      <c r="H82" s="74" t="s">
        <v>350</v>
      </c>
      <c r="I82" s="74" t="s">
        <v>350</v>
      </c>
      <c r="J82" s="74">
        <v>5</v>
      </c>
      <c r="K82" s="74" t="s">
        <v>350</v>
      </c>
      <c r="L82" s="74" t="s">
        <v>350</v>
      </c>
      <c r="M82" s="74">
        <v>5</v>
      </c>
    </row>
    <row r="83" spans="2:13" x14ac:dyDescent="0.3">
      <c r="B83" s="71" t="s">
        <v>225</v>
      </c>
      <c r="C83" s="71" t="s">
        <v>186</v>
      </c>
      <c r="D83" s="71" t="s">
        <v>73</v>
      </c>
      <c r="E83" s="72" t="s">
        <v>350</v>
      </c>
      <c r="F83" s="72" t="s">
        <v>350</v>
      </c>
      <c r="G83" s="72" t="s">
        <v>350</v>
      </c>
      <c r="H83" s="72">
        <v>5</v>
      </c>
      <c r="I83" s="72" t="s">
        <v>350</v>
      </c>
      <c r="J83" s="72" t="s">
        <v>350</v>
      </c>
      <c r="K83" s="72" t="s">
        <v>350</v>
      </c>
      <c r="L83" s="72" t="s">
        <v>350</v>
      </c>
      <c r="M83" s="72">
        <v>5</v>
      </c>
    </row>
    <row r="84" spans="2:13" x14ac:dyDescent="0.3">
      <c r="B84" s="73" t="s">
        <v>224</v>
      </c>
      <c r="C84" s="73" t="s">
        <v>186</v>
      </c>
      <c r="D84" s="73" t="s">
        <v>97</v>
      </c>
      <c r="E84" s="74" t="s">
        <v>350</v>
      </c>
      <c r="F84" s="74" t="s">
        <v>350</v>
      </c>
      <c r="G84" s="74" t="s">
        <v>350</v>
      </c>
      <c r="H84" s="74" t="s">
        <v>350</v>
      </c>
      <c r="I84" s="74" t="s">
        <v>350</v>
      </c>
      <c r="J84" s="74">
        <v>5</v>
      </c>
      <c r="K84" s="74" t="s">
        <v>350</v>
      </c>
      <c r="L84" s="74" t="s">
        <v>350</v>
      </c>
      <c r="M84" s="74">
        <v>5</v>
      </c>
    </row>
    <row r="85" spans="2:13" x14ac:dyDescent="0.3">
      <c r="B85" s="71" t="s">
        <v>226</v>
      </c>
      <c r="C85" s="71" t="s">
        <v>186</v>
      </c>
      <c r="D85" s="71" t="s">
        <v>73</v>
      </c>
      <c r="E85" s="72" t="s">
        <v>350</v>
      </c>
      <c r="F85" s="72" t="s">
        <v>350</v>
      </c>
      <c r="G85" s="72" t="s">
        <v>350</v>
      </c>
      <c r="H85" s="72">
        <v>5</v>
      </c>
      <c r="I85" s="72" t="s">
        <v>350</v>
      </c>
      <c r="J85" s="72" t="s">
        <v>350</v>
      </c>
      <c r="K85" s="72" t="s">
        <v>350</v>
      </c>
      <c r="L85" s="72" t="s">
        <v>350</v>
      </c>
      <c r="M85" s="72">
        <v>5</v>
      </c>
    </row>
    <row r="86" spans="2:13" x14ac:dyDescent="0.3">
      <c r="B86" s="73" t="s">
        <v>228</v>
      </c>
      <c r="C86" s="73" t="s">
        <v>186</v>
      </c>
      <c r="D86" s="73" t="s">
        <v>132</v>
      </c>
      <c r="E86" s="74" t="s">
        <v>350</v>
      </c>
      <c r="F86" s="74" t="s">
        <v>350</v>
      </c>
      <c r="G86" s="74" t="s">
        <v>350</v>
      </c>
      <c r="H86" s="74">
        <v>4.9800000000000004</v>
      </c>
      <c r="I86" s="74" t="s">
        <v>350</v>
      </c>
      <c r="J86" s="74" t="s">
        <v>350</v>
      </c>
      <c r="K86" s="74" t="s">
        <v>350</v>
      </c>
      <c r="L86" s="74" t="s">
        <v>350</v>
      </c>
      <c r="M86" s="74">
        <v>4.9800000000000004</v>
      </c>
    </row>
    <row r="87" spans="2:13" x14ac:dyDescent="0.3">
      <c r="B87" s="71" t="s">
        <v>309</v>
      </c>
      <c r="C87" s="71" t="s">
        <v>186</v>
      </c>
      <c r="D87" s="71" t="s">
        <v>72</v>
      </c>
      <c r="E87" s="72" t="s">
        <v>350</v>
      </c>
      <c r="F87" s="72" t="s">
        <v>350</v>
      </c>
      <c r="G87" s="72">
        <v>4.9000000000000004</v>
      </c>
      <c r="H87" s="72" t="s">
        <v>350</v>
      </c>
      <c r="I87" s="72" t="s">
        <v>350</v>
      </c>
      <c r="J87" s="72" t="s">
        <v>350</v>
      </c>
      <c r="K87" s="72" t="s">
        <v>350</v>
      </c>
      <c r="L87" s="72" t="s">
        <v>350</v>
      </c>
      <c r="M87" s="72">
        <v>4.9000000000000004</v>
      </c>
    </row>
    <row r="88" spans="2:13" x14ac:dyDescent="0.3">
      <c r="B88" s="73" t="s">
        <v>205</v>
      </c>
      <c r="C88" s="73" t="s">
        <v>186</v>
      </c>
      <c r="D88" s="73" t="s">
        <v>105</v>
      </c>
      <c r="E88" s="74" t="s">
        <v>350</v>
      </c>
      <c r="F88" s="74" t="s">
        <v>350</v>
      </c>
      <c r="G88" s="74" t="s">
        <v>350</v>
      </c>
      <c r="H88" s="74" t="s">
        <v>350</v>
      </c>
      <c r="I88" s="74" t="s">
        <v>350</v>
      </c>
      <c r="J88" s="74">
        <v>4.6399999999999997</v>
      </c>
      <c r="K88" s="74" t="s">
        <v>350</v>
      </c>
      <c r="L88" s="74" t="s">
        <v>350</v>
      </c>
      <c r="M88" s="74">
        <v>4.6399999999999997</v>
      </c>
    </row>
    <row r="89" spans="2:13" x14ac:dyDescent="0.3">
      <c r="B89" s="71" t="s">
        <v>317</v>
      </c>
      <c r="C89" s="71" t="s">
        <v>186</v>
      </c>
      <c r="D89" s="71" t="s">
        <v>343</v>
      </c>
      <c r="E89" s="72" t="s">
        <v>350</v>
      </c>
      <c r="F89" s="72" t="s">
        <v>350</v>
      </c>
      <c r="G89" s="72" t="s">
        <v>350</v>
      </c>
      <c r="H89" s="72" t="s">
        <v>350</v>
      </c>
      <c r="I89" s="72" t="s">
        <v>350</v>
      </c>
      <c r="J89" s="72" t="s">
        <v>350</v>
      </c>
      <c r="K89" s="72" t="s">
        <v>350</v>
      </c>
      <c r="L89" s="72">
        <v>4.5599999999999996</v>
      </c>
      <c r="M89" s="72">
        <v>4.5599999999999996</v>
      </c>
    </row>
    <row r="90" spans="2:13" x14ac:dyDescent="0.3">
      <c r="B90" s="73" t="s">
        <v>318</v>
      </c>
      <c r="C90" s="73" t="s">
        <v>186</v>
      </c>
      <c r="D90" s="73" t="s">
        <v>343</v>
      </c>
      <c r="E90" s="74">
        <v>1.49</v>
      </c>
      <c r="F90" s="74" t="s">
        <v>350</v>
      </c>
      <c r="G90" s="74" t="s">
        <v>350</v>
      </c>
      <c r="H90" s="74" t="s">
        <v>350</v>
      </c>
      <c r="I90" s="74" t="s">
        <v>350</v>
      </c>
      <c r="J90" s="74" t="s">
        <v>350</v>
      </c>
      <c r="K90" s="74" t="s">
        <v>350</v>
      </c>
      <c r="L90" s="74">
        <v>2.97</v>
      </c>
      <c r="M90" s="74">
        <v>4.46</v>
      </c>
    </row>
    <row r="91" spans="2:13" x14ac:dyDescent="0.3">
      <c r="B91" s="71" t="s">
        <v>230</v>
      </c>
      <c r="C91" s="71" t="s">
        <v>186</v>
      </c>
      <c r="D91" s="71" t="s">
        <v>73</v>
      </c>
      <c r="E91" s="72" t="s">
        <v>350</v>
      </c>
      <c r="F91" s="72" t="s">
        <v>350</v>
      </c>
      <c r="G91" s="72" t="s">
        <v>350</v>
      </c>
      <c r="H91" s="72">
        <v>4.2300000000000004</v>
      </c>
      <c r="I91" s="72" t="s">
        <v>350</v>
      </c>
      <c r="J91" s="72" t="s">
        <v>350</v>
      </c>
      <c r="K91" s="72" t="s">
        <v>350</v>
      </c>
      <c r="L91" s="72" t="s">
        <v>350</v>
      </c>
      <c r="M91" s="72">
        <v>4.2300000000000004</v>
      </c>
    </row>
    <row r="92" spans="2:13" x14ac:dyDescent="0.3">
      <c r="B92" s="73" t="s">
        <v>201</v>
      </c>
      <c r="C92" s="73" t="s">
        <v>186</v>
      </c>
      <c r="D92" s="73" t="s">
        <v>343</v>
      </c>
      <c r="E92" s="74" t="s">
        <v>350</v>
      </c>
      <c r="F92" s="74" t="s">
        <v>350</v>
      </c>
      <c r="G92" s="74" t="s">
        <v>350</v>
      </c>
      <c r="H92" s="74" t="s">
        <v>350</v>
      </c>
      <c r="I92" s="74" t="s">
        <v>350</v>
      </c>
      <c r="J92" s="74" t="s">
        <v>350</v>
      </c>
      <c r="K92" s="74" t="s">
        <v>350</v>
      </c>
      <c r="L92" s="74">
        <v>4.1500000000000004</v>
      </c>
      <c r="M92" s="74">
        <v>4.1500000000000004</v>
      </c>
    </row>
    <row r="93" spans="2:13" x14ac:dyDescent="0.3">
      <c r="B93" s="71" t="s">
        <v>234</v>
      </c>
      <c r="C93" s="71" t="s">
        <v>186</v>
      </c>
      <c r="D93" s="71" t="s">
        <v>73</v>
      </c>
      <c r="E93" s="72" t="s">
        <v>350</v>
      </c>
      <c r="F93" s="72" t="s">
        <v>350</v>
      </c>
      <c r="G93" s="72" t="s">
        <v>350</v>
      </c>
      <c r="H93" s="72">
        <v>4</v>
      </c>
      <c r="I93" s="72" t="s">
        <v>350</v>
      </c>
      <c r="J93" s="72" t="s">
        <v>350</v>
      </c>
      <c r="K93" s="72" t="s">
        <v>350</v>
      </c>
      <c r="L93" s="72" t="s">
        <v>350</v>
      </c>
      <c r="M93" s="72">
        <v>4</v>
      </c>
    </row>
    <row r="94" spans="2:13" x14ac:dyDescent="0.3">
      <c r="B94" s="73" t="s">
        <v>237</v>
      </c>
      <c r="C94" s="73" t="s">
        <v>186</v>
      </c>
      <c r="D94" s="73" t="s">
        <v>132</v>
      </c>
      <c r="E94" s="74" t="s">
        <v>350</v>
      </c>
      <c r="F94" s="74" t="s">
        <v>350</v>
      </c>
      <c r="G94" s="74" t="s">
        <v>350</v>
      </c>
      <c r="H94" s="74">
        <v>3.96</v>
      </c>
      <c r="I94" s="74" t="s">
        <v>350</v>
      </c>
      <c r="J94" s="74" t="s">
        <v>350</v>
      </c>
      <c r="K94" s="74" t="s">
        <v>350</v>
      </c>
      <c r="L94" s="74" t="s">
        <v>350</v>
      </c>
      <c r="M94" s="74">
        <v>3.96</v>
      </c>
    </row>
    <row r="95" spans="2:13" x14ac:dyDescent="0.3">
      <c r="B95" s="71" t="s">
        <v>201</v>
      </c>
      <c r="C95" s="71" t="s">
        <v>186</v>
      </c>
      <c r="D95" s="71" t="s">
        <v>105</v>
      </c>
      <c r="E95" s="72" t="s">
        <v>350</v>
      </c>
      <c r="F95" s="72" t="s">
        <v>350</v>
      </c>
      <c r="G95" s="72" t="s">
        <v>350</v>
      </c>
      <c r="H95" s="72" t="s">
        <v>350</v>
      </c>
      <c r="I95" s="72" t="s">
        <v>350</v>
      </c>
      <c r="J95" s="72">
        <v>3.9</v>
      </c>
      <c r="K95" s="72" t="s">
        <v>350</v>
      </c>
      <c r="L95" s="72" t="s">
        <v>350</v>
      </c>
      <c r="M95" s="72">
        <v>3.9</v>
      </c>
    </row>
    <row r="96" spans="2:13" x14ac:dyDescent="0.3">
      <c r="B96" s="73" t="s">
        <v>319</v>
      </c>
      <c r="C96" s="73" t="s">
        <v>186</v>
      </c>
      <c r="D96" s="73" t="s">
        <v>343</v>
      </c>
      <c r="E96" s="74">
        <v>3.89</v>
      </c>
      <c r="F96" s="74" t="s">
        <v>350</v>
      </c>
      <c r="G96" s="74" t="s">
        <v>350</v>
      </c>
      <c r="H96" s="74" t="s">
        <v>350</v>
      </c>
      <c r="I96" s="74" t="s">
        <v>350</v>
      </c>
      <c r="J96" s="74" t="s">
        <v>350</v>
      </c>
      <c r="K96" s="74" t="s">
        <v>350</v>
      </c>
      <c r="L96" s="74" t="s">
        <v>350</v>
      </c>
      <c r="M96" s="74">
        <v>3.89</v>
      </c>
    </row>
    <row r="97" spans="2:13" x14ac:dyDescent="0.3">
      <c r="B97" s="71" t="s">
        <v>200</v>
      </c>
      <c r="C97" s="71" t="s">
        <v>186</v>
      </c>
      <c r="D97" s="71" t="s">
        <v>105</v>
      </c>
      <c r="E97" s="72" t="s">
        <v>350</v>
      </c>
      <c r="F97" s="72" t="s">
        <v>350</v>
      </c>
      <c r="G97" s="72" t="s">
        <v>350</v>
      </c>
      <c r="H97" s="72" t="s">
        <v>350</v>
      </c>
      <c r="I97" s="72" t="s">
        <v>350</v>
      </c>
      <c r="J97" s="72">
        <v>3.7</v>
      </c>
      <c r="K97" s="72" t="s">
        <v>350</v>
      </c>
      <c r="L97" s="72" t="s">
        <v>350</v>
      </c>
      <c r="M97" s="72">
        <v>3.7</v>
      </c>
    </row>
    <row r="98" spans="2:13" x14ac:dyDescent="0.3">
      <c r="B98" s="73" t="s">
        <v>222</v>
      </c>
      <c r="C98" s="73" t="s">
        <v>186</v>
      </c>
      <c r="D98" s="73" t="s">
        <v>73</v>
      </c>
      <c r="E98" s="74" t="s">
        <v>350</v>
      </c>
      <c r="F98" s="74" t="s">
        <v>350</v>
      </c>
      <c r="G98" s="74" t="s">
        <v>350</v>
      </c>
      <c r="H98" s="74">
        <v>3.46</v>
      </c>
      <c r="I98" s="74" t="s">
        <v>350</v>
      </c>
      <c r="J98" s="74" t="s">
        <v>350</v>
      </c>
      <c r="K98" s="74" t="s">
        <v>350</v>
      </c>
      <c r="L98" s="74" t="s">
        <v>350</v>
      </c>
      <c r="M98" s="74">
        <v>3.46</v>
      </c>
    </row>
    <row r="99" spans="2:13" x14ac:dyDescent="0.3">
      <c r="B99" s="71" t="s">
        <v>240</v>
      </c>
      <c r="C99" s="71" t="s">
        <v>186</v>
      </c>
      <c r="D99" s="71" t="s">
        <v>298</v>
      </c>
      <c r="E99" s="72" t="s">
        <v>350</v>
      </c>
      <c r="F99" s="72" t="s">
        <v>350</v>
      </c>
      <c r="G99" s="72" t="s">
        <v>350</v>
      </c>
      <c r="H99" s="72">
        <v>3.38</v>
      </c>
      <c r="I99" s="72" t="s">
        <v>350</v>
      </c>
      <c r="J99" s="72" t="s">
        <v>350</v>
      </c>
      <c r="K99" s="72" t="s">
        <v>350</v>
      </c>
      <c r="L99" s="72" t="s">
        <v>350</v>
      </c>
      <c r="M99" s="72">
        <v>3.38</v>
      </c>
    </row>
    <row r="100" spans="2:13" x14ac:dyDescent="0.3">
      <c r="B100" s="73" t="s">
        <v>320</v>
      </c>
      <c r="C100" s="73" t="s">
        <v>186</v>
      </c>
      <c r="D100" s="73" t="s">
        <v>343</v>
      </c>
      <c r="E100" s="74">
        <v>0.38</v>
      </c>
      <c r="F100" s="74" t="s">
        <v>350</v>
      </c>
      <c r="G100" s="74" t="s">
        <v>350</v>
      </c>
      <c r="H100" s="74" t="s">
        <v>350</v>
      </c>
      <c r="I100" s="74" t="s">
        <v>350</v>
      </c>
      <c r="J100" s="74" t="s">
        <v>350</v>
      </c>
      <c r="K100" s="74" t="s">
        <v>350</v>
      </c>
      <c r="L100" s="74">
        <v>2.89</v>
      </c>
      <c r="M100" s="74">
        <v>3.27</v>
      </c>
    </row>
    <row r="101" spans="2:13" x14ac:dyDescent="0.3">
      <c r="B101" s="71" t="s">
        <v>196</v>
      </c>
      <c r="C101" s="71" t="s">
        <v>186</v>
      </c>
      <c r="D101" s="71" t="s">
        <v>105</v>
      </c>
      <c r="E101" s="72" t="s">
        <v>350</v>
      </c>
      <c r="F101" s="72" t="s">
        <v>350</v>
      </c>
      <c r="G101" s="72" t="s">
        <v>350</v>
      </c>
      <c r="H101" s="72" t="s">
        <v>350</v>
      </c>
      <c r="I101" s="72" t="s">
        <v>350</v>
      </c>
      <c r="J101" s="72">
        <v>3.26</v>
      </c>
      <c r="K101" s="72" t="s">
        <v>350</v>
      </c>
      <c r="L101" s="72" t="s">
        <v>350</v>
      </c>
      <c r="M101" s="72">
        <v>3.26</v>
      </c>
    </row>
    <row r="102" spans="2:13" x14ac:dyDescent="0.3">
      <c r="B102" s="73" t="s">
        <v>191</v>
      </c>
      <c r="C102" s="73" t="s">
        <v>186</v>
      </c>
      <c r="D102" s="73" t="s">
        <v>105</v>
      </c>
      <c r="E102" s="74" t="s">
        <v>350</v>
      </c>
      <c r="F102" s="74" t="s">
        <v>350</v>
      </c>
      <c r="G102" s="74" t="s">
        <v>350</v>
      </c>
      <c r="H102" s="74" t="s">
        <v>350</v>
      </c>
      <c r="I102" s="74" t="s">
        <v>350</v>
      </c>
      <c r="J102" s="74">
        <v>3.23</v>
      </c>
      <c r="K102" s="74" t="s">
        <v>350</v>
      </c>
      <c r="L102" s="74" t="s">
        <v>350</v>
      </c>
      <c r="M102" s="74">
        <v>3.23</v>
      </c>
    </row>
    <row r="103" spans="2:13" x14ac:dyDescent="0.3">
      <c r="B103" s="71" t="s">
        <v>190</v>
      </c>
      <c r="C103" s="71" t="s">
        <v>186</v>
      </c>
      <c r="D103" s="71" t="s">
        <v>105</v>
      </c>
      <c r="E103" s="72" t="s">
        <v>350</v>
      </c>
      <c r="F103" s="72" t="s">
        <v>350</v>
      </c>
      <c r="G103" s="72" t="s">
        <v>350</v>
      </c>
      <c r="H103" s="72" t="s">
        <v>350</v>
      </c>
      <c r="I103" s="72" t="s">
        <v>350</v>
      </c>
      <c r="J103" s="72">
        <v>3.06</v>
      </c>
      <c r="K103" s="72" t="s">
        <v>350</v>
      </c>
      <c r="L103" s="72" t="s">
        <v>350</v>
      </c>
      <c r="M103" s="72">
        <v>3.06</v>
      </c>
    </row>
    <row r="104" spans="2:13" x14ac:dyDescent="0.3">
      <c r="B104" s="73" t="s">
        <v>222</v>
      </c>
      <c r="C104" s="73" t="s">
        <v>186</v>
      </c>
      <c r="D104" s="73" t="s">
        <v>123</v>
      </c>
      <c r="E104" s="74" t="s">
        <v>350</v>
      </c>
      <c r="F104" s="74" t="s">
        <v>350</v>
      </c>
      <c r="G104" s="74" t="s">
        <v>350</v>
      </c>
      <c r="H104" s="74">
        <v>3.01</v>
      </c>
      <c r="I104" s="74" t="s">
        <v>350</v>
      </c>
      <c r="J104" s="74" t="s">
        <v>350</v>
      </c>
      <c r="K104" s="74" t="s">
        <v>350</v>
      </c>
      <c r="L104" s="74" t="s">
        <v>350</v>
      </c>
      <c r="M104" s="74">
        <v>3.01</v>
      </c>
    </row>
    <row r="105" spans="2:13" x14ac:dyDescent="0.3">
      <c r="B105" s="71" t="s">
        <v>203</v>
      </c>
      <c r="C105" s="71" t="s">
        <v>186</v>
      </c>
      <c r="D105" s="71" t="s">
        <v>73</v>
      </c>
      <c r="E105" s="72" t="s">
        <v>350</v>
      </c>
      <c r="F105" s="72" t="s">
        <v>350</v>
      </c>
      <c r="G105" s="72" t="s">
        <v>350</v>
      </c>
      <c r="H105" s="72" t="s">
        <v>350</v>
      </c>
      <c r="I105" s="72" t="s">
        <v>350</v>
      </c>
      <c r="J105" s="72" t="s">
        <v>350</v>
      </c>
      <c r="K105" s="72">
        <v>3</v>
      </c>
      <c r="L105" s="72" t="s">
        <v>350</v>
      </c>
      <c r="M105" s="72">
        <v>3</v>
      </c>
    </row>
    <row r="106" spans="2:13" x14ac:dyDescent="0.3">
      <c r="B106" s="73" t="s">
        <v>231</v>
      </c>
      <c r="C106" s="73" t="s">
        <v>186</v>
      </c>
      <c r="D106" s="73" t="s">
        <v>96</v>
      </c>
      <c r="E106" s="74" t="s">
        <v>350</v>
      </c>
      <c r="F106" s="74" t="s">
        <v>350</v>
      </c>
      <c r="G106" s="74" t="s">
        <v>350</v>
      </c>
      <c r="H106" s="74" t="s">
        <v>350</v>
      </c>
      <c r="I106" s="74" t="s">
        <v>350</v>
      </c>
      <c r="J106" s="74">
        <v>3</v>
      </c>
      <c r="K106" s="74" t="s">
        <v>350</v>
      </c>
      <c r="L106" s="74" t="s">
        <v>350</v>
      </c>
      <c r="M106" s="74">
        <v>3</v>
      </c>
    </row>
    <row r="107" spans="2:13" x14ac:dyDescent="0.3">
      <c r="B107" s="71" t="s">
        <v>191</v>
      </c>
      <c r="C107" s="71" t="s">
        <v>186</v>
      </c>
      <c r="D107" s="71" t="s">
        <v>103</v>
      </c>
      <c r="E107" s="72" t="s">
        <v>350</v>
      </c>
      <c r="F107" s="72" t="s">
        <v>350</v>
      </c>
      <c r="G107" s="72" t="s">
        <v>350</v>
      </c>
      <c r="H107" s="72" t="s">
        <v>350</v>
      </c>
      <c r="I107" s="72" t="s">
        <v>350</v>
      </c>
      <c r="J107" s="72">
        <v>3</v>
      </c>
      <c r="K107" s="72" t="s">
        <v>350</v>
      </c>
      <c r="L107" s="72" t="s">
        <v>350</v>
      </c>
      <c r="M107" s="72">
        <v>3</v>
      </c>
    </row>
    <row r="108" spans="2:13" x14ac:dyDescent="0.3">
      <c r="B108" s="73" t="s">
        <v>245</v>
      </c>
      <c r="C108" s="73" t="s">
        <v>186</v>
      </c>
      <c r="D108" s="73" t="s">
        <v>298</v>
      </c>
      <c r="E108" s="74" t="s">
        <v>350</v>
      </c>
      <c r="F108" s="74" t="s">
        <v>350</v>
      </c>
      <c r="G108" s="74" t="s">
        <v>350</v>
      </c>
      <c r="H108" s="74">
        <v>2.85</v>
      </c>
      <c r="I108" s="74" t="s">
        <v>350</v>
      </c>
      <c r="J108" s="74" t="s">
        <v>350</v>
      </c>
      <c r="K108" s="74" t="s">
        <v>350</v>
      </c>
      <c r="L108" s="74" t="s">
        <v>350</v>
      </c>
      <c r="M108" s="74">
        <v>2.85</v>
      </c>
    </row>
    <row r="109" spans="2:13" x14ac:dyDescent="0.3">
      <c r="B109" s="71" t="s">
        <v>202</v>
      </c>
      <c r="C109" s="71" t="s">
        <v>186</v>
      </c>
      <c r="D109" s="71" t="s">
        <v>105</v>
      </c>
      <c r="E109" s="72" t="s">
        <v>350</v>
      </c>
      <c r="F109" s="72" t="s">
        <v>350</v>
      </c>
      <c r="G109" s="72" t="s">
        <v>350</v>
      </c>
      <c r="H109" s="72" t="s">
        <v>350</v>
      </c>
      <c r="I109" s="72" t="s">
        <v>350</v>
      </c>
      <c r="J109" s="72">
        <v>2.79</v>
      </c>
      <c r="K109" s="72" t="s">
        <v>350</v>
      </c>
      <c r="L109" s="72" t="s">
        <v>350</v>
      </c>
      <c r="M109" s="72">
        <v>2.79</v>
      </c>
    </row>
    <row r="110" spans="2:13" x14ac:dyDescent="0.3">
      <c r="B110" s="73" t="s">
        <v>216</v>
      </c>
      <c r="C110" s="73" t="s">
        <v>186</v>
      </c>
      <c r="D110" s="73" t="s">
        <v>343</v>
      </c>
      <c r="E110" s="74">
        <v>0.42</v>
      </c>
      <c r="F110" s="74" t="s">
        <v>350</v>
      </c>
      <c r="G110" s="74" t="s">
        <v>350</v>
      </c>
      <c r="H110" s="74" t="s">
        <v>350</v>
      </c>
      <c r="I110" s="74" t="s">
        <v>350</v>
      </c>
      <c r="J110" s="74" t="s">
        <v>350</v>
      </c>
      <c r="K110" s="74" t="s">
        <v>350</v>
      </c>
      <c r="L110" s="74">
        <v>2.19</v>
      </c>
      <c r="M110" s="74">
        <v>2.61</v>
      </c>
    </row>
    <row r="111" spans="2:13" x14ac:dyDescent="0.3">
      <c r="B111" s="71" t="s">
        <v>201</v>
      </c>
      <c r="C111" s="71" t="s">
        <v>186</v>
      </c>
      <c r="D111" s="71" t="s">
        <v>73</v>
      </c>
      <c r="E111" s="72" t="s">
        <v>350</v>
      </c>
      <c r="F111" s="72" t="s">
        <v>350</v>
      </c>
      <c r="G111" s="72" t="s">
        <v>350</v>
      </c>
      <c r="H111" s="72">
        <v>2.5</v>
      </c>
      <c r="I111" s="72" t="s">
        <v>350</v>
      </c>
      <c r="J111" s="72" t="s">
        <v>350</v>
      </c>
      <c r="K111" s="72" t="s">
        <v>350</v>
      </c>
      <c r="L111" s="72" t="s">
        <v>350</v>
      </c>
      <c r="M111" s="72">
        <v>2.5</v>
      </c>
    </row>
    <row r="112" spans="2:13" x14ac:dyDescent="0.3">
      <c r="B112" s="73" t="s">
        <v>250</v>
      </c>
      <c r="C112" s="73" t="s">
        <v>186</v>
      </c>
      <c r="D112" s="73" t="s">
        <v>73</v>
      </c>
      <c r="E112" s="74" t="s">
        <v>350</v>
      </c>
      <c r="F112" s="74" t="s">
        <v>350</v>
      </c>
      <c r="G112" s="74" t="s">
        <v>350</v>
      </c>
      <c r="H112" s="74">
        <v>2.5</v>
      </c>
      <c r="I112" s="74" t="s">
        <v>350</v>
      </c>
      <c r="J112" s="74" t="s">
        <v>350</v>
      </c>
      <c r="K112" s="74" t="s">
        <v>350</v>
      </c>
      <c r="L112" s="74" t="s">
        <v>350</v>
      </c>
      <c r="M112" s="74">
        <v>2.5</v>
      </c>
    </row>
    <row r="113" spans="2:13" x14ac:dyDescent="0.3">
      <c r="B113" s="71" t="s">
        <v>227</v>
      </c>
      <c r="C113" s="71" t="s">
        <v>186</v>
      </c>
      <c r="D113" s="71" t="s">
        <v>73</v>
      </c>
      <c r="E113" s="72" t="s">
        <v>350</v>
      </c>
      <c r="F113" s="72" t="s">
        <v>350</v>
      </c>
      <c r="G113" s="72" t="s">
        <v>350</v>
      </c>
      <c r="H113" s="72">
        <v>2.5</v>
      </c>
      <c r="I113" s="72" t="s">
        <v>350</v>
      </c>
      <c r="J113" s="72" t="s">
        <v>350</v>
      </c>
      <c r="K113" s="72" t="s">
        <v>350</v>
      </c>
      <c r="L113" s="72" t="s">
        <v>350</v>
      </c>
      <c r="M113" s="72">
        <v>2.5</v>
      </c>
    </row>
    <row r="114" spans="2:13" x14ac:dyDescent="0.3">
      <c r="B114" s="73" t="s">
        <v>227</v>
      </c>
      <c r="C114" s="73" t="s">
        <v>186</v>
      </c>
      <c r="D114" s="73" t="s">
        <v>123</v>
      </c>
      <c r="E114" s="74" t="s">
        <v>350</v>
      </c>
      <c r="F114" s="74" t="s">
        <v>350</v>
      </c>
      <c r="G114" s="74" t="s">
        <v>350</v>
      </c>
      <c r="H114" s="74">
        <v>2.5</v>
      </c>
      <c r="I114" s="74" t="s">
        <v>350</v>
      </c>
      <c r="J114" s="74" t="s">
        <v>350</v>
      </c>
      <c r="K114" s="74" t="s">
        <v>350</v>
      </c>
      <c r="L114" s="74" t="s">
        <v>350</v>
      </c>
      <c r="M114" s="74">
        <v>2.5</v>
      </c>
    </row>
    <row r="115" spans="2:13" x14ac:dyDescent="0.3">
      <c r="B115" s="71" t="s">
        <v>232</v>
      </c>
      <c r="C115" s="71" t="s">
        <v>186</v>
      </c>
      <c r="D115" s="71" t="s">
        <v>73</v>
      </c>
      <c r="E115" s="72" t="s">
        <v>350</v>
      </c>
      <c r="F115" s="72" t="s">
        <v>350</v>
      </c>
      <c r="G115" s="72" t="s">
        <v>350</v>
      </c>
      <c r="H115" s="72">
        <v>2.5</v>
      </c>
      <c r="I115" s="72" t="s">
        <v>350</v>
      </c>
      <c r="J115" s="72" t="s">
        <v>350</v>
      </c>
      <c r="K115" s="72" t="s">
        <v>350</v>
      </c>
      <c r="L115" s="72" t="s">
        <v>350</v>
      </c>
      <c r="M115" s="72">
        <v>2.5</v>
      </c>
    </row>
    <row r="116" spans="2:13" x14ac:dyDescent="0.3">
      <c r="B116" s="73" t="s">
        <v>251</v>
      </c>
      <c r="C116" s="73" t="s">
        <v>186</v>
      </c>
      <c r="D116" s="73" t="s">
        <v>73</v>
      </c>
      <c r="E116" s="74" t="s">
        <v>350</v>
      </c>
      <c r="F116" s="74" t="s">
        <v>350</v>
      </c>
      <c r="G116" s="74" t="s">
        <v>350</v>
      </c>
      <c r="H116" s="74">
        <v>2.5</v>
      </c>
      <c r="I116" s="74" t="s">
        <v>350</v>
      </c>
      <c r="J116" s="74" t="s">
        <v>350</v>
      </c>
      <c r="K116" s="74" t="s">
        <v>350</v>
      </c>
      <c r="L116" s="74" t="s">
        <v>350</v>
      </c>
      <c r="M116" s="74">
        <v>2.5</v>
      </c>
    </row>
    <row r="117" spans="2:13" x14ac:dyDescent="0.3">
      <c r="B117" s="71" t="s">
        <v>208</v>
      </c>
      <c r="C117" s="71" t="s">
        <v>186</v>
      </c>
      <c r="D117" s="71" t="s">
        <v>73</v>
      </c>
      <c r="E117" s="72" t="s">
        <v>350</v>
      </c>
      <c r="F117" s="72" t="s">
        <v>350</v>
      </c>
      <c r="G117" s="72" t="s">
        <v>350</v>
      </c>
      <c r="H117" s="72">
        <v>2.5</v>
      </c>
      <c r="I117" s="72" t="s">
        <v>350</v>
      </c>
      <c r="J117" s="72" t="s">
        <v>350</v>
      </c>
      <c r="K117" s="72" t="s">
        <v>350</v>
      </c>
      <c r="L117" s="72" t="s">
        <v>350</v>
      </c>
      <c r="M117" s="72">
        <v>2.5</v>
      </c>
    </row>
    <row r="118" spans="2:13" x14ac:dyDescent="0.3">
      <c r="B118" s="73" t="s">
        <v>233</v>
      </c>
      <c r="C118" s="73" t="s">
        <v>186</v>
      </c>
      <c r="D118" s="73" t="s">
        <v>123</v>
      </c>
      <c r="E118" s="74" t="s">
        <v>350</v>
      </c>
      <c r="F118" s="74" t="s">
        <v>350</v>
      </c>
      <c r="G118" s="74" t="s">
        <v>350</v>
      </c>
      <c r="H118" s="74">
        <v>2.5</v>
      </c>
      <c r="I118" s="74" t="s">
        <v>350</v>
      </c>
      <c r="J118" s="74" t="s">
        <v>350</v>
      </c>
      <c r="K118" s="74" t="s">
        <v>350</v>
      </c>
      <c r="L118" s="74" t="s">
        <v>350</v>
      </c>
      <c r="M118" s="74">
        <v>2.5</v>
      </c>
    </row>
    <row r="119" spans="2:13" x14ac:dyDescent="0.3">
      <c r="B119" s="71" t="s">
        <v>252</v>
      </c>
      <c r="C119" s="71" t="s">
        <v>186</v>
      </c>
      <c r="D119" s="71" t="s">
        <v>123</v>
      </c>
      <c r="E119" s="72" t="s">
        <v>350</v>
      </c>
      <c r="F119" s="72" t="s">
        <v>350</v>
      </c>
      <c r="G119" s="72" t="s">
        <v>350</v>
      </c>
      <c r="H119" s="72">
        <v>2.5</v>
      </c>
      <c r="I119" s="72" t="s">
        <v>350</v>
      </c>
      <c r="J119" s="72" t="s">
        <v>350</v>
      </c>
      <c r="K119" s="72" t="s">
        <v>350</v>
      </c>
      <c r="L119" s="72" t="s">
        <v>350</v>
      </c>
      <c r="M119" s="72">
        <v>2.5</v>
      </c>
    </row>
    <row r="120" spans="2:13" x14ac:dyDescent="0.3">
      <c r="B120" s="73" t="s">
        <v>235</v>
      </c>
      <c r="C120" s="73" t="s">
        <v>186</v>
      </c>
      <c r="D120" s="73" t="s">
        <v>123</v>
      </c>
      <c r="E120" s="74" t="s">
        <v>350</v>
      </c>
      <c r="F120" s="74" t="s">
        <v>350</v>
      </c>
      <c r="G120" s="74" t="s">
        <v>350</v>
      </c>
      <c r="H120" s="74">
        <v>2.5</v>
      </c>
      <c r="I120" s="74" t="s">
        <v>350</v>
      </c>
      <c r="J120" s="74" t="s">
        <v>350</v>
      </c>
      <c r="K120" s="74" t="s">
        <v>350</v>
      </c>
      <c r="L120" s="74" t="s">
        <v>350</v>
      </c>
      <c r="M120" s="74">
        <v>2.5</v>
      </c>
    </row>
    <row r="121" spans="2:13" x14ac:dyDescent="0.3">
      <c r="B121" s="71" t="s">
        <v>214</v>
      </c>
      <c r="C121" s="71" t="s">
        <v>186</v>
      </c>
      <c r="D121" s="71" t="s">
        <v>73</v>
      </c>
      <c r="E121" s="72" t="s">
        <v>350</v>
      </c>
      <c r="F121" s="72" t="s">
        <v>350</v>
      </c>
      <c r="G121" s="72" t="s">
        <v>350</v>
      </c>
      <c r="H121" s="72">
        <v>2.5</v>
      </c>
      <c r="I121" s="72" t="s">
        <v>350</v>
      </c>
      <c r="J121" s="72" t="s">
        <v>350</v>
      </c>
      <c r="K121" s="72" t="s">
        <v>350</v>
      </c>
      <c r="L121" s="72" t="s">
        <v>350</v>
      </c>
      <c r="M121" s="72">
        <v>2.5</v>
      </c>
    </row>
    <row r="122" spans="2:13" x14ac:dyDescent="0.3">
      <c r="B122" s="73" t="s">
        <v>247</v>
      </c>
      <c r="C122" s="73" t="s">
        <v>186</v>
      </c>
      <c r="D122" s="73" t="s">
        <v>123</v>
      </c>
      <c r="E122" s="74" t="s">
        <v>350</v>
      </c>
      <c r="F122" s="74" t="s">
        <v>350</v>
      </c>
      <c r="G122" s="74" t="s">
        <v>350</v>
      </c>
      <c r="H122" s="74">
        <v>2.5</v>
      </c>
      <c r="I122" s="74" t="s">
        <v>350</v>
      </c>
      <c r="J122" s="74" t="s">
        <v>350</v>
      </c>
      <c r="K122" s="74" t="s">
        <v>350</v>
      </c>
      <c r="L122" s="74" t="s">
        <v>350</v>
      </c>
      <c r="M122" s="74">
        <v>2.5</v>
      </c>
    </row>
    <row r="123" spans="2:13" x14ac:dyDescent="0.3">
      <c r="B123" s="71" t="s">
        <v>249</v>
      </c>
      <c r="C123" s="71" t="s">
        <v>186</v>
      </c>
      <c r="D123" s="71" t="s">
        <v>73</v>
      </c>
      <c r="E123" s="72" t="s">
        <v>350</v>
      </c>
      <c r="F123" s="72" t="s">
        <v>350</v>
      </c>
      <c r="G123" s="72" t="s">
        <v>350</v>
      </c>
      <c r="H123" s="72">
        <v>2.5</v>
      </c>
      <c r="I123" s="72" t="s">
        <v>350</v>
      </c>
      <c r="J123" s="72" t="s">
        <v>350</v>
      </c>
      <c r="K123" s="72" t="s">
        <v>350</v>
      </c>
      <c r="L123" s="72" t="s">
        <v>350</v>
      </c>
      <c r="M123" s="72">
        <v>2.5</v>
      </c>
    </row>
    <row r="124" spans="2:13" x14ac:dyDescent="0.3">
      <c r="B124" s="73" t="s">
        <v>206</v>
      </c>
      <c r="C124" s="73" t="s">
        <v>186</v>
      </c>
      <c r="D124" s="73" t="s">
        <v>73</v>
      </c>
      <c r="E124" s="74" t="s">
        <v>350</v>
      </c>
      <c r="F124" s="74" t="s">
        <v>350</v>
      </c>
      <c r="G124" s="74" t="s">
        <v>350</v>
      </c>
      <c r="H124" s="74">
        <v>2.5</v>
      </c>
      <c r="I124" s="74" t="s">
        <v>350</v>
      </c>
      <c r="J124" s="74" t="s">
        <v>350</v>
      </c>
      <c r="K124" s="74" t="s">
        <v>350</v>
      </c>
      <c r="L124" s="74" t="s">
        <v>350</v>
      </c>
      <c r="M124" s="74">
        <v>2.5</v>
      </c>
    </row>
    <row r="125" spans="2:13" x14ac:dyDescent="0.3">
      <c r="B125" s="71" t="s">
        <v>253</v>
      </c>
      <c r="C125" s="71" t="s">
        <v>186</v>
      </c>
      <c r="D125" s="71" t="s">
        <v>298</v>
      </c>
      <c r="E125" s="72" t="s">
        <v>350</v>
      </c>
      <c r="F125" s="72" t="s">
        <v>350</v>
      </c>
      <c r="G125" s="72" t="s">
        <v>350</v>
      </c>
      <c r="H125" s="72">
        <v>2.5</v>
      </c>
      <c r="I125" s="72" t="s">
        <v>350</v>
      </c>
      <c r="J125" s="72" t="s">
        <v>350</v>
      </c>
      <c r="K125" s="72" t="s">
        <v>350</v>
      </c>
      <c r="L125" s="72" t="s">
        <v>350</v>
      </c>
      <c r="M125" s="72">
        <v>2.5</v>
      </c>
    </row>
    <row r="126" spans="2:13" x14ac:dyDescent="0.3">
      <c r="B126" s="73" t="s">
        <v>236</v>
      </c>
      <c r="C126" s="73" t="s">
        <v>186</v>
      </c>
      <c r="D126" s="73" t="s">
        <v>123</v>
      </c>
      <c r="E126" s="74" t="s">
        <v>350</v>
      </c>
      <c r="F126" s="74" t="s">
        <v>350</v>
      </c>
      <c r="G126" s="74" t="s">
        <v>350</v>
      </c>
      <c r="H126" s="74">
        <v>2.5</v>
      </c>
      <c r="I126" s="74" t="s">
        <v>350</v>
      </c>
      <c r="J126" s="74" t="s">
        <v>350</v>
      </c>
      <c r="K126" s="74" t="s">
        <v>350</v>
      </c>
      <c r="L126" s="74" t="s">
        <v>350</v>
      </c>
      <c r="M126" s="74">
        <v>2.5</v>
      </c>
    </row>
    <row r="127" spans="2:13" x14ac:dyDescent="0.3">
      <c r="B127" s="71" t="s">
        <v>254</v>
      </c>
      <c r="C127" s="71" t="s">
        <v>186</v>
      </c>
      <c r="D127" s="71" t="s">
        <v>123</v>
      </c>
      <c r="E127" s="72" t="s">
        <v>350</v>
      </c>
      <c r="F127" s="72" t="s">
        <v>350</v>
      </c>
      <c r="G127" s="72" t="s">
        <v>350</v>
      </c>
      <c r="H127" s="72">
        <v>2.5</v>
      </c>
      <c r="I127" s="72" t="s">
        <v>350</v>
      </c>
      <c r="J127" s="72" t="s">
        <v>350</v>
      </c>
      <c r="K127" s="72" t="s">
        <v>350</v>
      </c>
      <c r="L127" s="72" t="s">
        <v>350</v>
      </c>
      <c r="M127" s="72">
        <v>2.5</v>
      </c>
    </row>
    <row r="128" spans="2:13" x14ac:dyDescent="0.3">
      <c r="B128" s="73" t="s">
        <v>238</v>
      </c>
      <c r="C128" s="73" t="s">
        <v>186</v>
      </c>
      <c r="D128" s="73" t="s">
        <v>73</v>
      </c>
      <c r="E128" s="74" t="s">
        <v>350</v>
      </c>
      <c r="F128" s="74" t="s">
        <v>350</v>
      </c>
      <c r="G128" s="74" t="s">
        <v>350</v>
      </c>
      <c r="H128" s="74">
        <v>2.5</v>
      </c>
      <c r="I128" s="74" t="s">
        <v>350</v>
      </c>
      <c r="J128" s="74" t="s">
        <v>350</v>
      </c>
      <c r="K128" s="74" t="s">
        <v>350</v>
      </c>
      <c r="L128" s="74" t="s">
        <v>350</v>
      </c>
      <c r="M128" s="74">
        <v>2.5</v>
      </c>
    </row>
    <row r="129" spans="2:13" x14ac:dyDescent="0.3">
      <c r="B129" s="71" t="s">
        <v>255</v>
      </c>
      <c r="C129" s="71" t="s">
        <v>186</v>
      </c>
      <c r="D129" s="71" t="s">
        <v>123</v>
      </c>
      <c r="E129" s="72" t="s">
        <v>350</v>
      </c>
      <c r="F129" s="72" t="s">
        <v>350</v>
      </c>
      <c r="G129" s="72" t="s">
        <v>350</v>
      </c>
      <c r="H129" s="72">
        <v>2.5</v>
      </c>
      <c r="I129" s="72" t="s">
        <v>350</v>
      </c>
      <c r="J129" s="72" t="s">
        <v>350</v>
      </c>
      <c r="K129" s="72" t="s">
        <v>350</v>
      </c>
      <c r="L129" s="72" t="s">
        <v>350</v>
      </c>
      <c r="M129" s="72">
        <v>2.5</v>
      </c>
    </row>
    <row r="130" spans="2:13" x14ac:dyDescent="0.3">
      <c r="B130" s="73" t="s">
        <v>243</v>
      </c>
      <c r="C130" s="73" t="s">
        <v>186</v>
      </c>
      <c r="D130" s="73" t="s">
        <v>73</v>
      </c>
      <c r="E130" s="74" t="s">
        <v>350</v>
      </c>
      <c r="F130" s="74" t="s">
        <v>350</v>
      </c>
      <c r="G130" s="74" t="s">
        <v>350</v>
      </c>
      <c r="H130" s="74">
        <v>2.5</v>
      </c>
      <c r="I130" s="74" t="s">
        <v>350</v>
      </c>
      <c r="J130" s="74" t="s">
        <v>350</v>
      </c>
      <c r="K130" s="74" t="s">
        <v>350</v>
      </c>
      <c r="L130" s="74" t="s">
        <v>350</v>
      </c>
      <c r="M130" s="74">
        <v>2.5</v>
      </c>
    </row>
    <row r="131" spans="2:13" x14ac:dyDescent="0.3">
      <c r="B131" s="71" t="s">
        <v>239</v>
      </c>
      <c r="C131" s="71" t="s">
        <v>186</v>
      </c>
      <c r="D131" s="71" t="s">
        <v>73</v>
      </c>
      <c r="E131" s="72" t="s">
        <v>350</v>
      </c>
      <c r="F131" s="72" t="s">
        <v>350</v>
      </c>
      <c r="G131" s="72" t="s">
        <v>350</v>
      </c>
      <c r="H131" s="72">
        <v>2.5</v>
      </c>
      <c r="I131" s="72" t="s">
        <v>350</v>
      </c>
      <c r="J131" s="72" t="s">
        <v>350</v>
      </c>
      <c r="K131" s="72" t="s">
        <v>350</v>
      </c>
      <c r="L131" s="72" t="s">
        <v>350</v>
      </c>
      <c r="M131" s="72">
        <v>2.5</v>
      </c>
    </row>
    <row r="132" spans="2:13" x14ac:dyDescent="0.3">
      <c r="B132" s="73" t="s">
        <v>256</v>
      </c>
      <c r="C132" s="73" t="s">
        <v>186</v>
      </c>
      <c r="D132" s="73" t="s">
        <v>73</v>
      </c>
      <c r="E132" s="74" t="s">
        <v>350</v>
      </c>
      <c r="F132" s="74" t="s">
        <v>350</v>
      </c>
      <c r="G132" s="74" t="s">
        <v>350</v>
      </c>
      <c r="H132" s="74">
        <v>2.5</v>
      </c>
      <c r="I132" s="74" t="s">
        <v>350</v>
      </c>
      <c r="J132" s="74" t="s">
        <v>350</v>
      </c>
      <c r="K132" s="74" t="s">
        <v>350</v>
      </c>
      <c r="L132" s="74" t="s">
        <v>350</v>
      </c>
      <c r="M132" s="74">
        <v>2.5</v>
      </c>
    </row>
    <row r="133" spans="2:13" x14ac:dyDescent="0.3">
      <c r="B133" s="71" t="s">
        <v>229</v>
      </c>
      <c r="C133" s="71" t="s">
        <v>186</v>
      </c>
      <c r="D133" s="71" t="s">
        <v>73</v>
      </c>
      <c r="E133" s="72" t="s">
        <v>350</v>
      </c>
      <c r="F133" s="72" t="s">
        <v>350</v>
      </c>
      <c r="G133" s="72" t="s">
        <v>350</v>
      </c>
      <c r="H133" s="72">
        <v>2.5</v>
      </c>
      <c r="I133" s="72" t="s">
        <v>350</v>
      </c>
      <c r="J133" s="72" t="s">
        <v>350</v>
      </c>
      <c r="K133" s="72" t="s">
        <v>350</v>
      </c>
      <c r="L133" s="72" t="s">
        <v>350</v>
      </c>
      <c r="M133" s="72">
        <v>2.5</v>
      </c>
    </row>
    <row r="134" spans="2:13" x14ac:dyDescent="0.3">
      <c r="B134" s="73" t="s">
        <v>257</v>
      </c>
      <c r="C134" s="73" t="s">
        <v>186</v>
      </c>
      <c r="D134" s="73" t="s">
        <v>298</v>
      </c>
      <c r="E134" s="74" t="s">
        <v>350</v>
      </c>
      <c r="F134" s="74" t="s">
        <v>350</v>
      </c>
      <c r="G134" s="74" t="s">
        <v>350</v>
      </c>
      <c r="H134" s="74">
        <v>2.41</v>
      </c>
      <c r="I134" s="74" t="s">
        <v>350</v>
      </c>
      <c r="J134" s="74" t="s">
        <v>350</v>
      </c>
      <c r="K134" s="74" t="s">
        <v>350</v>
      </c>
      <c r="L134" s="74" t="s">
        <v>350</v>
      </c>
      <c r="M134" s="74">
        <v>2.41</v>
      </c>
    </row>
    <row r="135" spans="2:13" x14ac:dyDescent="0.3">
      <c r="B135" s="71" t="s">
        <v>229</v>
      </c>
      <c r="C135" s="71" t="s">
        <v>186</v>
      </c>
      <c r="D135" s="71" t="s">
        <v>123</v>
      </c>
      <c r="E135" s="72" t="s">
        <v>350</v>
      </c>
      <c r="F135" s="72" t="s">
        <v>350</v>
      </c>
      <c r="G135" s="72" t="s">
        <v>350</v>
      </c>
      <c r="H135" s="72">
        <v>2.39</v>
      </c>
      <c r="I135" s="72" t="s">
        <v>350</v>
      </c>
      <c r="J135" s="72" t="s">
        <v>350</v>
      </c>
      <c r="K135" s="72" t="s">
        <v>350</v>
      </c>
      <c r="L135" s="72" t="s">
        <v>350</v>
      </c>
      <c r="M135" s="72">
        <v>2.39</v>
      </c>
    </row>
    <row r="136" spans="2:13" x14ac:dyDescent="0.3">
      <c r="B136" s="73" t="s">
        <v>190</v>
      </c>
      <c r="C136" s="73" t="s">
        <v>186</v>
      </c>
      <c r="D136" s="73" t="s">
        <v>110</v>
      </c>
      <c r="E136" s="74" t="s">
        <v>350</v>
      </c>
      <c r="F136" s="74" t="s">
        <v>350</v>
      </c>
      <c r="G136" s="74" t="s">
        <v>350</v>
      </c>
      <c r="H136" s="74" t="s">
        <v>350</v>
      </c>
      <c r="I136" s="74" t="s">
        <v>350</v>
      </c>
      <c r="J136" s="74">
        <v>2.29</v>
      </c>
      <c r="K136" s="74" t="s">
        <v>350</v>
      </c>
      <c r="L136" s="74" t="s">
        <v>350</v>
      </c>
      <c r="M136" s="74">
        <v>2.29</v>
      </c>
    </row>
    <row r="137" spans="2:13" x14ac:dyDescent="0.3">
      <c r="B137" s="71" t="s">
        <v>258</v>
      </c>
      <c r="C137" s="71" t="s">
        <v>186</v>
      </c>
      <c r="D137" s="71" t="s">
        <v>298</v>
      </c>
      <c r="E137" s="72" t="s">
        <v>350</v>
      </c>
      <c r="F137" s="72" t="s">
        <v>350</v>
      </c>
      <c r="G137" s="72" t="s">
        <v>350</v>
      </c>
      <c r="H137" s="72">
        <v>2.2000000000000002</v>
      </c>
      <c r="I137" s="72" t="s">
        <v>350</v>
      </c>
      <c r="J137" s="72" t="s">
        <v>350</v>
      </c>
      <c r="K137" s="72" t="s">
        <v>350</v>
      </c>
      <c r="L137" s="72" t="s">
        <v>350</v>
      </c>
      <c r="M137" s="72">
        <v>2.2000000000000002</v>
      </c>
    </row>
    <row r="138" spans="2:13" x14ac:dyDescent="0.3">
      <c r="B138" s="73" t="s">
        <v>259</v>
      </c>
      <c r="C138" s="73" t="s">
        <v>186</v>
      </c>
      <c r="D138" s="73" t="s">
        <v>132</v>
      </c>
      <c r="E138" s="74" t="s">
        <v>350</v>
      </c>
      <c r="F138" s="74" t="s">
        <v>350</v>
      </c>
      <c r="G138" s="74" t="s">
        <v>350</v>
      </c>
      <c r="H138" s="74">
        <v>2.17</v>
      </c>
      <c r="I138" s="74" t="s">
        <v>350</v>
      </c>
      <c r="J138" s="74" t="s">
        <v>350</v>
      </c>
      <c r="K138" s="74" t="s">
        <v>350</v>
      </c>
      <c r="L138" s="74" t="s">
        <v>350</v>
      </c>
      <c r="M138" s="74">
        <v>2.17</v>
      </c>
    </row>
    <row r="139" spans="2:13" x14ac:dyDescent="0.3">
      <c r="B139" s="71" t="s">
        <v>219</v>
      </c>
      <c r="C139" s="71" t="s">
        <v>186</v>
      </c>
      <c r="D139" s="71" t="s">
        <v>301</v>
      </c>
      <c r="E139" s="72" t="s">
        <v>350</v>
      </c>
      <c r="F139" s="72" t="s">
        <v>350</v>
      </c>
      <c r="G139" s="72" t="s">
        <v>350</v>
      </c>
      <c r="H139" s="72" t="s">
        <v>350</v>
      </c>
      <c r="I139" s="72">
        <v>2.0099999999999998</v>
      </c>
      <c r="J139" s="72" t="s">
        <v>350</v>
      </c>
      <c r="K139" s="72" t="s">
        <v>350</v>
      </c>
      <c r="L139" s="72" t="s">
        <v>350</v>
      </c>
      <c r="M139" s="72">
        <v>2.0099999999999998</v>
      </c>
    </row>
    <row r="140" spans="2:13" x14ac:dyDescent="0.3">
      <c r="B140" s="73" t="s">
        <v>321</v>
      </c>
      <c r="C140" s="73" t="s">
        <v>186</v>
      </c>
      <c r="D140" s="73" t="s">
        <v>343</v>
      </c>
      <c r="E140" s="74" t="s">
        <v>350</v>
      </c>
      <c r="F140" s="74" t="s">
        <v>350</v>
      </c>
      <c r="G140" s="74" t="s">
        <v>350</v>
      </c>
      <c r="H140" s="74" t="s">
        <v>350</v>
      </c>
      <c r="I140" s="74" t="s">
        <v>350</v>
      </c>
      <c r="J140" s="74" t="s">
        <v>350</v>
      </c>
      <c r="K140" s="74" t="s">
        <v>350</v>
      </c>
      <c r="L140" s="74">
        <v>1.99</v>
      </c>
      <c r="M140" s="74">
        <v>1.99</v>
      </c>
    </row>
    <row r="141" spans="2:13" x14ac:dyDescent="0.3">
      <c r="B141" s="71" t="s">
        <v>196</v>
      </c>
      <c r="C141" s="71" t="s">
        <v>186</v>
      </c>
      <c r="D141" s="71" t="s">
        <v>303</v>
      </c>
      <c r="E141" s="72" t="s">
        <v>350</v>
      </c>
      <c r="F141" s="72" t="s">
        <v>350</v>
      </c>
      <c r="G141" s="72" t="s">
        <v>350</v>
      </c>
      <c r="H141" s="72" t="s">
        <v>350</v>
      </c>
      <c r="I141" s="72">
        <v>1.98</v>
      </c>
      <c r="J141" s="72" t="s">
        <v>350</v>
      </c>
      <c r="K141" s="72" t="s">
        <v>350</v>
      </c>
      <c r="L141" s="72" t="s">
        <v>350</v>
      </c>
      <c r="M141" s="72">
        <v>1.98</v>
      </c>
    </row>
    <row r="142" spans="2:13" x14ac:dyDescent="0.3">
      <c r="B142" s="73" t="s">
        <v>322</v>
      </c>
      <c r="C142" s="73" t="s">
        <v>186</v>
      </c>
      <c r="D142" s="73" t="s">
        <v>343</v>
      </c>
      <c r="E142" s="74" t="s">
        <v>350</v>
      </c>
      <c r="F142" s="74" t="s">
        <v>350</v>
      </c>
      <c r="G142" s="74" t="s">
        <v>350</v>
      </c>
      <c r="H142" s="74" t="s">
        <v>350</v>
      </c>
      <c r="I142" s="74" t="s">
        <v>350</v>
      </c>
      <c r="J142" s="74" t="s">
        <v>350</v>
      </c>
      <c r="K142" s="74" t="s">
        <v>350</v>
      </c>
      <c r="L142" s="74">
        <v>1.93</v>
      </c>
      <c r="M142" s="74">
        <v>1.93</v>
      </c>
    </row>
    <row r="143" spans="2:13" x14ac:dyDescent="0.3">
      <c r="B143" s="71" t="s">
        <v>241</v>
      </c>
      <c r="C143" s="71" t="s">
        <v>186</v>
      </c>
      <c r="D143" s="71" t="s">
        <v>97</v>
      </c>
      <c r="E143" s="72" t="s">
        <v>350</v>
      </c>
      <c r="F143" s="72" t="s">
        <v>350</v>
      </c>
      <c r="G143" s="72" t="s">
        <v>350</v>
      </c>
      <c r="H143" s="72" t="s">
        <v>350</v>
      </c>
      <c r="I143" s="72" t="s">
        <v>350</v>
      </c>
      <c r="J143" s="72">
        <v>1.79</v>
      </c>
      <c r="K143" s="72" t="s">
        <v>350</v>
      </c>
      <c r="L143" s="72" t="s">
        <v>350</v>
      </c>
      <c r="M143" s="72">
        <v>1.79</v>
      </c>
    </row>
    <row r="144" spans="2:13" x14ac:dyDescent="0.3">
      <c r="B144" s="73" t="s">
        <v>202</v>
      </c>
      <c r="C144" s="73" t="s">
        <v>186</v>
      </c>
      <c r="D144" s="73" t="s">
        <v>343</v>
      </c>
      <c r="E144" s="74" t="s">
        <v>350</v>
      </c>
      <c r="F144" s="74" t="s">
        <v>350</v>
      </c>
      <c r="G144" s="74" t="s">
        <v>350</v>
      </c>
      <c r="H144" s="74" t="s">
        <v>350</v>
      </c>
      <c r="I144" s="74" t="s">
        <v>350</v>
      </c>
      <c r="J144" s="74" t="s">
        <v>350</v>
      </c>
      <c r="K144" s="74" t="s">
        <v>350</v>
      </c>
      <c r="L144" s="74">
        <v>1.68</v>
      </c>
      <c r="M144" s="74">
        <v>1.68</v>
      </c>
    </row>
    <row r="145" spans="2:13" x14ac:dyDescent="0.3">
      <c r="B145" s="71" t="s">
        <v>191</v>
      </c>
      <c r="C145" s="71" t="s">
        <v>186</v>
      </c>
      <c r="D145" s="71" t="s">
        <v>104</v>
      </c>
      <c r="E145" s="72" t="s">
        <v>350</v>
      </c>
      <c r="F145" s="72" t="s">
        <v>350</v>
      </c>
      <c r="G145" s="72" t="s">
        <v>350</v>
      </c>
      <c r="H145" s="72" t="s">
        <v>350</v>
      </c>
      <c r="I145" s="72" t="s">
        <v>350</v>
      </c>
      <c r="J145" s="72">
        <v>1.63</v>
      </c>
      <c r="K145" s="72" t="s">
        <v>350</v>
      </c>
      <c r="L145" s="72" t="s">
        <v>350</v>
      </c>
      <c r="M145" s="72">
        <v>1.63</v>
      </c>
    </row>
    <row r="146" spans="2:13" x14ac:dyDescent="0.3">
      <c r="B146" s="73" t="s">
        <v>242</v>
      </c>
      <c r="C146" s="73" t="s">
        <v>186</v>
      </c>
      <c r="D146" s="73" t="s">
        <v>123</v>
      </c>
      <c r="E146" s="74" t="s">
        <v>350</v>
      </c>
      <c r="F146" s="74" t="s">
        <v>350</v>
      </c>
      <c r="G146" s="74" t="s">
        <v>350</v>
      </c>
      <c r="H146" s="74">
        <v>1.6</v>
      </c>
      <c r="I146" s="74" t="s">
        <v>350</v>
      </c>
      <c r="J146" s="74" t="s">
        <v>350</v>
      </c>
      <c r="K146" s="74" t="s">
        <v>350</v>
      </c>
      <c r="L146" s="74" t="s">
        <v>350</v>
      </c>
      <c r="M146" s="74">
        <v>1.6</v>
      </c>
    </row>
    <row r="147" spans="2:13" x14ac:dyDescent="0.3">
      <c r="B147" s="71" t="s">
        <v>244</v>
      </c>
      <c r="C147" s="71" t="s">
        <v>186</v>
      </c>
      <c r="D147" s="71" t="s">
        <v>105</v>
      </c>
      <c r="E147" s="72" t="s">
        <v>350</v>
      </c>
      <c r="F147" s="72" t="s">
        <v>350</v>
      </c>
      <c r="G147" s="72" t="s">
        <v>350</v>
      </c>
      <c r="H147" s="72" t="s">
        <v>350</v>
      </c>
      <c r="I147" s="72" t="s">
        <v>350</v>
      </c>
      <c r="J147" s="72">
        <v>1.57</v>
      </c>
      <c r="K147" s="72" t="s">
        <v>350</v>
      </c>
      <c r="L147" s="72" t="s">
        <v>350</v>
      </c>
      <c r="M147" s="72">
        <v>1.57</v>
      </c>
    </row>
    <row r="148" spans="2:13" x14ac:dyDescent="0.3">
      <c r="B148" s="73" t="s">
        <v>323</v>
      </c>
      <c r="C148" s="73" t="s">
        <v>186</v>
      </c>
      <c r="D148" s="73" t="s">
        <v>343</v>
      </c>
      <c r="E148" s="74">
        <v>0.27</v>
      </c>
      <c r="F148" s="74" t="s">
        <v>350</v>
      </c>
      <c r="G148" s="74" t="s">
        <v>350</v>
      </c>
      <c r="H148" s="74" t="s">
        <v>350</v>
      </c>
      <c r="I148" s="74" t="s">
        <v>350</v>
      </c>
      <c r="J148" s="74" t="s">
        <v>350</v>
      </c>
      <c r="K148" s="74" t="s">
        <v>350</v>
      </c>
      <c r="L148" s="74">
        <v>1.24</v>
      </c>
      <c r="M148" s="74">
        <v>1.51</v>
      </c>
    </row>
    <row r="149" spans="2:13" x14ac:dyDescent="0.3">
      <c r="B149" s="71" t="s">
        <v>232</v>
      </c>
      <c r="C149" s="71" t="s">
        <v>186</v>
      </c>
      <c r="D149" s="71" t="s">
        <v>123</v>
      </c>
      <c r="E149" s="72" t="s">
        <v>350</v>
      </c>
      <c r="F149" s="72" t="s">
        <v>350</v>
      </c>
      <c r="G149" s="72" t="s">
        <v>350</v>
      </c>
      <c r="H149" s="72">
        <v>1.5</v>
      </c>
      <c r="I149" s="72" t="s">
        <v>350</v>
      </c>
      <c r="J149" s="72" t="s">
        <v>350</v>
      </c>
      <c r="K149" s="72" t="s">
        <v>350</v>
      </c>
      <c r="L149" s="72" t="s">
        <v>350</v>
      </c>
      <c r="M149" s="72">
        <v>1.5</v>
      </c>
    </row>
    <row r="150" spans="2:13" x14ac:dyDescent="0.3">
      <c r="B150" s="73" t="s">
        <v>233</v>
      </c>
      <c r="C150" s="73" t="s">
        <v>186</v>
      </c>
      <c r="D150" s="73" t="s">
        <v>73</v>
      </c>
      <c r="E150" s="74" t="s">
        <v>350</v>
      </c>
      <c r="F150" s="74" t="s">
        <v>350</v>
      </c>
      <c r="G150" s="74" t="s">
        <v>350</v>
      </c>
      <c r="H150" s="74">
        <v>1.5</v>
      </c>
      <c r="I150" s="74" t="s">
        <v>350</v>
      </c>
      <c r="J150" s="74" t="s">
        <v>350</v>
      </c>
      <c r="K150" s="74" t="s">
        <v>350</v>
      </c>
      <c r="L150" s="74" t="s">
        <v>350</v>
      </c>
      <c r="M150" s="74">
        <v>1.5</v>
      </c>
    </row>
    <row r="151" spans="2:13" x14ac:dyDescent="0.3">
      <c r="B151" s="71" t="s">
        <v>242</v>
      </c>
      <c r="C151" s="71" t="s">
        <v>186</v>
      </c>
      <c r="D151" s="71" t="s">
        <v>73</v>
      </c>
      <c r="E151" s="72" t="s">
        <v>350</v>
      </c>
      <c r="F151" s="72" t="s">
        <v>350</v>
      </c>
      <c r="G151" s="72" t="s">
        <v>350</v>
      </c>
      <c r="H151" s="72">
        <v>1.5</v>
      </c>
      <c r="I151" s="72" t="s">
        <v>350</v>
      </c>
      <c r="J151" s="72" t="s">
        <v>350</v>
      </c>
      <c r="K151" s="72" t="s">
        <v>350</v>
      </c>
      <c r="L151" s="72" t="s">
        <v>350</v>
      </c>
      <c r="M151" s="72">
        <v>1.5</v>
      </c>
    </row>
    <row r="152" spans="2:13" x14ac:dyDescent="0.3">
      <c r="B152" s="73" t="s">
        <v>235</v>
      </c>
      <c r="C152" s="73" t="s">
        <v>186</v>
      </c>
      <c r="D152" s="73" t="s">
        <v>73</v>
      </c>
      <c r="E152" s="74" t="s">
        <v>350</v>
      </c>
      <c r="F152" s="74" t="s">
        <v>350</v>
      </c>
      <c r="G152" s="74" t="s">
        <v>350</v>
      </c>
      <c r="H152" s="74">
        <v>1.5</v>
      </c>
      <c r="I152" s="74" t="s">
        <v>350</v>
      </c>
      <c r="J152" s="74" t="s">
        <v>350</v>
      </c>
      <c r="K152" s="74" t="s">
        <v>350</v>
      </c>
      <c r="L152" s="74" t="s">
        <v>350</v>
      </c>
      <c r="M152" s="74">
        <v>1.5</v>
      </c>
    </row>
    <row r="153" spans="2:13" x14ac:dyDescent="0.3">
      <c r="B153" s="71" t="s">
        <v>260</v>
      </c>
      <c r="C153" s="71" t="s">
        <v>186</v>
      </c>
      <c r="D153" s="71" t="s">
        <v>73</v>
      </c>
      <c r="E153" s="72" t="s">
        <v>350</v>
      </c>
      <c r="F153" s="72" t="s">
        <v>350</v>
      </c>
      <c r="G153" s="72" t="s">
        <v>350</v>
      </c>
      <c r="H153" s="72">
        <v>1.5</v>
      </c>
      <c r="I153" s="72" t="s">
        <v>350</v>
      </c>
      <c r="J153" s="72" t="s">
        <v>350</v>
      </c>
      <c r="K153" s="72" t="s">
        <v>350</v>
      </c>
      <c r="L153" s="72" t="s">
        <v>350</v>
      </c>
      <c r="M153" s="72">
        <v>1.5</v>
      </c>
    </row>
    <row r="154" spans="2:13" x14ac:dyDescent="0.3">
      <c r="B154" s="73" t="s">
        <v>236</v>
      </c>
      <c r="C154" s="73" t="s">
        <v>186</v>
      </c>
      <c r="D154" s="73" t="s">
        <v>73</v>
      </c>
      <c r="E154" s="74" t="s">
        <v>350</v>
      </c>
      <c r="F154" s="74" t="s">
        <v>350</v>
      </c>
      <c r="G154" s="74" t="s">
        <v>350</v>
      </c>
      <c r="H154" s="74">
        <v>1.5</v>
      </c>
      <c r="I154" s="74" t="s">
        <v>350</v>
      </c>
      <c r="J154" s="74" t="s">
        <v>350</v>
      </c>
      <c r="K154" s="74" t="s">
        <v>350</v>
      </c>
      <c r="L154" s="74" t="s">
        <v>350</v>
      </c>
      <c r="M154" s="74">
        <v>1.5</v>
      </c>
    </row>
    <row r="155" spans="2:13" x14ac:dyDescent="0.3">
      <c r="B155" s="71" t="s">
        <v>261</v>
      </c>
      <c r="C155" s="71" t="s">
        <v>186</v>
      </c>
      <c r="D155" s="71" t="s">
        <v>298</v>
      </c>
      <c r="E155" s="72" t="s">
        <v>350</v>
      </c>
      <c r="F155" s="72" t="s">
        <v>350</v>
      </c>
      <c r="G155" s="72" t="s">
        <v>350</v>
      </c>
      <c r="H155" s="72">
        <v>1.5</v>
      </c>
      <c r="I155" s="72" t="s">
        <v>350</v>
      </c>
      <c r="J155" s="72" t="s">
        <v>350</v>
      </c>
      <c r="K155" s="72" t="s">
        <v>350</v>
      </c>
      <c r="L155" s="72" t="s">
        <v>350</v>
      </c>
      <c r="M155" s="72">
        <v>1.5</v>
      </c>
    </row>
    <row r="156" spans="2:13" x14ac:dyDescent="0.3">
      <c r="B156" s="73" t="s">
        <v>248</v>
      </c>
      <c r="C156" s="73" t="s">
        <v>186</v>
      </c>
      <c r="D156" s="73" t="s">
        <v>114</v>
      </c>
      <c r="E156" s="74" t="s">
        <v>350</v>
      </c>
      <c r="F156" s="74" t="s">
        <v>350</v>
      </c>
      <c r="G156" s="74" t="s">
        <v>350</v>
      </c>
      <c r="H156" s="74" t="s">
        <v>350</v>
      </c>
      <c r="I156" s="74">
        <v>1.44</v>
      </c>
      <c r="J156" s="74" t="s">
        <v>350</v>
      </c>
      <c r="K156" s="74" t="s">
        <v>350</v>
      </c>
      <c r="L156" s="74" t="s">
        <v>350</v>
      </c>
      <c r="M156" s="74">
        <v>1.44</v>
      </c>
    </row>
    <row r="157" spans="2:13" x14ac:dyDescent="0.3">
      <c r="B157" s="71" t="s">
        <v>262</v>
      </c>
      <c r="C157" s="71" t="s">
        <v>186</v>
      </c>
      <c r="D157" s="71" t="s">
        <v>298</v>
      </c>
      <c r="E157" s="72" t="s">
        <v>350</v>
      </c>
      <c r="F157" s="72" t="s">
        <v>350</v>
      </c>
      <c r="G157" s="72" t="s">
        <v>350</v>
      </c>
      <c r="H157" s="72">
        <v>1.37</v>
      </c>
      <c r="I157" s="72" t="s">
        <v>350</v>
      </c>
      <c r="J157" s="72" t="s">
        <v>350</v>
      </c>
      <c r="K157" s="72" t="s">
        <v>350</v>
      </c>
      <c r="L157" s="72" t="s">
        <v>350</v>
      </c>
      <c r="M157" s="72">
        <v>1.37</v>
      </c>
    </row>
    <row r="158" spans="2:13" x14ac:dyDescent="0.3">
      <c r="B158" s="73" t="s">
        <v>194</v>
      </c>
      <c r="C158" s="73" t="s">
        <v>186</v>
      </c>
      <c r="D158" s="73" t="s">
        <v>343</v>
      </c>
      <c r="E158" s="74">
        <v>1.3</v>
      </c>
      <c r="F158" s="74" t="s">
        <v>350</v>
      </c>
      <c r="G158" s="74" t="s">
        <v>350</v>
      </c>
      <c r="H158" s="74" t="s">
        <v>350</v>
      </c>
      <c r="I158" s="74" t="s">
        <v>350</v>
      </c>
      <c r="J158" s="74" t="s">
        <v>350</v>
      </c>
      <c r="K158" s="74" t="s">
        <v>350</v>
      </c>
      <c r="L158" s="74" t="s">
        <v>350</v>
      </c>
      <c r="M158" s="74">
        <v>1.3</v>
      </c>
    </row>
    <row r="159" spans="2:13" x14ac:dyDescent="0.3">
      <c r="B159" s="71" t="s">
        <v>238</v>
      </c>
      <c r="C159" s="71" t="s">
        <v>186</v>
      </c>
      <c r="D159" s="71" t="s">
        <v>123</v>
      </c>
      <c r="E159" s="72" t="s">
        <v>350</v>
      </c>
      <c r="F159" s="72" t="s">
        <v>350</v>
      </c>
      <c r="G159" s="72" t="s">
        <v>350</v>
      </c>
      <c r="H159" s="72">
        <v>1.26</v>
      </c>
      <c r="I159" s="72" t="s">
        <v>350</v>
      </c>
      <c r="J159" s="72" t="s">
        <v>350</v>
      </c>
      <c r="K159" s="72" t="s">
        <v>350</v>
      </c>
      <c r="L159" s="72" t="s">
        <v>350</v>
      </c>
      <c r="M159" s="72">
        <v>1.26</v>
      </c>
    </row>
    <row r="160" spans="2:13" x14ac:dyDescent="0.3">
      <c r="B160" s="73" t="s">
        <v>239</v>
      </c>
      <c r="C160" s="73" t="s">
        <v>186</v>
      </c>
      <c r="D160" s="73" t="s">
        <v>123</v>
      </c>
      <c r="E160" s="74" t="s">
        <v>350</v>
      </c>
      <c r="F160" s="74" t="s">
        <v>350</v>
      </c>
      <c r="G160" s="74" t="s">
        <v>350</v>
      </c>
      <c r="H160" s="74">
        <v>1.2</v>
      </c>
      <c r="I160" s="74" t="s">
        <v>350</v>
      </c>
      <c r="J160" s="74" t="s">
        <v>350</v>
      </c>
      <c r="K160" s="74" t="s">
        <v>350</v>
      </c>
      <c r="L160" s="74" t="s">
        <v>350</v>
      </c>
      <c r="M160" s="74">
        <v>1.2</v>
      </c>
    </row>
    <row r="161" spans="2:13" x14ac:dyDescent="0.3">
      <c r="B161" s="71" t="s">
        <v>325</v>
      </c>
      <c r="C161" s="71" t="s">
        <v>186</v>
      </c>
      <c r="D161" s="71" t="s">
        <v>344</v>
      </c>
      <c r="E161" s="72" t="s">
        <v>350</v>
      </c>
      <c r="F161" s="72" t="s">
        <v>350</v>
      </c>
      <c r="G161" s="72">
        <v>1.1200000000000001</v>
      </c>
      <c r="H161" s="72" t="s">
        <v>350</v>
      </c>
      <c r="I161" s="72" t="s">
        <v>350</v>
      </c>
      <c r="J161" s="72" t="s">
        <v>350</v>
      </c>
      <c r="K161" s="72" t="s">
        <v>350</v>
      </c>
      <c r="L161" s="72" t="s">
        <v>350</v>
      </c>
      <c r="M161" s="72">
        <v>1.1200000000000001</v>
      </c>
    </row>
    <row r="162" spans="2:13" x14ac:dyDescent="0.3">
      <c r="B162" s="73" t="s">
        <v>248</v>
      </c>
      <c r="C162" s="73" t="s">
        <v>186</v>
      </c>
      <c r="D162" s="73" t="s">
        <v>301</v>
      </c>
      <c r="E162" s="74" t="s">
        <v>350</v>
      </c>
      <c r="F162" s="74" t="s">
        <v>350</v>
      </c>
      <c r="G162" s="74" t="s">
        <v>350</v>
      </c>
      <c r="H162" s="74" t="s">
        <v>350</v>
      </c>
      <c r="I162" s="74">
        <v>1.03</v>
      </c>
      <c r="J162" s="74" t="s">
        <v>350</v>
      </c>
      <c r="K162" s="74" t="s">
        <v>350</v>
      </c>
      <c r="L162" s="74" t="s">
        <v>350</v>
      </c>
      <c r="M162" s="74">
        <v>1.03</v>
      </c>
    </row>
    <row r="163" spans="2:13" x14ac:dyDescent="0.3">
      <c r="B163" s="71" t="s">
        <v>199</v>
      </c>
      <c r="C163" s="71" t="s">
        <v>186</v>
      </c>
      <c r="D163" s="71" t="s">
        <v>105</v>
      </c>
      <c r="E163" s="72" t="s">
        <v>350</v>
      </c>
      <c r="F163" s="72" t="s">
        <v>350</v>
      </c>
      <c r="G163" s="72" t="s">
        <v>350</v>
      </c>
      <c r="H163" s="72" t="s">
        <v>350</v>
      </c>
      <c r="I163" s="72" t="s">
        <v>350</v>
      </c>
      <c r="J163" s="72">
        <v>1</v>
      </c>
      <c r="K163" s="72" t="s">
        <v>350</v>
      </c>
      <c r="L163" s="72" t="s">
        <v>350</v>
      </c>
      <c r="M163" s="72">
        <v>1</v>
      </c>
    </row>
    <row r="164" spans="2:13" x14ac:dyDescent="0.3">
      <c r="B164" s="73" t="s">
        <v>231</v>
      </c>
      <c r="C164" s="73" t="s">
        <v>186</v>
      </c>
      <c r="D164" s="73" t="s">
        <v>102</v>
      </c>
      <c r="E164" s="74" t="s">
        <v>350</v>
      </c>
      <c r="F164" s="74" t="s">
        <v>350</v>
      </c>
      <c r="G164" s="74" t="s">
        <v>350</v>
      </c>
      <c r="H164" s="74" t="s">
        <v>350</v>
      </c>
      <c r="I164" s="74" t="s">
        <v>350</v>
      </c>
      <c r="J164" s="74">
        <v>1</v>
      </c>
      <c r="K164" s="74" t="s">
        <v>350</v>
      </c>
      <c r="L164" s="74" t="s">
        <v>350</v>
      </c>
      <c r="M164" s="74">
        <v>1</v>
      </c>
    </row>
    <row r="165" spans="2:13" x14ac:dyDescent="0.3">
      <c r="B165" s="71" t="s">
        <v>263</v>
      </c>
      <c r="C165" s="71" t="s">
        <v>186</v>
      </c>
      <c r="D165" s="71" t="s">
        <v>73</v>
      </c>
      <c r="E165" s="72" t="s">
        <v>350</v>
      </c>
      <c r="F165" s="72" t="s">
        <v>350</v>
      </c>
      <c r="G165" s="72" t="s">
        <v>350</v>
      </c>
      <c r="H165" s="72" t="s">
        <v>350</v>
      </c>
      <c r="I165" s="72" t="s">
        <v>350</v>
      </c>
      <c r="J165" s="72" t="s">
        <v>350</v>
      </c>
      <c r="K165" s="72">
        <v>1</v>
      </c>
      <c r="L165" s="72" t="s">
        <v>350</v>
      </c>
      <c r="M165" s="72">
        <v>1</v>
      </c>
    </row>
    <row r="166" spans="2:13" x14ac:dyDescent="0.3">
      <c r="B166" s="73" t="s">
        <v>326</v>
      </c>
      <c r="C166" s="73" t="s">
        <v>186</v>
      </c>
      <c r="D166" s="73" t="s">
        <v>344</v>
      </c>
      <c r="E166" s="74" t="s">
        <v>350</v>
      </c>
      <c r="F166" s="74" t="s">
        <v>350</v>
      </c>
      <c r="G166" s="74">
        <v>1</v>
      </c>
      <c r="H166" s="74" t="s">
        <v>350</v>
      </c>
      <c r="I166" s="74" t="s">
        <v>350</v>
      </c>
      <c r="J166" s="74" t="s">
        <v>350</v>
      </c>
      <c r="K166" s="74" t="s">
        <v>350</v>
      </c>
      <c r="L166" s="74" t="s">
        <v>350</v>
      </c>
      <c r="M166" s="74">
        <v>1</v>
      </c>
    </row>
    <row r="167" spans="2:13" x14ac:dyDescent="0.3">
      <c r="B167" s="71" t="s">
        <v>264</v>
      </c>
      <c r="C167" s="71" t="s">
        <v>186</v>
      </c>
      <c r="D167" s="71" t="s">
        <v>73</v>
      </c>
      <c r="E167" s="72" t="s">
        <v>350</v>
      </c>
      <c r="F167" s="72" t="s">
        <v>350</v>
      </c>
      <c r="G167" s="72" t="s">
        <v>350</v>
      </c>
      <c r="H167" s="72">
        <v>1</v>
      </c>
      <c r="I167" s="72" t="s">
        <v>350</v>
      </c>
      <c r="J167" s="72" t="s">
        <v>350</v>
      </c>
      <c r="K167" s="72" t="s">
        <v>350</v>
      </c>
      <c r="L167" s="72" t="s">
        <v>350</v>
      </c>
      <c r="M167" s="72">
        <v>1</v>
      </c>
    </row>
    <row r="168" spans="2:13" x14ac:dyDescent="0.3">
      <c r="B168" s="73" t="s">
        <v>244</v>
      </c>
      <c r="C168" s="73" t="s">
        <v>186</v>
      </c>
      <c r="D168" s="73" t="s">
        <v>97</v>
      </c>
      <c r="E168" s="74" t="s">
        <v>350</v>
      </c>
      <c r="F168" s="74" t="s">
        <v>350</v>
      </c>
      <c r="G168" s="74" t="s">
        <v>350</v>
      </c>
      <c r="H168" s="74" t="s">
        <v>350</v>
      </c>
      <c r="I168" s="74" t="s">
        <v>350</v>
      </c>
      <c r="J168" s="74">
        <v>0.88</v>
      </c>
      <c r="K168" s="74" t="s">
        <v>350</v>
      </c>
      <c r="L168" s="74" t="s">
        <v>350</v>
      </c>
      <c r="M168" s="74">
        <v>0.88</v>
      </c>
    </row>
    <row r="169" spans="2:13" x14ac:dyDescent="0.3">
      <c r="B169" s="71" t="s">
        <v>196</v>
      </c>
      <c r="C169" s="71" t="s">
        <v>186</v>
      </c>
      <c r="D169" s="71" t="s">
        <v>116</v>
      </c>
      <c r="E169" s="72" t="s">
        <v>350</v>
      </c>
      <c r="F169" s="72" t="s">
        <v>350</v>
      </c>
      <c r="G169" s="72" t="s">
        <v>350</v>
      </c>
      <c r="H169" s="72" t="s">
        <v>350</v>
      </c>
      <c r="I169" s="72">
        <v>0.86</v>
      </c>
      <c r="J169" s="72" t="s">
        <v>350</v>
      </c>
      <c r="K169" s="72" t="s">
        <v>350</v>
      </c>
      <c r="L169" s="72" t="s">
        <v>350</v>
      </c>
      <c r="M169" s="72">
        <v>0.86</v>
      </c>
    </row>
    <row r="170" spans="2:13" x14ac:dyDescent="0.3">
      <c r="B170" s="73" t="s">
        <v>217</v>
      </c>
      <c r="C170" s="73" t="s">
        <v>186</v>
      </c>
      <c r="D170" s="73" t="s">
        <v>116</v>
      </c>
      <c r="E170" s="74" t="s">
        <v>350</v>
      </c>
      <c r="F170" s="74" t="s">
        <v>350</v>
      </c>
      <c r="G170" s="74" t="s">
        <v>350</v>
      </c>
      <c r="H170" s="74" t="s">
        <v>350</v>
      </c>
      <c r="I170" s="74">
        <v>0.84</v>
      </c>
      <c r="J170" s="74" t="s">
        <v>350</v>
      </c>
      <c r="K170" s="74" t="s">
        <v>350</v>
      </c>
      <c r="L170" s="74" t="s">
        <v>350</v>
      </c>
      <c r="M170" s="74">
        <v>0.84</v>
      </c>
    </row>
    <row r="171" spans="2:13" x14ac:dyDescent="0.3">
      <c r="B171" s="71" t="s">
        <v>266</v>
      </c>
      <c r="C171" s="71" t="s">
        <v>186</v>
      </c>
      <c r="D171" s="71" t="s">
        <v>123</v>
      </c>
      <c r="E171" s="72" t="s">
        <v>350</v>
      </c>
      <c r="F171" s="72" t="s">
        <v>350</v>
      </c>
      <c r="G171" s="72" t="s">
        <v>350</v>
      </c>
      <c r="H171" s="72">
        <v>0.82</v>
      </c>
      <c r="I171" s="72" t="s">
        <v>350</v>
      </c>
      <c r="J171" s="72" t="s">
        <v>350</v>
      </c>
      <c r="K171" s="72" t="s">
        <v>350</v>
      </c>
      <c r="L171" s="72" t="s">
        <v>350</v>
      </c>
      <c r="M171" s="72">
        <v>0.82</v>
      </c>
    </row>
    <row r="172" spans="2:13" x14ac:dyDescent="0.3">
      <c r="B172" s="73" t="s">
        <v>265</v>
      </c>
      <c r="C172" s="73" t="s">
        <v>186</v>
      </c>
      <c r="D172" s="73" t="s">
        <v>105</v>
      </c>
      <c r="E172" s="74" t="s">
        <v>350</v>
      </c>
      <c r="F172" s="74" t="s">
        <v>350</v>
      </c>
      <c r="G172" s="74" t="s">
        <v>350</v>
      </c>
      <c r="H172" s="74" t="s">
        <v>350</v>
      </c>
      <c r="I172" s="74" t="s">
        <v>350</v>
      </c>
      <c r="J172" s="74">
        <v>0.79</v>
      </c>
      <c r="K172" s="74" t="s">
        <v>350</v>
      </c>
      <c r="L172" s="74" t="s">
        <v>350</v>
      </c>
      <c r="M172" s="74">
        <v>0.79</v>
      </c>
    </row>
    <row r="173" spans="2:13" x14ac:dyDescent="0.3">
      <c r="B173" s="71" t="s">
        <v>196</v>
      </c>
      <c r="C173" s="71" t="s">
        <v>186</v>
      </c>
      <c r="D173" s="71" t="s">
        <v>121</v>
      </c>
      <c r="E173" s="72" t="s">
        <v>350</v>
      </c>
      <c r="F173" s="72" t="s">
        <v>350</v>
      </c>
      <c r="G173" s="72" t="s">
        <v>350</v>
      </c>
      <c r="H173" s="72" t="s">
        <v>350</v>
      </c>
      <c r="I173" s="72">
        <v>0.78</v>
      </c>
      <c r="J173" s="72" t="s">
        <v>350</v>
      </c>
      <c r="K173" s="72" t="s">
        <v>350</v>
      </c>
      <c r="L173" s="72" t="s">
        <v>350</v>
      </c>
      <c r="M173" s="72">
        <v>0.78</v>
      </c>
    </row>
    <row r="174" spans="2:13" x14ac:dyDescent="0.3">
      <c r="B174" s="73" t="s">
        <v>219</v>
      </c>
      <c r="C174" s="73" t="s">
        <v>186</v>
      </c>
      <c r="D174" s="73" t="s">
        <v>121</v>
      </c>
      <c r="E174" s="74" t="s">
        <v>350</v>
      </c>
      <c r="F174" s="74" t="s">
        <v>350</v>
      </c>
      <c r="G174" s="74" t="s">
        <v>350</v>
      </c>
      <c r="H174" s="74" t="s">
        <v>350</v>
      </c>
      <c r="I174" s="74">
        <v>0.73</v>
      </c>
      <c r="J174" s="74" t="s">
        <v>350</v>
      </c>
      <c r="K174" s="74" t="s">
        <v>350</v>
      </c>
      <c r="L174" s="74" t="s">
        <v>350</v>
      </c>
      <c r="M174" s="74">
        <v>0.73</v>
      </c>
    </row>
    <row r="175" spans="2:13" x14ac:dyDescent="0.3">
      <c r="B175" s="71" t="s">
        <v>196</v>
      </c>
      <c r="C175" s="71" t="s">
        <v>186</v>
      </c>
      <c r="D175" s="71" t="s">
        <v>110</v>
      </c>
      <c r="E175" s="72" t="s">
        <v>350</v>
      </c>
      <c r="F175" s="72" t="s">
        <v>350</v>
      </c>
      <c r="G175" s="72" t="s">
        <v>350</v>
      </c>
      <c r="H175" s="72" t="s">
        <v>350</v>
      </c>
      <c r="I175" s="72" t="s">
        <v>350</v>
      </c>
      <c r="J175" s="72">
        <v>0.71</v>
      </c>
      <c r="K175" s="72" t="s">
        <v>350</v>
      </c>
      <c r="L175" s="72" t="s">
        <v>350</v>
      </c>
      <c r="M175" s="72">
        <v>0.71</v>
      </c>
    </row>
    <row r="176" spans="2:13" x14ac:dyDescent="0.3">
      <c r="B176" s="73" t="s">
        <v>196</v>
      </c>
      <c r="C176" s="73" t="s">
        <v>186</v>
      </c>
      <c r="D176" s="73" t="s">
        <v>115</v>
      </c>
      <c r="E176" s="74" t="s">
        <v>350</v>
      </c>
      <c r="F176" s="74" t="s">
        <v>350</v>
      </c>
      <c r="G176" s="74" t="s">
        <v>350</v>
      </c>
      <c r="H176" s="74" t="s">
        <v>350</v>
      </c>
      <c r="I176" s="74">
        <v>0.69</v>
      </c>
      <c r="J176" s="74" t="s">
        <v>350</v>
      </c>
      <c r="K176" s="74" t="s">
        <v>350</v>
      </c>
      <c r="L176" s="74" t="s">
        <v>350</v>
      </c>
      <c r="M176" s="74">
        <v>0.69</v>
      </c>
    </row>
    <row r="177" spans="2:13" x14ac:dyDescent="0.3">
      <c r="B177" s="71" t="s">
        <v>267</v>
      </c>
      <c r="C177" s="71" t="s">
        <v>186</v>
      </c>
      <c r="D177" s="71" t="s">
        <v>105</v>
      </c>
      <c r="E177" s="72" t="s">
        <v>350</v>
      </c>
      <c r="F177" s="72" t="s">
        <v>350</v>
      </c>
      <c r="G177" s="72" t="s">
        <v>350</v>
      </c>
      <c r="H177" s="72" t="s">
        <v>350</v>
      </c>
      <c r="I177" s="72" t="s">
        <v>350</v>
      </c>
      <c r="J177" s="72">
        <v>0.68</v>
      </c>
      <c r="K177" s="72" t="s">
        <v>350</v>
      </c>
      <c r="L177" s="72" t="s">
        <v>350</v>
      </c>
      <c r="M177" s="72">
        <v>0.68</v>
      </c>
    </row>
    <row r="178" spans="2:13" x14ac:dyDescent="0.3">
      <c r="B178" s="73" t="s">
        <v>217</v>
      </c>
      <c r="C178" s="73" t="s">
        <v>186</v>
      </c>
      <c r="D178" s="73" t="s">
        <v>115</v>
      </c>
      <c r="E178" s="74" t="s">
        <v>350</v>
      </c>
      <c r="F178" s="74" t="s">
        <v>350</v>
      </c>
      <c r="G178" s="74" t="s">
        <v>350</v>
      </c>
      <c r="H178" s="74" t="s">
        <v>350</v>
      </c>
      <c r="I178" s="74">
        <v>0.67</v>
      </c>
      <c r="J178" s="74" t="s">
        <v>350</v>
      </c>
      <c r="K178" s="74" t="s">
        <v>350</v>
      </c>
      <c r="L178" s="74" t="s">
        <v>350</v>
      </c>
      <c r="M178" s="74">
        <v>0.67</v>
      </c>
    </row>
    <row r="179" spans="2:13" x14ac:dyDescent="0.3">
      <c r="B179" s="71" t="s">
        <v>327</v>
      </c>
      <c r="C179" s="71" t="s">
        <v>186</v>
      </c>
      <c r="D179" s="71" t="s">
        <v>344</v>
      </c>
      <c r="E179" s="72" t="s">
        <v>350</v>
      </c>
      <c r="F179" s="72" t="s">
        <v>350</v>
      </c>
      <c r="G179" s="72">
        <v>0.66</v>
      </c>
      <c r="H179" s="72" t="s">
        <v>350</v>
      </c>
      <c r="I179" s="72" t="s">
        <v>350</v>
      </c>
      <c r="J179" s="72" t="s">
        <v>350</v>
      </c>
      <c r="K179" s="72" t="s">
        <v>350</v>
      </c>
      <c r="L179" s="72" t="s">
        <v>350</v>
      </c>
      <c r="M179" s="72">
        <v>0.66</v>
      </c>
    </row>
    <row r="180" spans="2:13" x14ac:dyDescent="0.3">
      <c r="B180" s="73" t="s">
        <v>213</v>
      </c>
      <c r="C180" s="73" t="s">
        <v>186</v>
      </c>
      <c r="D180" s="73" t="s">
        <v>105</v>
      </c>
      <c r="E180" s="74" t="s">
        <v>350</v>
      </c>
      <c r="F180" s="74" t="s">
        <v>350</v>
      </c>
      <c r="G180" s="74" t="s">
        <v>350</v>
      </c>
      <c r="H180" s="74" t="s">
        <v>350</v>
      </c>
      <c r="I180" s="74" t="s">
        <v>350</v>
      </c>
      <c r="J180" s="74">
        <v>0.64</v>
      </c>
      <c r="K180" s="74" t="s">
        <v>350</v>
      </c>
      <c r="L180" s="74" t="s">
        <v>350</v>
      </c>
      <c r="M180" s="74">
        <v>0.64</v>
      </c>
    </row>
    <row r="181" spans="2:13" x14ac:dyDescent="0.3">
      <c r="B181" s="71" t="s">
        <v>210</v>
      </c>
      <c r="C181" s="71" t="s">
        <v>186</v>
      </c>
      <c r="D181" s="71" t="s">
        <v>105</v>
      </c>
      <c r="E181" s="72" t="s">
        <v>350</v>
      </c>
      <c r="F181" s="72" t="s">
        <v>350</v>
      </c>
      <c r="G181" s="72" t="s">
        <v>350</v>
      </c>
      <c r="H181" s="72" t="s">
        <v>350</v>
      </c>
      <c r="I181" s="72" t="s">
        <v>350</v>
      </c>
      <c r="J181" s="72">
        <v>0.62</v>
      </c>
      <c r="K181" s="72" t="s">
        <v>350</v>
      </c>
      <c r="L181" s="72" t="s">
        <v>350</v>
      </c>
      <c r="M181" s="72">
        <v>0.62</v>
      </c>
    </row>
    <row r="182" spans="2:13" x14ac:dyDescent="0.3">
      <c r="B182" s="73" t="s">
        <v>328</v>
      </c>
      <c r="C182" s="73" t="s">
        <v>186</v>
      </c>
      <c r="D182" s="73" t="s">
        <v>344</v>
      </c>
      <c r="E182" s="74" t="s">
        <v>350</v>
      </c>
      <c r="F182" s="74" t="s">
        <v>350</v>
      </c>
      <c r="G182" s="74">
        <v>0.61</v>
      </c>
      <c r="H182" s="74" t="s">
        <v>350</v>
      </c>
      <c r="I182" s="74" t="s">
        <v>350</v>
      </c>
      <c r="J182" s="74" t="s">
        <v>350</v>
      </c>
      <c r="K182" s="74" t="s">
        <v>350</v>
      </c>
      <c r="L182" s="74" t="s">
        <v>350</v>
      </c>
      <c r="M182" s="74">
        <v>0.61</v>
      </c>
    </row>
    <row r="183" spans="2:13" x14ac:dyDescent="0.3">
      <c r="B183" s="71" t="s">
        <v>224</v>
      </c>
      <c r="C183" s="71" t="s">
        <v>186</v>
      </c>
      <c r="D183" s="71" t="s">
        <v>299</v>
      </c>
      <c r="E183" s="72" t="s">
        <v>350</v>
      </c>
      <c r="F183" s="72" t="s">
        <v>350</v>
      </c>
      <c r="G183" s="72" t="s">
        <v>350</v>
      </c>
      <c r="H183" s="72" t="s">
        <v>350</v>
      </c>
      <c r="I183" s="72" t="s">
        <v>350</v>
      </c>
      <c r="J183" s="72" t="s">
        <v>350</v>
      </c>
      <c r="K183" s="72">
        <v>0.56999999999999995</v>
      </c>
      <c r="L183" s="72" t="s">
        <v>350</v>
      </c>
      <c r="M183" s="72">
        <v>0.56999999999999995</v>
      </c>
    </row>
    <row r="184" spans="2:13" x14ac:dyDescent="0.3">
      <c r="B184" s="73" t="s">
        <v>243</v>
      </c>
      <c r="C184" s="73" t="s">
        <v>186</v>
      </c>
      <c r="D184" s="73" t="s">
        <v>123</v>
      </c>
      <c r="E184" s="74" t="s">
        <v>350</v>
      </c>
      <c r="F184" s="74" t="s">
        <v>350</v>
      </c>
      <c r="G184" s="74" t="s">
        <v>350</v>
      </c>
      <c r="H184" s="74">
        <v>0.56000000000000005</v>
      </c>
      <c r="I184" s="74" t="s">
        <v>350</v>
      </c>
      <c r="J184" s="74" t="s">
        <v>350</v>
      </c>
      <c r="K184" s="74" t="s">
        <v>350</v>
      </c>
      <c r="L184" s="74" t="s">
        <v>350</v>
      </c>
      <c r="M184" s="74">
        <v>0.56000000000000005</v>
      </c>
    </row>
    <row r="185" spans="2:13" x14ac:dyDescent="0.3">
      <c r="B185" s="71" t="s">
        <v>225</v>
      </c>
      <c r="C185" s="71" t="s">
        <v>186</v>
      </c>
      <c r="D185" s="71" t="s">
        <v>123</v>
      </c>
      <c r="E185" s="72" t="s">
        <v>350</v>
      </c>
      <c r="F185" s="72" t="s">
        <v>350</v>
      </c>
      <c r="G185" s="72" t="s">
        <v>350</v>
      </c>
      <c r="H185" s="72">
        <v>0.54</v>
      </c>
      <c r="I185" s="72" t="s">
        <v>350</v>
      </c>
      <c r="J185" s="72" t="s">
        <v>350</v>
      </c>
      <c r="K185" s="72" t="s">
        <v>350</v>
      </c>
      <c r="L185" s="72" t="s">
        <v>350</v>
      </c>
      <c r="M185" s="72">
        <v>0.54</v>
      </c>
    </row>
    <row r="186" spans="2:13" x14ac:dyDescent="0.3">
      <c r="B186" s="73" t="s">
        <v>268</v>
      </c>
      <c r="C186" s="73" t="s">
        <v>186</v>
      </c>
      <c r="D186" s="73" t="s">
        <v>102</v>
      </c>
      <c r="E186" s="74" t="s">
        <v>350</v>
      </c>
      <c r="F186" s="74" t="s">
        <v>350</v>
      </c>
      <c r="G186" s="74" t="s">
        <v>350</v>
      </c>
      <c r="H186" s="74" t="s">
        <v>350</v>
      </c>
      <c r="I186" s="74" t="s">
        <v>350</v>
      </c>
      <c r="J186" s="74">
        <v>0.54</v>
      </c>
      <c r="K186" s="74" t="s">
        <v>350</v>
      </c>
      <c r="L186" s="74" t="s">
        <v>350</v>
      </c>
      <c r="M186" s="74">
        <v>0.54</v>
      </c>
    </row>
    <row r="187" spans="2:13" x14ac:dyDescent="0.3">
      <c r="B187" s="71" t="s">
        <v>269</v>
      </c>
      <c r="C187" s="71" t="s">
        <v>186</v>
      </c>
      <c r="D187" s="71" t="s">
        <v>123</v>
      </c>
      <c r="E187" s="72" t="s">
        <v>350</v>
      </c>
      <c r="F187" s="72" t="s">
        <v>350</v>
      </c>
      <c r="G187" s="72" t="s">
        <v>350</v>
      </c>
      <c r="H187" s="72">
        <v>0.54</v>
      </c>
      <c r="I187" s="72" t="s">
        <v>350</v>
      </c>
      <c r="J187" s="72" t="s">
        <v>350</v>
      </c>
      <c r="K187" s="72" t="s">
        <v>350</v>
      </c>
      <c r="L187" s="72" t="s">
        <v>350</v>
      </c>
      <c r="M187" s="72">
        <v>0.54</v>
      </c>
    </row>
    <row r="188" spans="2:13" x14ac:dyDescent="0.3">
      <c r="B188" s="73" t="s">
        <v>329</v>
      </c>
      <c r="C188" s="73" t="s">
        <v>186</v>
      </c>
      <c r="D188" s="73" t="s">
        <v>343</v>
      </c>
      <c r="E188" s="74">
        <v>0.51</v>
      </c>
      <c r="F188" s="74" t="s">
        <v>350</v>
      </c>
      <c r="G188" s="74" t="s">
        <v>350</v>
      </c>
      <c r="H188" s="74" t="s">
        <v>350</v>
      </c>
      <c r="I188" s="74" t="s">
        <v>350</v>
      </c>
      <c r="J188" s="74" t="s">
        <v>350</v>
      </c>
      <c r="K188" s="74" t="s">
        <v>350</v>
      </c>
      <c r="L188" s="74" t="s">
        <v>350</v>
      </c>
      <c r="M188" s="74">
        <v>0.51</v>
      </c>
    </row>
    <row r="189" spans="2:13" x14ac:dyDescent="0.3">
      <c r="B189" s="71" t="s">
        <v>216</v>
      </c>
      <c r="C189" s="71" t="s">
        <v>186</v>
      </c>
      <c r="D189" s="71" t="s">
        <v>105</v>
      </c>
      <c r="E189" s="72" t="s">
        <v>350</v>
      </c>
      <c r="F189" s="72" t="s">
        <v>350</v>
      </c>
      <c r="G189" s="72" t="s">
        <v>350</v>
      </c>
      <c r="H189" s="72" t="s">
        <v>350</v>
      </c>
      <c r="I189" s="72" t="s">
        <v>350</v>
      </c>
      <c r="J189" s="72">
        <v>0.5</v>
      </c>
      <c r="K189" s="72" t="s">
        <v>350</v>
      </c>
      <c r="L189" s="72" t="s">
        <v>350</v>
      </c>
      <c r="M189" s="72">
        <v>0.5</v>
      </c>
    </row>
    <row r="190" spans="2:13" x14ac:dyDescent="0.3">
      <c r="B190" s="73" t="s">
        <v>201</v>
      </c>
      <c r="C190" s="73" t="s">
        <v>186</v>
      </c>
      <c r="D190" s="73" t="s">
        <v>102</v>
      </c>
      <c r="E190" s="74" t="s">
        <v>350</v>
      </c>
      <c r="F190" s="74" t="s">
        <v>350</v>
      </c>
      <c r="G190" s="74" t="s">
        <v>350</v>
      </c>
      <c r="H190" s="74" t="s">
        <v>350</v>
      </c>
      <c r="I190" s="74" t="s">
        <v>350</v>
      </c>
      <c r="J190" s="74">
        <v>0.5</v>
      </c>
      <c r="K190" s="74" t="s">
        <v>350</v>
      </c>
      <c r="L190" s="74" t="s">
        <v>350</v>
      </c>
      <c r="M190" s="74">
        <v>0.5</v>
      </c>
    </row>
    <row r="191" spans="2:13" x14ac:dyDescent="0.3">
      <c r="B191" s="71" t="s">
        <v>270</v>
      </c>
      <c r="C191" s="71" t="s">
        <v>186</v>
      </c>
      <c r="D191" s="71" t="s">
        <v>102</v>
      </c>
      <c r="E191" s="72" t="s">
        <v>350</v>
      </c>
      <c r="F191" s="72" t="s">
        <v>350</v>
      </c>
      <c r="G191" s="72" t="s">
        <v>350</v>
      </c>
      <c r="H191" s="72" t="s">
        <v>350</v>
      </c>
      <c r="I191" s="72" t="s">
        <v>350</v>
      </c>
      <c r="J191" s="72">
        <v>0.5</v>
      </c>
      <c r="K191" s="72" t="s">
        <v>350</v>
      </c>
      <c r="L191" s="72" t="s">
        <v>350</v>
      </c>
      <c r="M191" s="72">
        <v>0.5</v>
      </c>
    </row>
    <row r="192" spans="2:13" x14ac:dyDescent="0.3">
      <c r="B192" s="73" t="s">
        <v>271</v>
      </c>
      <c r="C192" s="73" t="s">
        <v>186</v>
      </c>
      <c r="D192" s="73" t="s">
        <v>102</v>
      </c>
      <c r="E192" s="74" t="s">
        <v>350</v>
      </c>
      <c r="F192" s="74" t="s">
        <v>350</v>
      </c>
      <c r="G192" s="74" t="s">
        <v>350</v>
      </c>
      <c r="H192" s="74" t="s">
        <v>350</v>
      </c>
      <c r="I192" s="74" t="s">
        <v>350</v>
      </c>
      <c r="J192" s="74">
        <v>0.5</v>
      </c>
      <c r="K192" s="74" t="s">
        <v>350</v>
      </c>
      <c r="L192" s="74" t="s">
        <v>350</v>
      </c>
      <c r="M192" s="74">
        <v>0.5</v>
      </c>
    </row>
    <row r="193" spans="2:13" x14ac:dyDescent="0.3">
      <c r="B193" s="71" t="s">
        <v>244</v>
      </c>
      <c r="C193" s="71" t="s">
        <v>186</v>
      </c>
      <c r="D193" s="71" t="s">
        <v>102</v>
      </c>
      <c r="E193" s="72" t="s">
        <v>350</v>
      </c>
      <c r="F193" s="72" t="s">
        <v>350</v>
      </c>
      <c r="G193" s="72" t="s">
        <v>350</v>
      </c>
      <c r="H193" s="72" t="s">
        <v>350</v>
      </c>
      <c r="I193" s="72" t="s">
        <v>350</v>
      </c>
      <c r="J193" s="72">
        <v>0.5</v>
      </c>
      <c r="K193" s="72" t="s">
        <v>350</v>
      </c>
      <c r="L193" s="72" t="s">
        <v>350</v>
      </c>
      <c r="M193" s="72">
        <v>0.5</v>
      </c>
    </row>
    <row r="194" spans="2:13" x14ac:dyDescent="0.3">
      <c r="B194" s="73" t="s">
        <v>272</v>
      </c>
      <c r="C194" s="73" t="s">
        <v>186</v>
      </c>
      <c r="D194" s="73" t="s">
        <v>299</v>
      </c>
      <c r="E194" s="74" t="s">
        <v>350</v>
      </c>
      <c r="F194" s="74" t="s">
        <v>350</v>
      </c>
      <c r="G194" s="74" t="s">
        <v>350</v>
      </c>
      <c r="H194" s="74" t="s">
        <v>350</v>
      </c>
      <c r="I194" s="74" t="s">
        <v>350</v>
      </c>
      <c r="J194" s="74" t="s">
        <v>350</v>
      </c>
      <c r="K194" s="74">
        <v>0.5</v>
      </c>
      <c r="L194" s="74" t="s">
        <v>350</v>
      </c>
      <c r="M194" s="74">
        <v>0.5</v>
      </c>
    </row>
    <row r="195" spans="2:13" x14ac:dyDescent="0.3">
      <c r="B195" s="71" t="s">
        <v>330</v>
      </c>
      <c r="C195" s="71" t="s">
        <v>186</v>
      </c>
      <c r="D195" s="71" t="s">
        <v>344</v>
      </c>
      <c r="E195" s="72" t="s">
        <v>350</v>
      </c>
      <c r="F195" s="72" t="s">
        <v>350</v>
      </c>
      <c r="G195" s="72">
        <v>0.5</v>
      </c>
      <c r="H195" s="72" t="s">
        <v>350</v>
      </c>
      <c r="I195" s="72" t="s">
        <v>350</v>
      </c>
      <c r="J195" s="72" t="s">
        <v>350</v>
      </c>
      <c r="K195" s="72" t="s">
        <v>350</v>
      </c>
      <c r="L195" s="72" t="s">
        <v>350</v>
      </c>
      <c r="M195" s="72">
        <v>0.5</v>
      </c>
    </row>
    <row r="196" spans="2:13" x14ac:dyDescent="0.3">
      <c r="B196" s="73" t="s">
        <v>273</v>
      </c>
      <c r="C196" s="73" t="s">
        <v>186</v>
      </c>
      <c r="D196" s="73" t="s">
        <v>298</v>
      </c>
      <c r="E196" s="74" t="s">
        <v>350</v>
      </c>
      <c r="F196" s="74" t="s">
        <v>350</v>
      </c>
      <c r="G196" s="74" t="s">
        <v>350</v>
      </c>
      <c r="H196" s="74">
        <v>0.5</v>
      </c>
      <c r="I196" s="74" t="s">
        <v>350</v>
      </c>
      <c r="J196" s="74" t="s">
        <v>350</v>
      </c>
      <c r="K196" s="74" t="s">
        <v>350</v>
      </c>
      <c r="L196" s="74" t="s">
        <v>350</v>
      </c>
      <c r="M196" s="74">
        <v>0.5</v>
      </c>
    </row>
    <row r="197" spans="2:13" x14ac:dyDescent="0.3">
      <c r="B197" s="71" t="s">
        <v>274</v>
      </c>
      <c r="C197" s="71" t="s">
        <v>186</v>
      </c>
      <c r="D197" s="71" t="s">
        <v>102</v>
      </c>
      <c r="E197" s="72" t="s">
        <v>350</v>
      </c>
      <c r="F197" s="72" t="s">
        <v>350</v>
      </c>
      <c r="G197" s="72" t="s">
        <v>350</v>
      </c>
      <c r="H197" s="72" t="s">
        <v>350</v>
      </c>
      <c r="I197" s="72" t="s">
        <v>350</v>
      </c>
      <c r="J197" s="72">
        <v>0.5</v>
      </c>
      <c r="K197" s="72" t="s">
        <v>350</v>
      </c>
      <c r="L197" s="72" t="s">
        <v>350</v>
      </c>
      <c r="M197" s="72">
        <v>0.5</v>
      </c>
    </row>
    <row r="198" spans="2:13" x14ac:dyDescent="0.3">
      <c r="B198" s="73" t="s">
        <v>226</v>
      </c>
      <c r="C198" s="73" t="s">
        <v>186</v>
      </c>
      <c r="D198" s="73" t="s">
        <v>123</v>
      </c>
      <c r="E198" s="74" t="s">
        <v>350</v>
      </c>
      <c r="F198" s="74" t="s">
        <v>350</v>
      </c>
      <c r="G198" s="74" t="s">
        <v>350</v>
      </c>
      <c r="H198" s="74">
        <v>0.45</v>
      </c>
      <c r="I198" s="74" t="s">
        <v>350</v>
      </c>
      <c r="J198" s="74" t="s">
        <v>350</v>
      </c>
      <c r="K198" s="74" t="s">
        <v>350</v>
      </c>
      <c r="L198" s="74" t="s">
        <v>350</v>
      </c>
      <c r="M198" s="74">
        <v>0.45</v>
      </c>
    </row>
    <row r="199" spans="2:13" x14ac:dyDescent="0.3">
      <c r="B199" s="71" t="s">
        <v>196</v>
      </c>
      <c r="C199" s="71" t="s">
        <v>186</v>
      </c>
      <c r="D199" s="71" t="s">
        <v>118</v>
      </c>
      <c r="E199" s="72" t="s">
        <v>350</v>
      </c>
      <c r="F199" s="72" t="s">
        <v>350</v>
      </c>
      <c r="G199" s="72" t="s">
        <v>350</v>
      </c>
      <c r="H199" s="72" t="s">
        <v>350</v>
      </c>
      <c r="I199" s="72">
        <v>0.43</v>
      </c>
      <c r="J199" s="72" t="s">
        <v>350</v>
      </c>
      <c r="K199" s="72" t="s">
        <v>350</v>
      </c>
      <c r="L199" s="72" t="s">
        <v>350</v>
      </c>
      <c r="M199" s="72">
        <v>0.43</v>
      </c>
    </row>
    <row r="200" spans="2:13" x14ac:dyDescent="0.3">
      <c r="B200" s="73" t="s">
        <v>241</v>
      </c>
      <c r="C200" s="73" t="s">
        <v>186</v>
      </c>
      <c r="D200" s="73" t="s">
        <v>114</v>
      </c>
      <c r="E200" s="74" t="s">
        <v>350</v>
      </c>
      <c r="F200" s="74" t="s">
        <v>350</v>
      </c>
      <c r="G200" s="74" t="s">
        <v>350</v>
      </c>
      <c r="H200" s="74" t="s">
        <v>350</v>
      </c>
      <c r="I200" s="74">
        <v>0.43</v>
      </c>
      <c r="J200" s="74" t="s">
        <v>350</v>
      </c>
      <c r="K200" s="74" t="s">
        <v>350</v>
      </c>
      <c r="L200" s="74" t="s">
        <v>350</v>
      </c>
      <c r="M200" s="74">
        <v>0.43</v>
      </c>
    </row>
    <row r="201" spans="2:13" x14ac:dyDescent="0.3">
      <c r="B201" s="71" t="s">
        <v>217</v>
      </c>
      <c r="C201" s="71" t="s">
        <v>186</v>
      </c>
      <c r="D201" s="71" t="s">
        <v>118</v>
      </c>
      <c r="E201" s="72" t="s">
        <v>350</v>
      </c>
      <c r="F201" s="72" t="s">
        <v>350</v>
      </c>
      <c r="G201" s="72" t="s">
        <v>350</v>
      </c>
      <c r="H201" s="72" t="s">
        <v>350</v>
      </c>
      <c r="I201" s="72">
        <v>0.42</v>
      </c>
      <c r="J201" s="72" t="s">
        <v>350</v>
      </c>
      <c r="K201" s="72" t="s">
        <v>350</v>
      </c>
      <c r="L201" s="72" t="s">
        <v>350</v>
      </c>
      <c r="M201" s="72">
        <v>0.42</v>
      </c>
    </row>
    <row r="202" spans="2:13" x14ac:dyDescent="0.3">
      <c r="B202" s="73" t="s">
        <v>191</v>
      </c>
      <c r="C202" s="73" t="s">
        <v>186</v>
      </c>
      <c r="D202" s="73" t="s">
        <v>305</v>
      </c>
      <c r="E202" s="74" t="s">
        <v>350</v>
      </c>
      <c r="F202" s="74" t="s">
        <v>350</v>
      </c>
      <c r="G202" s="74" t="s">
        <v>350</v>
      </c>
      <c r="H202" s="74" t="s">
        <v>350</v>
      </c>
      <c r="I202" s="74" t="s">
        <v>350</v>
      </c>
      <c r="J202" s="74">
        <v>0.4</v>
      </c>
      <c r="K202" s="74" t="s">
        <v>350</v>
      </c>
      <c r="L202" s="74" t="s">
        <v>350</v>
      </c>
      <c r="M202" s="74">
        <v>0.4</v>
      </c>
    </row>
    <row r="203" spans="2:13" x14ac:dyDescent="0.3">
      <c r="B203" s="71" t="s">
        <v>217</v>
      </c>
      <c r="C203" s="71" t="s">
        <v>186</v>
      </c>
      <c r="D203" s="71" t="s">
        <v>96</v>
      </c>
      <c r="E203" s="72" t="s">
        <v>350</v>
      </c>
      <c r="F203" s="72" t="s">
        <v>350</v>
      </c>
      <c r="G203" s="72" t="s">
        <v>350</v>
      </c>
      <c r="H203" s="72" t="s">
        <v>350</v>
      </c>
      <c r="I203" s="72" t="s">
        <v>350</v>
      </c>
      <c r="J203" s="72">
        <v>0.4</v>
      </c>
      <c r="K203" s="72" t="s">
        <v>350</v>
      </c>
      <c r="L203" s="72" t="s">
        <v>350</v>
      </c>
      <c r="M203" s="72">
        <v>0.4</v>
      </c>
    </row>
    <row r="204" spans="2:13" x14ac:dyDescent="0.3">
      <c r="B204" s="73" t="s">
        <v>212</v>
      </c>
      <c r="C204" s="73" t="s">
        <v>186</v>
      </c>
      <c r="D204" s="73" t="s">
        <v>105</v>
      </c>
      <c r="E204" s="74" t="s">
        <v>350</v>
      </c>
      <c r="F204" s="74" t="s">
        <v>350</v>
      </c>
      <c r="G204" s="74" t="s">
        <v>350</v>
      </c>
      <c r="H204" s="74" t="s">
        <v>350</v>
      </c>
      <c r="I204" s="74" t="s">
        <v>350</v>
      </c>
      <c r="J204" s="74">
        <v>0.4</v>
      </c>
      <c r="K204" s="74" t="s">
        <v>350</v>
      </c>
      <c r="L204" s="74" t="s">
        <v>350</v>
      </c>
      <c r="M204" s="74">
        <v>0.4</v>
      </c>
    </row>
    <row r="205" spans="2:13" x14ac:dyDescent="0.3">
      <c r="B205" s="71" t="s">
        <v>219</v>
      </c>
      <c r="C205" s="71" t="s">
        <v>186</v>
      </c>
      <c r="D205" s="71" t="s">
        <v>116</v>
      </c>
      <c r="E205" s="72" t="s">
        <v>350</v>
      </c>
      <c r="F205" s="72" t="s">
        <v>350</v>
      </c>
      <c r="G205" s="72" t="s">
        <v>350</v>
      </c>
      <c r="H205" s="72" t="s">
        <v>350</v>
      </c>
      <c r="I205" s="72">
        <v>0.38</v>
      </c>
      <c r="J205" s="72" t="s">
        <v>350</v>
      </c>
      <c r="K205" s="72" t="s">
        <v>350</v>
      </c>
      <c r="L205" s="72" t="s">
        <v>350</v>
      </c>
      <c r="M205" s="72">
        <v>0.38</v>
      </c>
    </row>
    <row r="206" spans="2:13" x14ac:dyDescent="0.3">
      <c r="B206" s="73" t="s">
        <v>241</v>
      </c>
      <c r="C206" s="73" t="s">
        <v>186</v>
      </c>
      <c r="D206" s="73" t="s">
        <v>301</v>
      </c>
      <c r="E206" s="74" t="s">
        <v>350</v>
      </c>
      <c r="F206" s="74" t="s">
        <v>350</v>
      </c>
      <c r="G206" s="74" t="s">
        <v>350</v>
      </c>
      <c r="H206" s="74" t="s">
        <v>350</v>
      </c>
      <c r="I206" s="74">
        <v>0.35</v>
      </c>
      <c r="J206" s="74" t="s">
        <v>350</v>
      </c>
      <c r="K206" s="74" t="s">
        <v>350</v>
      </c>
      <c r="L206" s="74" t="s">
        <v>350</v>
      </c>
      <c r="M206" s="74">
        <v>0.35</v>
      </c>
    </row>
    <row r="207" spans="2:13" x14ac:dyDescent="0.3">
      <c r="B207" s="71" t="s">
        <v>331</v>
      </c>
      <c r="C207" s="71" t="s">
        <v>186</v>
      </c>
      <c r="D207" s="71" t="s">
        <v>123</v>
      </c>
      <c r="E207" s="72" t="s">
        <v>350</v>
      </c>
      <c r="F207" s="72">
        <v>0.35</v>
      </c>
      <c r="G207" s="72" t="s">
        <v>350</v>
      </c>
      <c r="H207" s="72" t="s">
        <v>350</v>
      </c>
      <c r="I207" s="72" t="s">
        <v>350</v>
      </c>
      <c r="J207" s="72" t="s">
        <v>350</v>
      </c>
      <c r="K207" s="72" t="s">
        <v>350</v>
      </c>
      <c r="L207" s="72" t="s">
        <v>350</v>
      </c>
      <c r="M207" s="72">
        <v>0.35</v>
      </c>
    </row>
    <row r="208" spans="2:13" x14ac:dyDescent="0.3">
      <c r="B208" s="73" t="s">
        <v>275</v>
      </c>
      <c r="C208" s="73" t="s">
        <v>186</v>
      </c>
      <c r="D208" s="73" t="s">
        <v>97</v>
      </c>
      <c r="E208" s="74" t="s">
        <v>350</v>
      </c>
      <c r="F208" s="74" t="s">
        <v>350</v>
      </c>
      <c r="G208" s="74" t="s">
        <v>350</v>
      </c>
      <c r="H208" s="74" t="s">
        <v>350</v>
      </c>
      <c r="I208" s="74" t="s">
        <v>350</v>
      </c>
      <c r="J208" s="74">
        <v>0.35</v>
      </c>
      <c r="K208" s="74" t="s">
        <v>350</v>
      </c>
      <c r="L208" s="74" t="s">
        <v>350</v>
      </c>
      <c r="M208" s="74">
        <v>0.35</v>
      </c>
    </row>
    <row r="209" spans="2:13" x14ac:dyDescent="0.3">
      <c r="B209" s="71" t="s">
        <v>201</v>
      </c>
      <c r="C209" s="71" t="s">
        <v>186</v>
      </c>
      <c r="D209" s="71" t="s">
        <v>123</v>
      </c>
      <c r="E209" s="72" t="s">
        <v>350</v>
      </c>
      <c r="F209" s="72" t="s">
        <v>350</v>
      </c>
      <c r="G209" s="72" t="s">
        <v>350</v>
      </c>
      <c r="H209" s="72">
        <v>0.35</v>
      </c>
      <c r="I209" s="72" t="s">
        <v>350</v>
      </c>
      <c r="J209" s="72" t="s">
        <v>350</v>
      </c>
      <c r="K209" s="72" t="s">
        <v>350</v>
      </c>
      <c r="L209" s="72" t="s">
        <v>350</v>
      </c>
      <c r="M209" s="72">
        <v>0.35</v>
      </c>
    </row>
    <row r="210" spans="2:13" x14ac:dyDescent="0.3">
      <c r="B210" s="73" t="s">
        <v>276</v>
      </c>
      <c r="C210" s="73" t="s">
        <v>186</v>
      </c>
      <c r="D210" s="73" t="s">
        <v>123</v>
      </c>
      <c r="E210" s="74" t="s">
        <v>350</v>
      </c>
      <c r="F210" s="74" t="s">
        <v>350</v>
      </c>
      <c r="G210" s="74" t="s">
        <v>350</v>
      </c>
      <c r="H210" s="74">
        <v>0.35</v>
      </c>
      <c r="I210" s="74" t="s">
        <v>350</v>
      </c>
      <c r="J210" s="74" t="s">
        <v>350</v>
      </c>
      <c r="K210" s="74" t="s">
        <v>350</v>
      </c>
      <c r="L210" s="74" t="s">
        <v>350</v>
      </c>
      <c r="M210" s="74">
        <v>0.35</v>
      </c>
    </row>
    <row r="211" spans="2:13" x14ac:dyDescent="0.3">
      <c r="B211" s="71" t="s">
        <v>332</v>
      </c>
      <c r="C211" s="71" t="s">
        <v>186</v>
      </c>
      <c r="D211" s="71" t="s">
        <v>343</v>
      </c>
      <c r="E211" s="72">
        <v>0.05</v>
      </c>
      <c r="F211" s="72" t="s">
        <v>350</v>
      </c>
      <c r="G211" s="72" t="s">
        <v>350</v>
      </c>
      <c r="H211" s="72" t="s">
        <v>350</v>
      </c>
      <c r="I211" s="72" t="s">
        <v>350</v>
      </c>
      <c r="J211" s="72" t="s">
        <v>350</v>
      </c>
      <c r="K211" s="72" t="s">
        <v>350</v>
      </c>
      <c r="L211" s="72">
        <v>0.28999999999999998</v>
      </c>
      <c r="M211" s="72">
        <v>0.34</v>
      </c>
    </row>
    <row r="212" spans="2:13" x14ac:dyDescent="0.3">
      <c r="B212" s="73" t="s">
        <v>217</v>
      </c>
      <c r="C212" s="73" t="s">
        <v>186</v>
      </c>
      <c r="D212" s="73" t="s">
        <v>119</v>
      </c>
      <c r="E212" s="74" t="s">
        <v>350</v>
      </c>
      <c r="F212" s="74" t="s">
        <v>350</v>
      </c>
      <c r="G212" s="74" t="s">
        <v>350</v>
      </c>
      <c r="H212" s="74" t="s">
        <v>350</v>
      </c>
      <c r="I212" s="74">
        <v>0.33</v>
      </c>
      <c r="J212" s="74" t="s">
        <v>350</v>
      </c>
      <c r="K212" s="74" t="s">
        <v>350</v>
      </c>
      <c r="L212" s="74" t="s">
        <v>350</v>
      </c>
      <c r="M212" s="74">
        <v>0.33</v>
      </c>
    </row>
    <row r="213" spans="2:13" x14ac:dyDescent="0.3">
      <c r="B213" s="71" t="s">
        <v>216</v>
      </c>
      <c r="C213" s="71" t="s">
        <v>186</v>
      </c>
      <c r="D213" s="71" t="s">
        <v>97</v>
      </c>
      <c r="E213" s="72" t="s">
        <v>350</v>
      </c>
      <c r="F213" s="72" t="s">
        <v>350</v>
      </c>
      <c r="G213" s="72" t="s">
        <v>350</v>
      </c>
      <c r="H213" s="72" t="s">
        <v>350</v>
      </c>
      <c r="I213" s="72" t="s">
        <v>350</v>
      </c>
      <c r="J213" s="72">
        <v>0.33</v>
      </c>
      <c r="K213" s="72" t="s">
        <v>350</v>
      </c>
      <c r="L213" s="72" t="s">
        <v>350</v>
      </c>
      <c r="M213" s="72">
        <v>0.33</v>
      </c>
    </row>
    <row r="214" spans="2:13" x14ac:dyDescent="0.3">
      <c r="B214" s="73" t="s">
        <v>248</v>
      </c>
      <c r="C214" s="73" t="s">
        <v>186</v>
      </c>
      <c r="D214" s="73" t="s">
        <v>303</v>
      </c>
      <c r="E214" s="74" t="s">
        <v>350</v>
      </c>
      <c r="F214" s="74" t="s">
        <v>350</v>
      </c>
      <c r="G214" s="74" t="s">
        <v>350</v>
      </c>
      <c r="H214" s="74" t="s">
        <v>350</v>
      </c>
      <c r="I214" s="74">
        <v>0.31</v>
      </c>
      <c r="J214" s="74" t="s">
        <v>350</v>
      </c>
      <c r="K214" s="74" t="s">
        <v>350</v>
      </c>
      <c r="L214" s="74" t="s">
        <v>350</v>
      </c>
      <c r="M214" s="74">
        <v>0.31</v>
      </c>
    </row>
    <row r="215" spans="2:13" x14ac:dyDescent="0.3">
      <c r="B215" s="71" t="s">
        <v>195</v>
      </c>
      <c r="C215" s="71" t="s">
        <v>186</v>
      </c>
      <c r="D215" s="71" t="s">
        <v>97</v>
      </c>
      <c r="E215" s="72" t="s">
        <v>350</v>
      </c>
      <c r="F215" s="72" t="s">
        <v>350</v>
      </c>
      <c r="G215" s="72" t="s">
        <v>350</v>
      </c>
      <c r="H215" s="72" t="s">
        <v>350</v>
      </c>
      <c r="I215" s="72" t="s">
        <v>350</v>
      </c>
      <c r="J215" s="72">
        <v>0.31</v>
      </c>
      <c r="K215" s="72" t="s">
        <v>350</v>
      </c>
      <c r="L215" s="72" t="s">
        <v>350</v>
      </c>
      <c r="M215" s="72">
        <v>0.31</v>
      </c>
    </row>
    <row r="216" spans="2:13" x14ac:dyDescent="0.3">
      <c r="B216" s="73" t="s">
        <v>248</v>
      </c>
      <c r="C216" s="73" t="s">
        <v>186</v>
      </c>
      <c r="D216" s="73" t="s">
        <v>116</v>
      </c>
      <c r="E216" s="74" t="s">
        <v>350</v>
      </c>
      <c r="F216" s="74" t="s">
        <v>350</v>
      </c>
      <c r="G216" s="74" t="s">
        <v>350</v>
      </c>
      <c r="H216" s="74" t="s">
        <v>350</v>
      </c>
      <c r="I216" s="74">
        <v>0.31</v>
      </c>
      <c r="J216" s="74" t="s">
        <v>350</v>
      </c>
      <c r="K216" s="74" t="s">
        <v>350</v>
      </c>
      <c r="L216" s="74" t="s">
        <v>350</v>
      </c>
      <c r="M216" s="74">
        <v>0.31</v>
      </c>
    </row>
    <row r="217" spans="2:13" x14ac:dyDescent="0.3">
      <c r="B217" s="71" t="s">
        <v>219</v>
      </c>
      <c r="C217" s="71" t="s">
        <v>186</v>
      </c>
      <c r="D217" s="71" t="s">
        <v>115</v>
      </c>
      <c r="E217" s="72" t="s">
        <v>350</v>
      </c>
      <c r="F217" s="72" t="s">
        <v>350</v>
      </c>
      <c r="G217" s="72" t="s">
        <v>350</v>
      </c>
      <c r="H217" s="72" t="s">
        <v>350</v>
      </c>
      <c r="I217" s="72">
        <v>0.31</v>
      </c>
      <c r="J217" s="72" t="s">
        <v>350</v>
      </c>
      <c r="K217" s="72" t="s">
        <v>350</v>
      </c>
      <c r="L217" s="72" t="s">
        <v>350</v>
      </c>
      <c r="M217" s="72">
        <v>0.31</v>
      </c>
    </row>
    <row r="218" spans="2:13" x14ac:dyDescent="0.3">
      <c r="B218" s="73" t="s">
        <v>247</v>
      </c>
      <c r="C218" s="73" t="s">
        <v>186</v>
      </c>
      <c r="D218" s="73" t="s">
        <v>298</v>
      </c>
      <c r="E218" s="74" t="s">
        <v>350</v>
      </c>
      <c r="F218" s="74" t="s">
        <v>350</v>
      </c>
      <c r="G218" s="74" t="s">
        <v>350</v>
      </c>
      <c r="H218" s="74">
        <v>0.3</v>
      </c>
      <c r="I218" s="74" t="s">
        <v>350</v>
      </c>
      <c r="J218" s="74" t="s">
        <v>350</v>
      </c>
      <c r="K218" s="74" t="s">
        <v>350</v>
      </c>
      <c r="L218" s="74" t="s">
        <v>350</v>
      </c>
      <c r="M218" s="74">
        <v>0.3</v>
      </c>
    </row>
    <row r="219" spans="2:13" x14ac:dyDescent="0.3">
      <c r="B219" s="71" t="s">
        <v>241</v>
      </c>
      <c r="C219" s="71" t="s">
        <v>186</v>
      </c>
      <c r="D219" s="71" t="s">
        <v>105</v>
      </c>
      <c r="E219" s="72" t="s">
        <v>350</v>
      </c>
      <c r="F219" s="72" t="s">
        <v>350</v>
      </c>
      <c r="G219" s="72" t="s">
        <v>350</v>
      </c>
      <c r="H219" s="72" t="s">
        <v>350</v>
      </c>
      <c r="I219" s="72" t="s">
        <v>350</v>
      </c>
      <c r="J219" s="72">
        <v>0.28999999999999998</v>
      </c>
      <c r="K219" s="72" t="s">
        <v>350</v>
      </c>
      <c r="L219" s="72" t="s">
        <v>350</v>
      </c>
      <c r="M219" s="72">
        <v>0.28999999999999998</v>
      </c>
    </row>
    <row r="220" spans="2:13" x14ac:dyDescent="0.3">
      <c r="B220" s="73" t="s">
        <v>207</v>
      </c>
      <c r="C220" s="73" t="s">
        <v>186</v>
      </c>
      <c r="D220" s="73" t="s">
        <v>119</v>
      </c>
      <c r="E220" s="74" t="s">
        <v>350</v>
      </c>
      <c r="F220" s="74" t="s">
        <v>350</v>
      </c>
      <c r="G220" s="74" t="s">
        <v>350</v>
      </c>
      <c r="H220" s="74" t="s">
        <v>350</v>
      </c>
      <c r="I220" s="74">
        <v>0.27</v>
      </c>
      <c r="J220" s="74" t="s">
        <v>350</v>
      </c>
      <c r="K220" s="74" t="s">
        <v>350</v>
      </c>
      <c r="L220" s="74" t="s">
        <v>350</v>
      </c>
      <c r="M220" s="74">
        <v>0.27</v>
      </c>
    </row>
    <row r="221" spans="2:13" x14ac:dyDescent="0.3">
      <c r="B221" s="71" t="s">
        <v>277</v>
      </c>
      <c r="C221" s="71" t="s">
        <v>186</v>
      </c>
      <c r="D221" s="71" t="s">
        <v>298</v>
      </c>
      <c r="E221" s="72" t="s">
        <v>350</v>
      </c>
      <c r="F221" s="72" t="s">
        <v>350</v>
      </c>
      <c r="G221" s="72" t="s">
        <v>350</v>
      </c>
      <c r="H221" s="72">
        <v>0.25</v>
      </c>
      <c r="I221" s="72" t="s">
        <v>350</v>
      </c>
      <c r="J221" s="72" t="s">
        <v>350</v>
      </c>
      <c r="K221" s="72" t="s">
        <v>350</v>
      </c>
      <c r="L221" s="72" t="s">
        <v>350</v>
      </c>
      <c r="M221" s="72">
        <v>0.25</v>
      </c>
    </row>
    <row r="222" spans="2:13" x14ac:dyDescent="0.3">
      <c r="B222" s="73" t="s">
        <v>278</v>
      </c>
      <c r="C222" s="73" t="s">
        <v>186</v>
      </c>
      <c r="D222" s="73" t="s">
        <v>298</v>
      </c>
      <c r="E222" s="74" t="s">
        <v>350</v>
      </c>
      <c r="F222" s="74" t="s">
        <v>350</v>
      </c>
      <c r="G222" s="74" t="s">
        <v>350</v>
      </c>
      <c r="H222" s="74">
        <v>0.25</v>
      </c>
      <c r="I222" s="74" t="s">
        <v>350</v>
      </c>
      <c r="J222" s="74" t="s">
        <v>350</v>
      </c>
      <c r="K222" s="74" t="s">
        <v>350</v>
      </c>
      <c r="L222" s="74" t="s">
        <v>350</v>
      </c>
      <c r="M222" s="74">
        <v>0.25</v>
      </c>
    </row>
    <row r="223" spans="2:13" x14ac:dyDescent="0.3">
      <c r="B223" s="71" t="s">
        <v>248</v>
      </c>
      <c r="C223" s="71" t="s">
        <v>186</v>
      </c>
      <c r="D223" s="71" t="s">
        <v>115</v>
      </c>
      <c r="E223" s="72" t="s">
        <v>350</v>
      </c>
      <c r="F223" s="72" t="s">
        <v>350</v>
      </c>
      <c r="G223" s="72" t="s">
        <v>350</v>
      </c>
      <c r="H223" s="72" t="s">
        <v>350</v>
      </c>
      <c r="I223" s="72">
        <v>0.25</v>
      </c>
      <c r="J223" s="72" t="s">
        <v>350</v>
      </c>
      <c r="K223" s="72" t="s">
        <v>350</v>
      </c>
      <c r="L223" s="72" t="s">
        <v>350</v>
      </c>
      <c r="M223" s="72">
        <v>0.25</v>
      </c>
    </row>
    <row r="224" spans="2:13" x14ac:dyDescent="0.3">
      <c r="B224" s="73" t="s">
        <v>279</v>
      </c>
      <c r="C224" s="73" t="s">
        <v>186</v>
      </c>
      <c r="D224" s="73" t="s">
        <v>123</v>
      </c>
      <c r="E224" s="74" t="s">
        <v>350</v>
      </c>
      <c r="F224" s="74" t="s">
        <v>350</v>
      </c>
      <c r="G224" s="74" t="s">
        <v>350</v>
      </c>
      <c r="H224" s="74">
        <v>0.25</v>
      </c>
      <c r="I224" s="74" t="s">
        <v>350</v>
      </c>
      <c r="J224" s="74" t="s">
        <v>350</v>
      </c>
      <c r="K224" s="74" t="s">
        <v>350</v>
      </c>
      <c r="L224" s="74" t="s">
        <v>350</v>
      </c>
      <c r="M224" s="74">
        <v>0.25</v>
      </c>
    </row>
    <row r="225" spans="2:13" x14ac:dyDescent="0.3">
      <c r="B225" s="71" t="s">
        <v>196</v>
      </c>
      <c r="C225" s="71" t="s">
        <v>186</v>
      </c>
      <c r="D225" s="71" t="s">
        <v>119</v>
      </c>
      <c r="E225" s="72" t="s">
        <v>350</v>
      </c>
      <c r="F225" s="72" t="s">
        <v>350</v>
      </c>
      <c r="G225" s="72" t="s">
        <v>350</v>
      </c>
      <c r="H225" s="72" t="s">
        <v>350</v>
      </c>
      <c r="I225" s="72">
        <v>0.24</v>
      </c>
      <c r="J225" s="72" t="s">
        <v>350</v>
      </c>
      <c r="K225" s="72" t="s">
        <v>350</v>
      </c>
      <c r="L225" s="72" t="s">
        <v>350</v>
      </c>
      <c r="M225" s="72">
        <v>0.24</v>
      </c>
    </row>
    <row r="226" spans="2:13" x14ac:dyDescent="0.3">
      <c r="B226" s="73" t="s">
        <v>333</v>
      </c>
      <c r="C226" s="73" t="s">
        <v>186</v>
      </c>
      <c r="D226" s="73" t="s">
        <v>343</v>
      </c>
      <c r="E226" s="74">
        <v>0.08</v>
      </c>
      <c r="F226" s="74" t="s">
        <v>350</v>
      </c>
      <c r="G226" s="74" t="s">
        <v>350</v>
      </c>
      <c r="H226" s="74" t="s">
        <v>350</v>
      </c>
      <c r="I226" s="74" t="s">
        <v>350</v>
      </c>
      <c r="J226" s="74" t="s">
        <v>350</v>
      </c>
      <c r="K226" s="74" t="s">
        <v>350</v>
      </c>
      <c r="L226" s="74">
        <v>0.16</v>
      </c>
      <c r="M226" s="74">
        <v>0.24</v>
      </c>
    </row>
    <row r="227" spans="2:13" x14ac:dyDescent="0.3">
      <c r="B227" s="71" t="s">
        <v>241</v>
      </c>
      <c r="C227" s="71" t="s">
        <v>186</v>
      </c>
      <c r="D227" s="71" t="s">
        <v>304</v>
      </c>
      <c r="E227" s="72" t="s">
        <v>350</v>
      </c>
      <c r="F227" s="72" t="s">
        <v>350</v>
      </c>
      <c r="G227" s="72" t="s">
        <v>350</v>
      </c>
      <c r="H227" s="72" t="s">
        <v>350</v>
      </c>
      <c r="I227" s="72">
        <v>0.21</v>
      </c>
      <c r="J227" s="72" t="s">
        <v>350</v>
      </c>
      <c r="K227" s="72" t="s">
        <v>350</v>
      </c>
      <c r="L227" s="72" t="s">
        <v>350</v>
      </c>
      <c r="M227" s="72">
        <v>0.21</v>
      </c>
    </row>
    <row r="228" spans="2:13" x14ac:dyDescent="0.3">
      <c r="B228" s="73" t="s">
        <v>216</v>
      </c>
      <c r="C228" s="73" t="s">
        <v>186</v>
      </c>
      <c r="D228" s="73" t="s">
        <v>96</v>
      </c>
      <c r="E228" s="74" t="s">
        <v>350</v>
      </c>
      <c r="F228" s="74" t="s">
        <v>350</v>
      </c>
      <c r="G228" s="74" t="s">
        <v>350</v>
      </c>
      <c r="H228" s="74" t="s">
        <v>350</v>
      </c>
      <c r="I228" s="74" t="s">
        <v>350</v>
      </c>
      <c r="J228" s="74">
        <v>0.2</v>
      </c>
      <c r="K228" s="74" t="s">
        <v>350</v>
      </c>
      <c r="L228" s="74" t="s">
        <v>350</v>
      </c>
      <c r="M228" s="74">
        <v>0.2</v>
      </c>
    </row>
    <row r="229" spans="2:13" x14ac:dyDescent="0.3">
      <c r="B229" s="71" t="s">
        <v>196</v>
      </c>
      <c r="C229" s="71" t="s">
        <v>186</v>
      </c>
      <c r="D229" s="71" t="s">
        <v>304</v>
      </c>
      <c r="E229" s="72" t="s">
        <v>350</v>
      </c>
      <c r="F229" s="72" t="s">
        <v>350</v>
      </c>
      <c r="G229" s="72" t="s">
        <v>350</v>
      </c>
      <c r="H229" s="72" t="s">
        <v>350</v>
      </c>
      <c r="I229" s="72">
        <v>0.19</v>
      </c>
      <c r="J229" s="72" t="s">
        <v>350</v>
      </c>
      <c r="K229" s="72" t="s">
        <v>350</v>
      </c>
      <c r="L229" s="72" t="s">
        <v>350</v>
      </c>
      <c r="M229" s="72">
        <v>0.19</v>
      </c>
    </row>
    <row r="230" spans="2:13" x14ac:dyDescent="0.3">
      <c r="B230" s="73" t="s">
        <v>219</v>
      </c>
      <c r="C230" s="73" t="s">
        <v>186</v>
      </c>
      <c r="D230" s="73" t="s">
        <v>118</v>
      </c>
      <c r="E230" s="74" t="s">
        <v>350</v>
      </c>
      <c r="F230" s="74" t="s">
        <v>350</v>
      </c>
      <c r="G230" s="74" t="s">
        <v>350</v>
      </c>
      <c r="H230" s="74" t="s">
        <v>350</v>
      </c>
      <c r="I230" s="74">
        <v>0.19</v>
      </c>
      <c r="J230" s="74" t="s">
        <v>350</v>
      </c>
      <c r="K230" s="74" t="s">
        <v>350</v>
      </c>
      <c r="L230" s="74" t="s">
        <v>350</v>
      </c>
      <c r="M230" s="74">
        <v>0.19</v>
      </c>
    </row>
    <row r="231" spans="2:13" x14ac:dyDescent="0.3">
      <c r="B231" s="71" t="s">
        <v>249</v>
      </c>
      <c r="C231" s="71" t="s">
        <v>186</v>
      </c>
      <c r="D231" s="71" t="s">
        <v>123</v>
      </c>
      <c r="E231" s="72" t="s">
        <v>350</v>
      </c>
      <c r="F231" s="72" t="s">
        <v>350</v>
      </c>
      <c r="G231" s="72" t="s">
        <v>350</v>
      </c>
      <c r="H231" s="72">
        <v>0.17</v>
      </c>
      <c r="I231" s="72" t="s">
        <v>350</v>
      </c>
      <c r="J231" s="72" t="s">
        <v>350</v>
      </c>
      <c r="K231" s="72" t="s">
        <v>350</v>
      </c>
      <c r="L231" s="72" t="s">
        <v>350</v>
      </c>
      <c r="M231" s="72">
        <v>0.17</v>
      </c>
    </row>
    <row r="232" spans="2:13" x14ac:dyDescent="0.3">
      <c r="B232" s="73" t="s">
        <v>248</v>
      </c>
      <c r="C232" s="73" t="s">
        <v>186</v>
      </c>
      <c r="D232" s="73" t="s">
        <v>118</v>
      </c>
      <c r="E232" s="74" t="s">
        <v>350</v>
      </c>
      <c r="F232" s="74" t="s">
        <v>350</v>
      </c>
      <c r="G232" s="74" t="s">
        <v>350</v>
      </c>
      <c r="H232" s="74" t="s">
        <v>350</v>
      </c>
      <c r="I232" s="74">
        <v>0.16</v>
      </c>
      <c r="J232" s="74" t="s">
        <v>350</v>
      </c>
      <c r="K232" s="74" t="s">
        <v>350</v>
      </c>
      <c r="L232" s="74" t="s">
        <v>350</v>
      </c>
      <c r="M232" s="74">
        <v>0.16</v>
      </c>
    </row>
    <row r="233" spans="2:13" x14ac:dyDescent="0.3">
      <c r="B233" s="71" t="s">
        <v>334</v>
      </c>
      <c r="C233" s="71" t="s">
        <v>186</v>
      </c>
      <c r="D233" s="71" t="s">
        <v>343</v>
      </c>
      <c r="E233" s="72">
        <v>0.14000000000000001</v>
      </c>
      <c r="F233" s="72" t="s">
        <v>350</v>
      </c>
      <c r="G233" s="72" t="s">
        <v>350</v>
      </c>
      <c r="H233" s="72" t="s">
        <v>350</v>
      </c>
      <c r="I233" s="72" t="s">
        <v>350</v>
      </c>
      <c r="J233" s="72" t="s">
        <v>350</v>
      </c>
      <c r="K233" s="72" t="s">
        <v>350</v>
      </c>
      <c r="L233" s="72" t="s">
        <v>350</v>
      </c>
      <c r="M233" s="72">
        <v>0.14000000000000001</v>
      </c>
    </row>
    <row r="234" spans="2:13" x14ac:dyDescent="0.3">
      <c r="B234" s="73" t="s">
        <v>280</v>
      </c>
      <c r="C234" s="73" t="s">
        <v>186</v>
      </c>
      <c r="D234" s="73" t="s">
        <v>123</v>
      </c>
      <c r="E234" s="74" t="s">
        <v>350</v>
      </c>
      <c r="F234" s="74" t="s">
        <v>350</v>
      </c>
      <c r="G234" s="74" t="s">
        <v>350</v>
      </c>
      <c r="H234" s="74">
        <v>0.13</v>
      </c>
      <c r="I234" s="74" t="s">
        <v>350</v>
      </c>
      <c r="J234" s="74" t="s">
        <v>350</v>
      </c>
      <c r="K234" s="74" t="s">
        <v>350</v>
      </c>
      <c r="L234" s="74" t="s">
        <v>350</v>
      </c>
      <c r="M234" s="74">
        <v>0.13</v>
      </c>
    </row>
    <row r="235" spans="2:13" x14ac:dyDescent="0.3">
      <c r="B235" s="71" t="s">
        <v>248</v>
      </c>
      <c r="C235" s="71" t="s">
        <v>186</v>
      </c>
      <c r="D235" s="71" t="s">
        <v>119</v>
      </c>
      <c r="E235" s="72" t="s">
        <v>350</v>
      </c>
      <c r="F235" s="72" t="s">
        <v>350</v>
      </c>
      <c r="G235" s="72" t="s">
        <v>350</v>
      </c>
      <c r="H235" s="72" t="s">
        <v>350</v>
      </c>
      <c r="I235" s="72">
        <v>0.12</v>
      </c>
      <c r="J235" s="72" t="s">
        <v>350</v>
      </c>
      <c r="K235" s="72" t="s">
        <v>350</v>
      </c>
      <c r="L235" s="72" t="s">
        <v>350</v>
      </c>
      <c r="M235" s="72">
        <v>0.12</v>
      </c>
    </row>
    <row r="236" spans="2:13" x14ac:dyDescent="0.3">
      <c r="B236" s="73" t="s">
        <v>267</v>
      </c>
      <c r="C236" s="73" t="s">
        <v>186</v>
      </c>
      <c r="D236" s="73" t="s">
        <v>97</v>
      </c>
      <c r="E236" s="74" t="s">
        <v>350</v>
      </c>
      <c r="F236" s="74" t="s">
        <v>350</v>
      </c>
      <c r="G236" s="74" t="s">
        <v>350</v>
      </c>
      <c r="H236" s="74" t="s">
        <v>350</v>
      </c>
      <c r="I236" s="74" t="s">
        <v>350</v>
      </c>
      <c r="J236" s="74">
        <v>0.12</v>
      </c>
      <c r="K236" s="74" t="s">
        <v>350</v>
      </c>
      <c r="L236" s="74" t="s">
        <v>350</v>
      </c>
      <c r="M236" s="74">
        <v>0.12</v>
      </c>
    </row>
    <row r="237" spans="2:13" x14ac:dyDescent="0.3">
      <c r="B237" s="71" t="s">
        <v>265</v>
      </c>
      <c r="C237" s="71" t="s">
        <v>186</v>
      </c>
      <c r="D237" s="71" t="s">
        <v>97</v>
      </c>
      <c r="E237" s="72" t="s">
        <v>350</v>
      </c>
      <c r="F237" s="72" t="s">
        <v>350</v>
      </c>
      <c r="G237" s="72" t="s">
        <v>350</v>
      </c>
      <c r="H237" s="72" t="s">
        <v>350</v>
      </c>
      <c r="I237" s="72" t="s">
        <v>350</v>
      </c>
      <c r="J237" s="72">
        <v>0.12</v>
      </c>
      <c r="K237" s="72" t="s">
        <v>350</v>
      </c>
      <c r="L237" s="72" t="s">
        <v>350</v>
      </c>
      <c r="M237" s="72">
        <v>0.12</v>
      </c>
    </row>
    <row r="238" spans="2:13" x14ac:dyDescent="0.3">
      <c r="B238" s="73" t="s">
        <v>275</v>
      </c>
      <c r="C238" s="73" t="s">
        <v>186</v>
      </c>
      <c r="D238" s="73" t="s">
        <v>105</v>
      </c>
      <c r="E238" s="74" t="s">
        <v>350</v>
      </c>
      <c r="F238" s="74" t="s">
        <v>350</v>
      </c>
      <c r="G238" s="74" t="s">
        <v>350</v>
      </c>
      <c r="H238" s="74" t="s">
        <v>350</v>
      </c>
      <c r="I238" s="74" t="s">
        <v>350</v>
      </c>
      <c r="J238" s="74">
        <v>0.11</v>
      </c>
      <c r="K238" s="74" t="s">
        <v>350</v>
      </c>
      <c r="L238" s="74" t="s">
        <v>350</v>
      </c>
      <c r="M238" s="74">
        <v>0.11</v>
      </c>
    </row>
    <row r="239" spans="2:13" x14ac:dyDescent="0.3">
      <c r="B239" s="71" t="s">
        <v>250</v>
      </c>
      <c r="C239" s="71" t="s">
        <v>186</v>
      </c>
      <c r="D239" s="71" t="s">
        <v>123</v>
      </c>
      <c r="E239" s="72" t="s">
        <v>350</v>
      </c>
      <c r="F239" s="72" t="s">
        <v>350</v>
      </c>
      <c r="G239" s="72" t="s">
        <v>350</v>
      </c>
      <c r="H239" s="72">
        <v>0.11</v>
      </c>
      <c r="I239" s="72" t="s">
        <v>350</v>
      </c>
      <c r="J239" s="72" t="s">
        <v>350</v>
      </c>
      <c r="K239" s="72" t="s">
        <v>350</v>
      </c>
      <c r="L239" s="72" t="s">
        <v>350</v>
      </c>
      <c r="M239" s="72">
        <v>0.11</v>
      </c>
    </row>
    <row r="240" spans="2:13" x14ac:dyDescent="0.3">
      <c r="B240" s="73" t="s">
        <v>251</v>
      </c>
      <c r="C240" s="73" t="s">
        <v>186</v>
      </c>
      <c r="D240" s="73" t="s">
        <v>123</v>
      </c>
      <c r="E240" s="74" t="s">
        <v>350</v>
      </c>
      <c r="F240" s="74" t="s">
        <v>350</v>
      </c>
      <c r="G240" s="74" t="s">
        <v>350</v>
      </c>
      <c r="H240" s="74">
        <v>0.11</v>
      </c>
      <c r="I240" s="74" t="s">
        <v>350</v>
      </c>
      <c r="J240" s="74" t="s">
        <v>350</v>
      </c>
      <c r="K240" s="74" t="s">
        <v>350</v>
      </c>
      <c r="L240" s="74" t="s">
        <v>350</v>
      </c>
      <c r="M240" s="74">
        <v>0.11</v>
      </c>
    </row>
    <row r="241" spans="2:13" x14ac:dyDescent="0.3">
      <c r="B241" s="71" t="s">
        <v>335</v>
      </c>
      <c r="C241" s="71" t="s">
        <v>186</v>
      </c>
      <c r="D241" s="71" t="s">
        <v>343</v>
      </c>
      <c r="E241" s="72">
        <v>0.11</v>
      </c>
      <c r="F241" s="72" t="s">
        <v>350</v>
      </c>
      <c r="G241" s="72" t="s">
        <v>350</v>
      </c>
      <c r="H241" s="72" t="s">
        <v>350</v>
      </c>
      <c r="I241" s="72" t="s">
        <v>350</v>
      </c>
      <c r="J241" s="72" t="s">
        <v>350</v>
      </c>
      <c r="K241" s="72" t="s">
        <v>350</v>
      </c>
      <c r="L241" s="72" t="s">
        <v>350</v>
      </c>
      <c r="M241" s="72">
        <v>0.11</v>
      </c>
    </row>
    <row r="242" spans="2:13" x14ac:dyDescent="0.3">
      <c r="B242" s="73" t="s">
        <v>281</v>
      </c>
      <c r="C242" s="73" t="s">
        <v>186</v>
      </c>
      <c r="D242" s="73" t="s">
        <v>298</v>
      </c>
      <c r="E242" s="74" t="s">
        <v>350</v>
      </c>
      <c r="F242" s="74" t="s">
        <v>350</v>
      </c>
      <c r="G242" s="74" t="s">
        <v>350</v>
      </c>
      <c r="H242" s="74">
        <v>0.1</v>
      </c>
      <c r="I242" s="74" t="s">
        <v>350</v>
      </c>
      <c r="J242" s="74" t="s">
        <v>350</v>
      </c>
      <c r="K242" s="74" t="s">
        <v>350</v>
      </c>
      <c r="L242" s="74" t="s">
        <v>350</v>
      </c>
      <c r="M242" s="74">
        <v>0.1</v>
      </c>
    </row>
    <row r="243" spans="2:13" x14ac:dyDescent="0.3">
      <c r="B243" s="71" t="s">
        <v>224</v>
      </c>
      <c r="C243" s="71" t="s">
        <v>186</v>
      </c>
      <c r="D243" s="71" t="s">
        <v>343</v>
      </c>
      <c r="E243" s="72">
        <v>0.1</v>
      </c>
      <c r="F243" s="72" t="s">
        <v>350</v>
      </c>
      <c r="G243" s="72" t="s">
        <v>350</v>
      </c>
      <c r="H243" s="72" t="s">
        <v>350</v>
      </c>
      <c r="I243" s="72" t="s">
        <v>350</v>
      </c>
      <c r="J243" s="72" t="s">
        <v>350</v>
      </c>
      <c r="K243" s="72" t="s">
        <v>350</v>
      </c>
      <c r="L243" s="72" t="s">
        <v>350</v>
      </c>
      <c r="M243" s="72">
        <v>0.1</v>
      </c>
    </row>
    <row r="244" spans="2:13" x14ac:dyDescent="0.3">
      <c r="B244" s="73" t="s">
        <v>196</v>
      </c>
      <c r="C244" s="73" t="s">
        <v>186</v>
      </c>
      <c r="D244" s="73" t="s">
        <v>120</v>
      </c>
      <c r="E244" s="74" t="s">
        <v>350</v>
      </c>
      <c r="F244" s="74" t="s">
        <v>350</v>
      </c>
      <c r="G244" s="74" t="s">
        <v>350</v>
      </c>
      <c r="H244" s="74" t="s">
        <v>350</v>
      </c>
      <c r="I244" s="74">
        <v>7.0000000000000007E-2</v>
      </c>
      <c r="J244" s="74" t="s">
        <v>350</v>
      </c>
      <c r="K244" s="74" t="s">
        <v>350</v>
      </c>
      <c r="L244" s="74" t="s">
        <v>350</v>
      </c>
      <c r="M244" s="74">
        <v>7.0000000000000007E-2</v>
      </c>
    </row>
    <row r="245" spans="2:13" x14ac:dyDescent="0.3">
      <c r="B245" s="71" t="s">
        <v>241</v>
      </c>
      <c r="C245" s="71" t="s">
        <v>186</v>
      </c>
      <c r="D245" s="71" t="s">
        <v>120</v>
      </c>
      <c r="E245" s="72" t="s">
        <v>350</v>
      </c>
      <c r="F245" s="72" t="s">
        <v>350</v>
      </c>
      <c r="G245" s="72" t="s">
        <v>350</v>
      </c>
      <c r="H245" s="72" t="s">
        <v>350</v>
      </c>
      <c r="I245" s="72">
        <v>0.06</v>
      </c>
      <c r="J245" s="72" t="s">
        <v>350</v>
      </c>
      <c r="K245" s="72" t="s">
        <v>350</v>
      </c>
      <c r="L245" s="72" t="s">
        <v>350</v>
      </c>
      <c r="M245" s="72">
        <v>0.06</v>
      </c>
    </row>
    <row r="246" spans="2:13" x14ac:dyDescent="0.3">
      <c r="B246" s="73" t="s">
        <v>244</v>
      </c>
      <c r="C246" s="73" t="s">
        <v>186</v>
      </c>
      <c r="D246" s="73" t="s">
        <v>96</v>
      </c>
      <c r="E246" s="74" t="s">
        <v>350</v>
      </c>
      <c r="F246" s="74" t="s">
        <v>350</v>
      </c>
      <c r="G246" s="74" t="s">
        <v>350</v>
      </c>
      <c r="H246" s="74" t="s">
        <v>350</v>
      </c>
      <c r="I246" s="74" t="s">
        <v>350</v>
      </c>
      <c r="J246" s="74">
        <v>0.05</v>
      </c>
      <c r="K246" s="74" t="s">
        <v>350</v>
      </c>
      <c r="L246" s="74" t="s">
        <v>350</v>
      </c>
      <c r="M246" s="74">
        <v>0.05</v>
      </c>
    </row>
    <row r="247" spans="2:13" x14ac:dyDescent="0.3">
      <c r="B247" s="71" t="s">
        <v>219</v>
      </c>
      <c r="C247" s="71" t="s">
        <v>186</v>
      </c>
      <c r="D247" s="71" t="s">
        <v>303</v>
      </c>
      <c r="E247" s="72" t="s">
        <v>350</v>
      </c>
      <c r="F247" s="72" t="s">
        <v>350</v>
      </c>
      <c r="G247" s="72" t="s">
        <v>350</v>
      </c>
      <c r="H247" s="72" t="s">
        <v>350</v>
      </c>
      <c r="I247" s="72">
        <v>0.05</v>
      </c>
      <c r="J247" s="72" t="s">
        <v>350</v>
      </c>
      <c r="K247" s="72" t="s">
        <v>350</v>
      </c>
      <c r="L247" s="72" t="s">
        <v>350</v>
      </c>
      <c r="M247" s="72">
        <v>0.05</v>
      </c>
    </row>
    <row r="248" spans="2:13" x14ac:dyDescent="0.3">
      <c r="B248" s="73" t="s">
        <v>282</v>
      </c>
      <c r="C248" s="73" t="s">
        <v>186</v>
      </c>
      <c r="D248" s="73" t="s">
        <v>298</v>
      </c>
      <c r="E248" s="74" t="s">
        <v>350</v>
      </c>
      <c r="F248" s="74" t="s">
        <v>350</v>
      </c>
      <c r="G248" s="74" t="s">
        <v>350</v>
      </c>
      <c r="H248" s="74">
        <v>0.05</v>
      </c>
      <c r="I248" s="74" t="s">
        <v>350</v>
      </c>
      <c r="J248" s="74" t="s">
        <v>350</v>
      </c>
      <c r="K248" s="74" t="s">
        <v>350</v>
      </c>
      <c r="L248" s="74" t="s">
        <v>350</v>
      </c>
      <c r="M248" s="74">
        <v>0.05</v>
      </c>
    </row>
    <row r="249" spans="2:13" x14ac:dyDescent="0.3">
      <c r="B249" s="71" t="s">
        <v>336</v>
      </c>
      <c r="C249" s="71" t="s">
        <v>186</v>
      </c>
      <c r="D249" s="71" t="s">
        <v>115</v>
      </c>
      <c r="E249" s="72" t="s">
        <v>350</v>
      </c>
      <c r="F249" s="72" t="s">
        <v>350</v>
      </c>
      <c r="G249" s="72" t="s">
        <v>350</v>
      </c>
      <c r="H249" s="72" t="s">
        <v>350</v>
      </c>
      <c r="I249" s="72">
        <v>0.03</v>
      </c>
      <c r="J249" s="72" t="s">
        <v>350</v>
      </c>
      <c r="K249" s="72" t="s">
        <v>350</v>
      </c>
      <c r="L249" s="72" t="s">
        <v>350</v>
      </c>
      <c r="M249" s="72">
        <v>0.03</v>
      </c>
    </row>
    <row r="250" spans="2:13" x14ac:dyDescent="0.3">
      <c r="B250" s="73" t="s">
        <v>336</v>
      </c>
      <c r="C250" s="73" t="s">
        <v>186</v>
      </c>
      <c r="D250" s="73" t="s">
        <v>116</v>
      </c>
      <c r="E250" s="74" t="s">
        <v>350</v>
      </c>
      <c r="F250" s="74" t="s">
        <v>350</v>
      </c>
      <c r="G250" s="74" t="s">
        <v>350</v>
      </c>
      <c r="H250" s="74" t="s">
        <v>350</v>
      </c>
      <c r="I250" s="74">
        <v>0.03</v>
      </c>
      <c r="J250" s="74" t="s">
        <v>350</v>
      </c>
      <c r="K250" s="74" t="s">
        <v>350</v>
      </c>
      <c r="L250" s="74" t="s">
        <v>350</v>
      </c>
      <c r="M250" s="74">
        <v>0.03</v>
      </c>
    </row>
    <row r="251" spans="2:13" x14ac:dyDescent="0.3">
      <c r="B251" s="71" t="s">
        <v>241</v>
      </c>
      <c r="C251" s="71" t="s">
        <v>186</v>
      </c>
      <c r="D251" s="71" t="s">
        <v>116</v>
      </c>
      <c r="E251" s="72" t="s">
        <v>350</v>
      </c>
      <c r="F251" s="72" t="s">
        <v>350</v>
      </c>
      <c r="G251" s="72" t="s">
        <v>350</v>
      </c>
      <c r="H251" s="72" t="s">
        <v>350</v>
      </c>
      <c r="I251" s="72">
        <v>0.02</v>
      </c>
      <c r="J251" s="72" t="s">
        <v>350</v>
      </c>
      <c r="K251" s="72" t="s">
        <v>350</v>
      </c>
      <c r="L251" s="72" t="s">
        <v>350</v>
      </c>
      <c r="M251" s="72">
        <v>0.02</v>
      </c>
    </row>
    <row r="252" spans="2:13" x14ac:dyDescent="0.3">
      <c r="B252" s="73" t="s">
        <v>283</v>
      </c>
      <c r="C252" s="73" t="s">
        <v>186</v>
      </c>
      <c r="D252" s="73" t="s">
        <v>298</v>
      </c>
      <c r="E252" s="74" t="s">
        <v>350</v>
      </c>
      <c r="F252" s="74" t="s">
        <v>350</v>
      </c>
      <c r="G252" s="74" t="s">
        <v>350</v>
      </c>
      <c r="H252" s="74">
        <v>0.02</v>
      </c>
      <c r="I252" s="74" t="s">
        <v>350</v>
      </c>
      <c r="J252" s="74" t="s">
        <v>350</v>
      </c>
      <c r="K252" s="74" t="s">
        <v>350</v>
      </c>
      <c r="L252" s="74" t="s">
        <v>350</v>
      </c>
      <c r="M252" s="74">
        <v>0.02</v>
      </c>
    </row>
    <row r="253" spans="2:13" x14ac:dyDescent="0.3">
      <c r="B253" s="71" t="s">
        <v>284</v>
      </c>
      <c r="C253" s="71" t="s">
        <v>186</v>
      </c>
      <c r="D253" s="71" t="s">
        <v>298</v>
      </c>
      <c r="E253" s="72" t="s">
        <v>350</v>
      </c>
      <c r="F253" s="72" t="s">
        <v>350</v>
      </c>
      <c r="G253" s="72" t="s">
        <v>350</v>
      </c>
      <c r="H253" s="72">
        <v>0.02</v>
      </c>
      <c r="I253" s="72" t="s">
        <v>350</v>
      </c>
      <c r="J253" s="72" t="s">
        <v>350</v>
      </c>
      <c r="K253" s="72" t="s">
        <v>350</v>
      </c>
      <c r="L253" s="72" t="s">
        <v>350</v>
      </c>
      <c r="M253" s="72">
        <v>0.02</v>
      </c>
    </row>
    <row r="254" spans="2:13" x14ac:dyDescent="0.3">
      <c r="B254" s="73" t="s">
        <v>285</v>
      </c>
      <c r="C254" s="73" t="s">
        <v>186</v>
      </c>
      <c r="D254" s="73" t="s">
        <v>298</v>
      </c>
      <c r="E254" s="74" t="s">
        <v>350</v>
      </c>
      <c r="F254" s="74" t="s">
        <v>350</v>
      </c>
      <c r="G254" s="74" t="s">
        <v>350</v>
      </c>
      <c r="H254" s="74">
        <v>0.02</v>
      </c>
      <c r="I254" s="74" t="s">
        <v>350</v>
      </c>
      <c r="J254" s="74" t="s">
        <v>350</v>
      </c>
      <c r="K254" s="74" t="s">
        <v>350</v>
      </c>
      <c r="L254" s="74" t="s">
        <v>350</v>
      </c>
      <c r="M254" s="74">
        <v>0.02</v>
      </c>
    </row>
    <row r="255" spans="2:13" x14ac:dyDescent="0.3">
      <c r="B255" s="71" t="s">
        <v>286</v>
      </c>
      <c r="C255" s="71" t="s">
        <v>186</v>
      </c>
      <c r="D255" s="71" t="s">
        <v>298</v>
      </c>
      <c r="E255" s="72" t="s">
        <v>350</v>
      </c>
      <c r="F255" s="72" t="s">
        <v>350</v>
      </c>
      <c r="G255" s="72" t="s">
        <v>350</v>
      </c>
      <c r="H255" s="72">
        <v>0.02</v>
      </c>
      <c r="I255" s="72" t="s">
        <v>350</v>
      </c>
      <c r="J255" s="72" t="s">
        <v>350</v>
      </c>
      <c r="K255" s="72" t="s">
        <v>350</v>
      </c>
      <c r="L255" s="72" t="s">
        <v>350</v>
      </c>
      <c r="M255" s="72">
        <v>0.02</v>
      </c>
    </row>
    <row r="256" spans="2:13" x14ac:dyDescent="0.3">
      <c r="B256" s="73" t="s">
        <v>287</v>
      </c>
      <c r="C256" s="73" t="s">
        <v>186</v>
      </c>
      <c r="D256" s="73" t="s">
        <v>298</v>
      </c>
      <c r="E256" s="74" t="s">
        <v>350</v>
      </c>
      <c r="F256" s="74" t="s">
        <v>350</v>
      </c>
      <c r="G256" s="74" t="s">
        <v>350</v>
      </c>
      <c r="H256" s="74">
        <v>0.02</v>
      </c>
      <c r="I256" s="74" t="s">
        <v>350</v>
      </c>
      <c r="J256" s="74" t="s">
        <v>350</v>
      </c>
      <c r="K256" s="74" t="s">
        <v>350</v>
      </c>
      <c r="L256" s="74" t="s">
        <v>350</v>
      </c>
      <c r="M256" s="74">
        <v>0.02</v>
      </c>
    </row>
    <row r="257" spans="2:13" x14ac:dyDescent="0.3">
      <c r="B257" s="71" t="s">
        <v>288</v>
      </c>
      <c r="C257" s="71" t="s">
        <v>186</v>
      </c>
      <c r="D257" s="71" t="s">
        <v>298</v>
      </c>
      <c r="E257" s="72" t="s">
        <v>350</v>
      </c>
      <c r="F257" s="72" t="s">
        <v>350</v>
      </c>
      <c r="G257" s="72" t="s">
        <v>350</v>
      </c>
      <c r="H257" s="72">
        <v>0.02</v>
      </c>
      <c r="I257" s="72" t="s">
        <v>350</v>
      </c>
      <c r="J257" s="72" t="s">
        <v>350</v>
      </c>
      <c r="K257" s="72" t="s">
        <v>350</v>
      </c>
      <c r="L257" s="72" t="s">
        <v>350</v>
      </c>
      <c r="M257" s="72">
        <v>0.02</v>
      </c>
    </row>
    <row r="258" spans="2:13" x14ac:dyDescent="0.3">
      <c r="B258" s="73" t="s">
        <v>241</v>
      </c>
      <c r="C258" s="73" t="s">
        <v>186</v>
      </c>
      <c r="D258" s="73" t="s">
        <v>115</v>
      </c>
      <c r="E258" s="74" t="s">
        <v>350</v>
      </c>
      <c r="F258" s="74" t="s">
        <v>350</v>
      </c>
      <c r="G258" s="74" t="s">
        <v>350</v>
      </c>
      <c r="H258" s="74" t="s">
        <v>350</v>
      </c>
      <c r="I258" s="74">
        <v>0.01</v>
      </c>
      <c r="J258" s="74" t="s">
        <v>350</v>
      </c>
      <c r="K258" s="74" t="s">
        <v>350</v>
      </c>
      <c r="L258" s="74" t="s">
        <v>350</v>
      </c>
      <c r="M258" s="74">
        <v>0.01</v>
      </c>
    </row>
    <row r="259" spans="2:13" x14ac:dyDescent="0.3">
      <c r="B259" s="71" t="s">
        <v>336</v>
      </c>
      <c r="C259" s="71" t="s">
        <v>186</v>
      </c>
      <c r="D259" s="71" t="s">
        <v>118</v>
      </c>
      <c r="E259" s="72" t="s">
        <v>350</v>
      </c>
      <c r="F259" s="72" t="s">
        <v>350</v>
      </c>
      <c r="G259" s="72" t="s">
        <v>350</v>
      </c>
      <c r="H259" s="72" t="s">
        <v>350</v>
      </c>
      <c r="I259" s="72">
        <v>0.01</v>
      </c>
      <c r="J259" s="72" t="s">
        <v>350</v>
      </c>
      <c r="K259" s="72" t="s">
        <v>350</v>
      </c>
      <c r="L259" s="72" t="s">
        <v>350</v>
      </c>
      <c r="M259" s="72">
        <v>0.01</v>
      </c>
    </row>
    <row r="260" spans="2:13" x14ac:dyDescent="0.3">
      <c r="B260" s="73" t="s">
        <v>289</v>
      </c>
      <c r="C260" s="73" t="s">
        <v>186</v>
      </c>
      <c r="D260" s="73" t="s">
        <v>132</v>
      </c>
      <c r="E260" s="74" t="s">
        <v>350</v>
      </c>
      <c r="F260" s="74" t="s">
        <v>350</v>
      </c>
      <c r="G260" s="74" t="s">
        <v>350</v>
      </c>
      <c r="H260" s="74">
        <v>0.01</v>
      </c>
      <c r="I260" s="74" t="s">
        <v>350</v>
      </c>
      <c r="J260" s="74" t="s">
        <v>350</v>
      </c>
      <c r="K260" s="74" t="s">
        <v>350</v>
      </c>
      <c r="L260" s="74" t="s">
        <v>350</v>
      </c>
      <c r="M260" s="74">
        <v>0.01</v>
      </c>
    </row>
    <row r="261" spans="2:13" x14ac:dyDescent="0.3">
      <c r="B261" s="71" t="s">
        <v>290</v>
      </c>
      <c r="C261" s="71" t="s">
        <v>186</v>
      </c>
      <c r="D261" s="71" t="s">
        <v>132</v>
      </c>
      <c r="E261" s="72" t="s">
        <v>350</v>
      </c>
      <c r="F261" s="72" t="s">
        <v>350</v>
      </c>
      <c r="G261" s="72" t="s">
        <v>350</v>
      </c>
      <c r="H261" s="72">
        <v>0.01</v>
      </c>
      <c r="I261" s="72" t="s">
        <v>350</v>
      </c>
      <c r="J261" s="72" t="s">
        <v>350</v>
      </c>
      <c r="K261" s="72" t="s">
        <v>350</v>
      </c>
      <c r="L261" s="72" t="s">
        <v>350</v>
      </c>
      <c r="M261" s="72">
        <v>0.01</v>
      </c>
    </row>
    <row r="262" spans="2:13" x14ac:dyDescent="0.3">
      <c r="B262" s="73" t="s">
        <v>291</v>
      </c>
      <c r="C262" s="73" t="s">
        <v>186</v>
      </c>
      <c r="D262" s="73" t="s">
        <v>132</v>
      </c>
      <c r="E262" s="74" t="s">
        <v>350</v>
      </c>
      <c r="F262" s="74" t="s">
        <v>350</v>
      </c>
      <c r="G262" s="74" t="s">
        <v>350</v>
      </c>
      <c r="H262" s="74">
        <v>0.01</v>
      </c>
      <c r="I262" s="74" t="s">
        <v>350</v>
      </c>
      <c r="J262" s="74" t="s">
        <v>350</v>
      </c>
      <c r="K262" s="74" t="s">
        <v>350</v>
      </c>
      <c r="L262" s="74" t="s">
        <v>350</v>
      </c>
      <c r="M262" s="74">
        <v>0.01</v>
      </c>
    </row>
    <row r="263" spans="2:13" x14ac:dyDescent="0.3">
      <c r="B263" s="71" t="s">
        <v>292</v>
      </c>
      <c r="C263" s="71" t="s">
        <v>186</v>
      </c>
      <c r="D263" s="71" t="s">
        <v>132</v>
      </c>
      <c r="E263" s="72" t="s">
        <v>350</v>
      </c>
      <c r="F263" s="72" t="s">
        <v>350</v>
      </c>
      <c r="G263" s="72" t="s">
        <v>350</v>
      </c>
      <c r="H263" s="72">
        <v>0.01</v>
      </c>
      <c r="I263" s="72" t="s">
        <v>350</v>
      </c>
      <c r="J263" s="72" t="s">
        <v>350</v>
      </c>
      <c r="K263" s="72" t="s">
        <v>350</v>
      </c>
      <c r="L263" s="72" t="s">
        <v>350</v>
      </c>
      <c r="M263" s="72">
        <v>0.01</v>
      </c>
    </row>
    <row r="264" spans="2:13" x14ac:dyDescent="0.3">
      <c r="B264" s="73" t="s">
        <v>241</v>
      </c>
      <c r="C264" s="73" t="s">
        <v>186</v>
      </c>
      <c r="D264" s="73" t="s">
        <v>118</v>
      </c>
      <c r="E264" s="74" t="s">
        <v>350</v>
      </c>
      <c r="F264" s="74" t="s">
        <v>350</v>
      </c>
      <c r="G264" s="74" t="s">
        <v>350</v>
      </c>
      <c r="H264" s="74" t="s">
        <v>350</v>
      </c>
      <c r="I264" s="74">
        <v>0.01</v>
      </c>
      <c r="J264" s="74" t="s">
        <v>350</v>
      </c>
      <c r="K264" s="74" t="s">
        <v>350</v>
      </c>
      <c r="L264" s="74" t="s">
        <v>350</v>
      </c>
      <c r="M264" s="74">
        <v>0.01</v>
      </c>
    </row>
    <row r="265" spans="2:13" x14ac:dyDescent="0.3">
      <c r="B265" s="71" t="s">
        <v>189</v>
      </c>
      <c r="C265" s="71" t="s">
        <v>186</v>
      </c>
      <c r="D265" s="71" t="s">
        <v>105</v>
      </c>
      <c r="E265" s="72" t="s">
        <v>350</v>
      </c>
      <c r="F265" s="72" t="s">
        <v>350</v>
      </c>
      <c r="G265" s="72" t="s">
        <v>350</v>
      </c>
      <c r="H265" s="72" t="s">
        <v>350</v>
      </c>
      <c r="I265" s="72" t="s">
        <v>350</v>
      </c>
      <c r="J265" s="72">
        <v>0.01</v>
      </c>
      <c r="K265" s="72" t="s">
        <v>350</v>
      </c>
      <c r="L265" s="72" t="s">
        <v>350</v>
      </c>
      <c r="M265" s="72">
        <v>0.01</v>
      </c>
    </row>
    <row r="266" spans="2:13" x14ac:dyDescent="0.3">
      <c r="B266" s="73" t="s">
        <v>337</v>
      </c>
      <c r="C266" s="73" t="s">
        <v>186</v>
      </c>
      <c r="D266" s="73" t="s">
        <v>116</v>
      </c>
      <c r="E266" s="74" t="s">
        <v>350</v>
      </c>
      <c r="F266" s="74" t="s">
        <v>350</v>
      </c>
      <c r="G266" s="74" t="s">
        <v>350</v>
      </c>
      <c r="H266" s="74" t="s">
        <v>350</v>
      </c>
      <c r="I266" s="74">
        <v>0</v>
      </c>
      <c r="J266" s="74" t="s">
        <v>350</v>
      </c>
      <c r="K266" s="74" t="s">
        <v>350</v>
      </c>
      <c r="L266" s="74" t="s">
        <v>350</v>
      </c>
      <c r="M266" s="74">
        <v>0</v>
      </c>
    </row>
    <row r="267" spans="2:13" x14ac:dyDescent="0.3">
      <c r="B267" s="71" t="s">
        <v>337</v>
      </c>
      <c r="C267" s="71" t="s">
        <v>186</v>
      </c>
      <c r="D267" s="71" t="s">
        <v>115</v>
      </c>
      <c r="E267" s="72" t="s">
        <v>350</v>
      </c>
      <c r="F267" s="72" t="s">
        <v>350</v>
      </c>
      <c r="G267" s="72" t="s">
        <v>350</v>
      </c>
      <c r="H267" s="72" t="s">
        <v>350</v>
      </c>
      <c r="I267" s="72">
        <v>0</v>
      </c>
      <c r="J267" s="72" t="s">
        <v>350</v>
      </c>
      <c r="K267" s="72" t="s">
        <v>350</v>
      </c>
      <c r="L267" s="72" t="s">
        <v>350</v>
      </c>
      <c r="M267" s="72">
        <v>0</v>
      </c>
    </row>
    <row r="268" spans="2:13" x14ac:dyDescent="0.3">
      <c r="B268" s="73" t="s">
        <v>337</v>
      </c>
      <c r="C268" s="73" t="s">
        <v>186</v>
      </c>
      <c r="D268" s="73" t="s">
        <v>118</v>
      </c>
      <c r="E268" s="74" t="s">
        <v>350</v>
      </c>
      <c r="F268" s="74" t="s">
        <v>350</v>
      </c>
      <c r="G268" s="74" t="s">
        <v>350</v>
      </c>
      <c r="H268" s="74" t="s">
        <v>350</v>
      </c>
      <c r="I268" s="74">
        <v>0</v>
      </c>
      <c r="J268" s="74" t="s">
        <v>350</v>
      </c>
      <c r="K268" s="74" t="s">
        <v>350</v>
      </c>
      <c r="L268" s="74" t="s">
        <v>350</v>
      </c>
      <c r="M268" s="74">
        <v>0</v>
      </c>
    </row>
    <row r="269" spans="2:13" x14ac:dyDescent="0.3">
      <c r="B269" s="75" t="s">
        <v>351</v>
      </c>
      <c r="C269" s="76"/>
      <c r="D269" s="76"/>
      <c r="E269" s="77">
        <v>72.709999999999994</v>
      </c>
      <c r="F269" s="77">
        <v>0.35</v>
      </c>
      <c r="G269" s="77">
        <v>14.29</v>
      </c>
      <c r="H269" s="77">
        <v>382.86</v>
      </c>
      <c r="I269" s="77">
        <v>119.98</v>
      </c>
      <c r="J269" s="77">
        <v>1484.15</v>
      </c>
      <c r="K269" s="77">
        <v>180.87</v>
      </c>
      <c r="L269" s="77">
        <v>307.14</v>
      </c>
      <c r="M269" s="77">
        <v>2562.36</v>
      </c>
    </row>
    <row r="270" spans="2:13" x14ac:dyDescent="0.3">
      <c r="B270" s="78" t="s">
        <v>348</v>
      </c>
      <c r="C270" s="78"/>
      <c r="D270" s="78"/>
      <c r="E270" s="79">
        <v>72.709999999999994</v>
      </c>
      <c r="F270" s="79">
        <v>0.35</v>
      </c>
      <c r="G270" s="79">
        <v>14.29</v>
      </c>
      <c r="H270" s="79">
        <v>382.86</v>
      </c>
      <c r="I270" s="79">
        <v>119.98</v>
      </c>
      <c r="J270" s="79">
        <v>1493.36</v>
      </c>
      <c r="K270" s="79">
        <v>180.87</v>
      </c>
      <c r="L270" s="79">
        <v>321.47000000000003</v>
      </c>
      <c r="M270" s="79">
        <v>2585.9</v>
      </c>
    </row>
  </sheetData>
  <mergeCells count="1">
    <mergeCell ref="E4:L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5BC9-57E8-440F-8038-C03C4317FA1A}">
  <dimension ref="B2:B4"/>
  <sheetViews>
    <sheetView showGridLines="0" tabSelected="1" zoomScale="80" zoomScaleNormal="80" workbookViewId="0">
      <selection activeCell="L4" sqref="L4"/>
    </sheetView>
  </sheetViews>
  <sheetFormatPr baseColWidth="10" defaultColWidth="11.453125" defaultRowHeight="12" x14ac:dyDescent="0.3"/>
  <cols>
    <col min="1" max="1" width="5.08984375" style="3" customWidth="1"/>
    <col min="2" max="16384" width="11.453125" style="3"/>
  </cols>
  <sheetData>
    <row r="2" spans="2:2" ht="19" x14ac:dyDescent="0.45">
      <c r="B2" s="1" t="s">
        <v>354</v>
      </c>
    </row>
    <row r="4" spans="2:2" ht="14.5" x14ac:dyDescent="0.35">
      <c r="B4" s="80"/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2049" r:id="rId4">
          <objectPr defaultSize="0" autoPict="0" r:id="rId5">
            <anchor moveWithCells="1">
              <from>
                <xdr:col>0</xdr:col>
                <xdr:colOff>342900</xdr:colOff>
                <xdr:row>2</xdr:row>
                <xdr:rowOff>190500</xdr:rowOff>
              </from>
              <to>
                <xdr:col>2</xdr:col>
                <xdr:colOff>336550</xdr:colOff>
                <xdr:row>7</xdr:row>
                <xdr:rowOff>114300</xdr:rowOff>
              </to>
            </anchor>
          </objectPr>
        </oleObject>
      </mc:Choice>
      <mc:Fallback>
        <oleObject progId="Worksheet" dvAspect="DVASPECT_ICON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33</vt:i4>
      </vt:variant>
    </vt:vector>
  </HeadingPairs>
  <TitlesOfParts>
    <vt:vector size="33" baseType="lpstr">
      <vt:lpstr>Annexe 12</vt:lpstr>
      <vt:lpstr>Annexe 12-(1)</vt:lpstr>
      <vt:lpstr>Annexe 12-(2)</vt:lpstr>
      <vt:lpstr>Annexe 12-(3)</vt:lpstr>
      <vt:lpstr>Annexe 12-(4)</vt:lpstr>
      <vt:lpstr>Annexe 12-(5)</vt:lpstr>
      <vt:lpstr>Annexe 12-(6)</vt:lpstr>
      <vt:lpstr>Annexe 12-(7)</vt:lpstr>
      <vt:lpstr>Annexe 12-(8)</vt:lpstr>
      <vt:lpstr>Annexe 12-(9)</vt:lpstr>
      <vt:lpstr>Annexe 12-(10)</vt:lpstr>
      <vt:lpstr>Annexe 12-(11)</vt:lpstr>
      <vt:lpstr>Annexe 12-(12)</vt:lpstr>
      <vt:lpstr>Annexe 12-(13)</vt:lpstr>
      <vt:lpstr>Annexe 12-(14)</vt:lpstr>
      <vt:lpstr>Annexe 12-(15)</vt:lpstr>
      <vt:lpstr>Annexe 12-(16)</vt:lpstr>
      <vt:lpstr>Annexe 12-(17)</vt:lpstr>
      <vt:lpstr>Annexe 12-(18)</vt:lpstr>
      <vt:lpstr>Annexe 12-(19)</vt:lpstr>
      <vt:lpstr>Annexe 12-(20)</vt:lpstr>
      <vt:lpstr>Annexe 12-(21)</vt:lpstr>
      <vt:lpstr>Annexe 12-(22)</vt:lpstr>
      <vt:lpstr>Annexe 12-(23)</vt:lpstr>
      <vt:lpstr>Annexe 12-(24)</vt:lpstr>
      <vt:lpstr>Annexe 12-(25)</vt:lpstr>
      <vt:lpstr>Annexe 12-(26)</vt:lpstr>
      <vt:lpstr>Annexe 13</vt:lpstr>
      <vt:lpstr>Annexe 14</vt:lpstr>
      <vt:lpstr>Annexe 15</vt:lpstr>
      <vt:lpstr>Annexe 16</vt:lpstr>
      <vt:lpstr>Annexe 17</vt:lpstr>
      <vt:lpstr>Annexe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2026-07-16T15:28:13Z</dcterms:created>
  <dcterms:modified xsi:type="dcterms:W3CDTF">2026-07-16T15:28:50Z</dcterms:modified>
</cp:coreProperties>
</file>