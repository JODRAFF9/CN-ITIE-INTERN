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apports\donnée\flux financiers\"/>
    </mc:Choice>
  </mc:AlternateContent>
  <xr:revisionPtr revIDLastSave="0" documentId="8_{071C2A56-98A8-4BFB-A051-E70BAAF44962}" xr6:coauthVersionLast="47" xr6:coauthVersionMax="47" xr10:uidLastSave="{00000000-0000-0000-0000-000000000000}"/>
  <bookViews>
    <workbookView xWindow="-110" yWindow="-110" windowWidth="19420" windowHeight="10300" xr2:uid="{252415D0-4672-49B0-80D4-0D407EE7DB54}"/>
  </bookViews>
  <sheets>
    <sheet name="Annexe 12" sheetId="1" r:id="rId1"/>
    <sheet name="Annexe 12-(1)" sheetId="2" r:id="rId2"/>
    <sheet name="Annexe 12-(2)" sheetId="3" r:id="rId3"/>
    <sheet name="Annexe 12-(3)" sheetId="4" r:id="rId4"/>
    <sheet name="Annexe 12-(4)" sheetId="5" r:id="rId5"/>
    <sheet name="Annexe 12-(5)" sheetId="6" r:id="rId6"/>
    <sheet name="Annexe 12-(6)" sheetId="7" r:id="rId7"/>
    <sheet name="Annexe 12-(7)" sheetId="8" r:id="rId8"/>
    <sheet name="Annexe 12-(8)" sheetId="9" r:id="rId9"/>
    <sheet name="Annexe 12-(9)" sheetId="10" r:id="rId10"/>
    <sheet name="Annexe 12-(10)" sheetId="11" r:id="rId11"/>
    <sheet name="Annexe 12-(11)" sheetId="12" r:id="rId12"/>
    <sheet name="Annexe 12-(12)" sheetId="13" r:id="rId13"/>
    <sheet name="Annexe 12-(13)" sheetId="14" r:id="rId14"/>
    <sheet name="Annexe 12-(14)" sheetId="15" r:id="rId15"/>
    <sheet name="Annexe 12-(15)" sheetId="16" r:id="rId16"/>
    <sheet name="Annexe 12-(16)" sheetId="17" r:id="rId17"/>
    <sheet name="Annexe 12-(17)" sheetId="18" r:id="rId18"/>
    <sheet name="Annexe 12-(18)" sheetId="19" r:id="rId19"/>
    <sheet name="Annexe 12-(19)" sheetId="20" r:id="rId20"/>
    <sheet name="Annexe 12-(20)" sheetId="21" r:id="rId21"/>
    <sheet name="Annexe 12-(21)" sheetId="22" r:id="rId22"/>
    <sheet name="Annexe 12-(22)" sheetId="23" r:id="rId23"/>
    <sheet name="Annexe 12-(23)" sheetId="24" r:id="rId24"/>
    <sheet name="Annexe 12-(24)" sheetId="25" r:id="rId25"/>
    <sheet name="Annexe 12-(25)" sheetId="26" r:id="rId26"/>
    <sheet name="Annexe 12-(26)" sheetId="27" r:id="rId27"/>
    <sheet name="Annexe 13" sheetId="28" r:id="rId28"/>
    <sheet name="Annexe 14" sheetId="29" r:id="rId29"/>
    <sheet name="Annexe 15" sheetId="30" r:id="rId30"/>
    <sheet name="Annexe 16" sheetId="31" r:id="rId31"/>
    <sheet name="Annexe 17" sheetId="32" r:id="rId32"/>
    <sheet name="Annexe 18" sheetId="33" r:id="rId33"/>
  </sheets>
  <externalReferences>
    <externalReference r:id="rId34"/>
    <externalReference r:id="rId35"/>
  </externalReferences>
  <definedNames>
    <definedName name="_xlnm._FilterDatabase" localSheetId="27" hidden="1">'Annexe 13'!$A$4:$D$122</definedName>
    <definedName name="_xlnm._FilterDatabase" localSheetId="28" hidden="1">'Annexe 14'!$B$3:$F$60</definedName>
    <definedName name="_xlnm._FilterDatabase" localSheetId="29" hidden="1">'Annexe 15'!$B$3:$E$187</definedName>
    <definedName name="_xlnm._FilterDatabase" localSheetId="30" hidden="1">'Annexe 16'!$B$3:$F$92</definedName>
    <definedName name="Compadjust">[1]Lists!$A$71:$A$79</definedName>
    <definedName name="FinalDiff">[1]Lists!$A$94:$A$105</definedName>
    <definedName name="Govadjust">[1]Lists!$A$83:$A$90</definedName>
    <definedName name="Taxes">[1]Lists!$A$7:$A$49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33" l="1"/>
  <c r="F62" i="29"/>
  <c r="D124" i="28"/>
  <c r="G605" i="27"/>
  <c r="C52" i="27"/>
  <c r="B52" i="27"/>
  <c r="C24" i="27"/>
  <c r="B24" i="27"/>
  <c r="J2" i="27"/>
  <c r="G605" i="26"/>
  <c r="C52" i="26"/>
  <c r="B52" i="26"/>
  <c r="C24" i="26"/>
  <c r="B24" i="26"/>
  <c r="J2" i="26"/>
  <c r="G605" i="25"/>
  <c r="C52" i="25"/>
  <c r="B52" i="25"/>
  <c r="C24" i="25"/>
  <c r="B24" i="25"/>
  <c r="J2" i="25"/>
  <c r="G605" i="24"/>
  <c r="C52" i="24"/>
  <c r="B52" i="24"/>
  <c r="C24" i="24"/>
  <c r="B24" i="24"/>
  <c r="J2" i="24"/>
  <c r="G605" i="23"/>
  <c r="C52" i="23"/>
  <c r="B52" i="23"/>
  <c r="C24" i="23"/>
  <c r="B24" i="23"/>
  <c r="J2" i="23"/>
  <c r="G605" i="22"/>
  <c r="C52" i="22"/>
  <c r="B52" i="22"/>
  <c r="C24" i="22"/>
  <c r="B24" i="22"/>
  <c r="J2" i="22"/>
  <c r="G605" i="21"/>
  <c r="C52" i="21"/>
  <c r="B52" i="21"/>
  <c r="C24" i="21"/>
  <c r="B24" i="21"/>
  <c r="J2" i="21"/>
  <c r="G605" i="20"/>
  <c r="C52" i="20"/>
  <c r="B52" i="20"/>
  <c r="C24" i="20"/>
  <c r="B24" i="20"/>
  <c r="J2" i="20"/>
  <c r="G605" i="19"/>
  <c r="C52" i="19"/>
  <c r="B52" i="19"/>
  <c r="C24" i="19"/>
  <c r="B24" i="19"/>
  <c r="J2" i="19"/>
  <c r="G605" i="18"/>
  <c r="C52" i="18"/>
  <c r="B52" i="18"/>
  <c r="C24" i="18"/>
  <c r="B24" i="18"/>
  <c r="J2" i="18"/>
  <c r="G605" i="17"/>
  <c r="C52" i="17"/>
  <c r="B52" i="17"/>
  <c r="C24" i="17"/>
  <c r="B24" i="17"/>
  <c r="J2" i="17"/>
  <c r="G605" i="16"/>
  <c r="C52" i="16"/>
  <c r="B52" i="16"/>
  <c r="C24" i="16"/>
  <c r="B24" i="16"/>
  <c r="J2" i="16"/>
  <c r="G605" i="15"/>
  <c r="C52" i="15"/>
  <c r="B52" i="15"/>
  <c r="C24" i="15"/>
  <c r="B24" i="15"/>
  <c r="J2" i="15"/>
  <c r="G605" i="14"/>
  <c r="C52" i="14"/>
  <c r="B52" i="14"/>
  <c r="C24" i="14"/>
  <c r="B24" i="14"/>
  <c r="J2" i="14"/>
  <c r="G605" i="13"/>
  <c r="C52" i="13"/>
  <c r="B52" i="13"/>
  <c r="C24" i="13"/>
  <c r="B24" i="13"/>
  <c r="J2" i="13"/>
  <c r="G605" i="12"/>
  <c r="C52" i="12"/>
  <c r="B52" i="12"/>
  <c r="C24" i="12"/>
  <c r="B24" i="12"/>
  <c r="J2" i="12"/>
  <c r="G605" i="11"/>
  <c r="C52" i="11"/>
  <c r="B52" i="11"/>
  <c r="C24" i="11"/>
  <c r="B24" i="11"/>
  <c r="J2" i="11"/>
  <c r="G605" i="10"/>
  <c r="C52" i="10"/>
  <c r="B52" i="10"/>
  <c r="C24" i="10"/>
  <c r="B24" i="10"/>
  <c r="J2" i="10"/>
  <c r="G605" i="9"/>
  <c r="C52" i="9"/>
  <c r="B52" i="9"/>
  <c r="C24" i="9"/>
  <c r="B24" i="9"/>
  <c r="J2" i="9"/>
  <c r="G605" i="8"/>
  <c r="C52" i="8"/>
  <c r="B52" i="8"/>
  <c r="C24" i="8"/>
  <c r="B24" i="8"/>
  <c r="J2" i="8"/>
  <c r="G605" i="7"/>
  <c r="C52" i="7"/>
  <c r="B52" i="7"/>
  <c r="C24" i="7"/>
  <c r="B24" i="7"/>
  <c r="J2" i="7"/>
  <c r="G605" i="6"/>
  <c r="C52" i="6"/>
  <c r="B52" i="6"/>
  <c r="C24" i="6"/>
  <c r="B24" i="6"/>
  <c r="J2" i="6"/>
  <c r="G605" i="5"/>
  <c r="C52" i="5"/>
  <c r="B52" i="5"/>
  <c r="C24" i="5"/>
  <c r="B24" i="5"/>
  <c r="J2" i="5"/>
  <c r="G605" i="4"/>
  <c r="C52" i="4"/>
  <c r="B52" i="4"/>
  <c r="C24" i="4"/>
  <c r="B24" i="4"/>
  <c r="J2" i="4"/>
  <c r="G605" i="3"/>
  <c r="C52" i="3"/>
  <c r="B52" i="3"/>
  <c r="C24" i="3"/>
  <c r="B24" i="3"/>
  <c r="J2" i="3"/>
  <c r="C52" i="2"/>
  <c r="B52" i="2"/>
  <c r="C24" i="2"/>
  <c r="B24" i="2"/>
  <c r="J2" i="2"/>
</calcChain>
</file>

<file path=xl/sharedStrings.xml><?xml version="1.0" encoding="utf-8"?>
<sst xmlns="http://schemas.openxmlformats.org/spreadsheetml/2006/main" count="13433" uniqueCount="415">
  <si>
    <t>Annexe 12 – Fiche de conciliation par société</t>
  </si>
  <si>
    <t>Annexe 12-(1)</t>
  </si>
  <si>
    <t>La Société des Mines de Fer du Sénégal Oriental (MIFERSO)</t>
  </si>
  <si>
    <t>Annexe 12-(2)</t>
  </si>
  <si>
    <t>Société de Commercialisation du Ciment (SOCOCIM)</t>
  </si>
  <si>
    <t>Annexe 12-(3)</t>
  </si>
  <si>
    <t>Sabodala Gold Operations (SGO)</t>
  </si>
  <si>
    <t>Annexe 12-(4)</t>
  </si>
  <si>
    <t>Ciments du Sahel (CDS)</t>
  </si>
  <si>
    <t>Annexe 12-(5)</t>
  </si>
  <si>
    <t>Grande Côte Opérations (GCO)</t>
  </si>
  <si>
    <t>Annexe 12-(6)</t>
  </si>
  <si>
    <t>Société Sénégalaise des Phosphates de Thiès (SSPT)</t>
  </si>
  <si>
    <t>Annexe 12-(7)</t>
  </si>
  <si>
    <t>Industries Chimiques du Sénégal (ICS)</t>
  </si>
  <si>
    <t>Annexe 12-(8)</t>
  </si>
  <si>
    <t>Dangote Industries Sénégal SA (DANGOTE)</t>
  </si>
  <si>
    <t>Annexe 12-(9)</t>
  </si>
  <si>
    <t>Petowal Mining Company (PMC) SA</t>
  </si>
  <si>
    <t>Annexe 12-(10)</t>
  </si>
  <si>
    <t>Société Minière de la Vallée du fleuve Sénégal (SOMIVA)</t>
  </si>
  <si>
    <t>Annexe 12-(11)</t>
  </si>
  <si>
    <t>IAMGOLD BOTO</t>
  </si>
  <si>
    <t>Annexe 12-(12)</t>
  </si>
  <si>
    <t>Agem Sénégal Exploration SUARL (AGEM)</t>
  </si>
  <si>
    <t>Annexe 12-(13)</t>
  </si>
  <si>
    <t>Sabodala Mining Company (SMC)</t>
  </si>
  <si>
    <t>Annexe 12-(14)</t>
  </si>
  <si>
    <t>Sephos Senegal SA (SEPHOS)</t>
  </si>
  <si>
    <t>Annexe 12-(15)</t>
  </si>
  <si>
    <t>G-PHOS SA</t>
  </si>
  <si>
    <t>Annexe 12-(16)</t>
  </si>
  <si>
    <t>African Investment Group SA (AIG)</t>
  </si>
  <si>
    <t>Annexe 12-(17)</t>
  </si>
  <si>
    <t>Compagnie Générale d'Exploitation de Carrière (COGECA)</t>
  </si>
  <si>
    <t>Annexe 12-(18)</t>
  </si>
  <si>
    <t>Gécamines (GECAMINES)</t>
  </si>
  <si>
    <t>Annexe 12-(19)</t>
  </si>
  <si>
    <t>Société des Pétroles du Sénégal (PETROSEN)</t>
  </si>
  <si>
    <t>Annexe 12-(20)</t>
  </si>
  <si>
    <t>Fortesa International Senegal</t>
  </si>
  <si>
    <t>Annexe 12-(21)</t>
  </si>
  <si>
    <t xml:space="preserve">Capricorn Senegal Limited </t>
  </si>
  <si>
    <t>Annexe 12-(22)</t>
  </si>
  <si>
    <t xml:space="preserve">Kosmos Energy Senegal </t>
  </si>
  <si>
    <t>Annexe 12-(23)</t>
  </si>
  <si>
    <t xml:space="preserve">Oranto Petroleum </t>
  </si>
  <si>
    <t>Annexe 12-(24)</t>
  </si>
  <si>
    <t xml:space="preserve"> TOTAL E&amp;P Senegal </t>
  </si>
  <si>
    <t>Annexe 12-(25)</t>
  </si>
  <si>
    <t>BP SENEGAL INVESTMENTS LIMITED</t>
  </si>
  <si>
    <t>Annexe 12-(26)</t>
  </si>
  <si>
    <t xml:space="preserve">Woodside Energy Senegal </t>
  </si>
  <si>
    <t>Nom de la société</t>
  </si>
  <si>
    <t>0023896 2G3</t>
  </si>
  <si>
    <t>Année</t>
  </si>
  <si>
    <t>Cours</t>
  </si>
  <si>
    <t>N°</t>
  </si>
  <si>
    <t>Nomenclature des flux</t>
  </si>
  <si>
    <t>Sociétés</t>
  </si>
  <si>
    <t>Gouvernement</t>
  </si>
  <si>
    <t>Différence Finale</t>
  </si>
  <si>
    <t>Initial</t>
  </si>
  <si>
    <t>Ajustements</t>
  </si>
  <si>
    <t>Final</t>
  </si>
  <si>
    <t>Paiements en nature</t>
  </si>
  <si>
    <t xml:space="preserve">Part de la production de l'État (Profit Oil État) </t>
  </si>
  <si>
    <t xml:space="preserve">Part de la production de PETROSEN (Profit Oil - Cost Oil PETROSEN) </t>
  </si>
  <si>
    <t>Paiements en numéraire</t>
  </si>
  <si>
    <t>DMG</t>
  </si>
  <si>
    <t xml:space="preserve">Redevance minière </t>
  </si>
  <si>
    <t>Appui institutionnel</t>
  </si>
  <si>
    <t>Droits d'entrée fixes</t>
  </si>
  <si>
    <t>Bonus (DMG)</t>
  </si>
  <si>
    <t>Redevance superficiaire</t>
  </si>
  <si>
    <t>PETROSEN</t>
  </si>
  <si>
    <t>Bonus (PETROSEN)</t>
  </si>
  <si>
    <t xml:space="preserve">Appui à la formation </t>
  </si>
  <si>
    <t>Appui à l'équipement</t>
  </si>
  <si>
    <t xml:space="preserve">Revenus issus de la commercialisation de la Part de la production de l'État </t>
  </si>
  <si>
    <t xml:space="preserve">Loyer superficiaire </t>
  </si>
  <si>
    <t>Pénalités versées à PETROSEN</t>
  </si>
  <si>
    <t>Redevance</t>
  </si>
  <si>
    <t>Achat de données sismiques</t>
  </si>
  <si>
    <t>DGCPT</t>
  </si>
  <si>
    <t>Patente</t>
  </si>
  <si>
    <t>Contribution foncière des propriétés bâties (CFPB)</t>
  </si>
  <si>
    <t>Contribution foncière des propriétés non bâties (CFPNB)</t>
  </si>
  <si>
    <t xml:space="preserve">Appui institutionnel aux collectivités locales </t>
  </si>
  <si>
    <t xml:space="preserve">Impôt du minimum fiscal </t>
  </si>
  <si>
    <t xml:space="preserve">Dividendes versés à l'Etat </t>
  </si>
  <si>
    <t>Frais d'inscription d'une concession minière ou d'un permis d'exploitation</t>
  </si>
  <si>
    <t>Bonus (DGCPT)</t>
  </si>
  <si>
    <t xml:space="preserve">Contribution économique locale (CEL VA et CEL VL) </t>
  </si>
  <si>
    <t>DGID</t>
  </si>
  <si>
    <t>Taxe sur la valeur ajoutée reversée</t>
  </si>
  <si>
    <t>Retenues à la source sur salaires (IR, TRIMF et CFCE)</t>
  </si>
  <si>
    <t>Redressements fiscaux</t>
  </si>
  <si>
    <t>Impôt sur les sociétés</t>
  </si>
  <si>
    <t>Impôt sur les sociétés (bénéfices non pétroliers/miniers )</t>
  </si>
  <si>
    <t>Retenues à la source sur bénéfice non commercial</t>
  </si>
  <si>
    <t>Contribution spéciale sur les produits des mines et des carrières (CSMC)</t>
  </si>
  <si>
    <t>Retenue à la source sur sommes versées à des tiers</t>
  </si>
  <si>
    <t>Taxe sur la valeur ajoutée précomptée</t>
  </si>
  <si>
    <t>Impôt minimum forfaitaire</t>
  </si>
  <si>
    <t>Bonus (DGID)</t>
  </si>
  <si>
    <t xml:space="preserve">Surtaxe foncière </t>
  </si>
  <si>
    <t>Impôt sur le revenu des valeurs mobilières</t>
  </si>
  <si>
    <t>Taxe spéciale sur le ciment</t>
  </si>
  <si>
    <t xml:space="preserve">Frais d'inscription d'une concession minière ou d'un permis d'exploitation </t>
  </si>
  <si>
    <t>DGD</t>
  </si>
  <si>
    <t xml:space="preserve">Taxe sur la valeur ajoutée </t>
  </si>
  <si>
    <t xml:space="preserve">Prélèvement communautaire solidaire UEMOA </t>
  </si>
  <si>
    <t>Redevance statistique UEMOA</t>
  </si>
  <si>
    <t>Droits de douane</t>
  </si>
  <si>
    <t xml:space="preserve">Prélèvement communautaire CEDEAO </t>
  </si>
  <si>
    <t xml:space="preserve">Prélèvement pour le Conseil Sénégalais des Chargeurs (COSEC) </t>
  </si>
  <si>
    <t xml:space="preserve">Taxe d'enregistrement des véhicules </t>
  </si>
  <si>
    <t>Amendes, pénalités et redressements douaniers</t>
  </si>
  <si>
    <t>DEEC</t>
  </si>
  <si>
    <t>Taxe superficiaire</t>
  </si>
  <si>
    <t>Taxe à la pollution</t>
  </si>
  <si>
    <t xml:space="preserve">Appui Institutionnel (Fonds d'appui au Mini. De l'Env) </t>
  </si>
  <si>
    <t>DEFC</t>
  </si>
  <si>
    <t>Taxes d'abattage</t>
  </si>
  <si>
    <t>CSS</t>
  </si>
  <si>
    <t xml:space="preserve">Cotisations sociales (y compris les pénalités) </t>
  </si>
  <si>
    <t>IPRES</t>
  </si>
  <si>
    <t>Cotisations sociales (y compris les pénalités)(IPRES)</t>
  </si>
  <si>
    <t>Autres</t>
  </si>
  <si>
    <t>Autres flux de paiements significatifs (&gt; 25 millions de  FCFA) (reconciliables)</t>
  </si>
  <si>
    <t>l</t>
  </si>
  <si>
    <t>0016627 2G3</t>
  </si>
  <si>
    <t>2850023 2G3</t>
  </si>
  <si>
    <t>0325995 2G3</t>
  </si>
  <si>
    <t>2849258 2G3</t>
  </si>
  <si>
    <t>0028797 2G3</t>
  </si>
  <si>
    <t>0022955 2G3</t>
  </si>
  <si>
    <t>2707208 2G3</t>
  </si>
  <si>
    <t>005844700</t>
  </si>
  <si>
    <t>4475142 2G3</t>
  </si>
  <si>
    <t>IAMGOLD BOTO SA</t>
  </si>
  <si>
    <t>4151750 2Y2</t>
  </si>
  <si>
    <t>2464410 0G2</t>
  </si>
  <si>
    <t>4013041 2G3</t>
  </si>
  <si>
    <t>004716033</t>
  </si>
  <si>
    <t>4507995 2G3</t>
  </si>
  <si>
    <t>0196784</t>
  </si>
  <si>
    <t>2292168 2G3</t>
  </si>
  <si>
    <t>0224498 2G3</t>
  </si>
  <si>
    <t>0415770 2G3</t>
  </si>
  <si>
    <t xml:space="preserve"> 4888056 2G2 </t>
  </si>
  <si>
    <t xml:space="preserve"> 005251822 2G2 </t>
  </si>
  <si>
    <t>N/A</t>
  </si>
  <si>
    <t xml:space="preserve">006420509 2A2 </t>
  </si>
  <si>
    <t>Annexe 13 –  Détail des revenus budgétaires par société extractive</t>
  </si>
  <si>
    <t>Périmètre</t>
  </si>
  <si>
    <t>Société</t>
  </si>
  <si>
    <t>Secteur</t>
  </si>
  <si>
    <t>Paiement en FCFA</t>
  </si>
  <si>
    <t>SGO</t>
  </si>
  <si>
    <t>Minier</t>
  </si>
  <si>
    <t>SOCOCIM</t>
  </si>
  <si>
    <t>CDS</t>
  </si>
  <si>
    <t>PMC</t>
  </si>
  <si>
    <t>Dangote</t>
  </si>
  <si>
    <t>GCO</t>
  </si>
  <si>
    <t>BP</t>
  </si>
  <si>
    <t>Pétrolier</t>
  </si>
  <si>
    <t>GECAMINES</t>
  </si>
  <si>
    <t>ICS</t>
  </si>
  <si>
    <t>COGECA</t>
  </si>
  <si>
    <t>TOTAL</t>
  </si>
  <si>
    <t>WOODSIDE</t>
  </si>
  <si>
    <t>IAMGOLD</t>
  </si>
  <si>
    <t>SSPT</t>
  </si>
  <si>
    <t>FORTESA</t>
  </si>
  <si>
    <t>SOMIVA</t>
  </si>
  <si>
    <t>SMC</t>
  </si>
  <si>
    <t>AGEM</t>
  </si>
  <si>
    <t>Hors Périmètre</t>
  </si>
  <si>
    <t>BAOBAB MINING &amp; CHEMICAL CORPORATION SA (EX-ATLAS RESSOURCES SARL)</t>
  </si>
  <si>
    <t>TETA CAR</t>
  </si>
  <si>
    <t>CSE</t>
  </si>
  <si>
    <t>SEPHOS</t>
  </si>
  <si>
    <t>GRAVITA SENEGAL SAU</t>
  </si>
  <si>
    <t>MASSAWA SA</t>
  </si>
  <si>
    <t>AMAFRIQUE SA</t>
  </si>
  <si>
    <t>SENEGAL MINES</t>
  </si>
  <si>
    <t>AIG</t>
  </si>
  <si>
    <t>CSE GRANULAT</t>
  </si>
  <si>
    <t>CAPRICORN</t>
  </si>
  <si>
    <t>BOYA - SA</t>
  </si>
  <si>
    <t>TETACAR</t>
  </si>
  <si>
    <t>COMPAGNIE DES PRODUITS CHIMIQUES ET MATERIAUX</t>
  </si>
  <si>
    <t>PROCHIMAT</t>
  </si>
  <si>
    <t>GLOBAL AFRICINVEST - SA</t>
  </si>
  <si>
    <t>AFRIGOLD SUARL</t>
  </si>
  <si>
    <t>ENTREPRISE MAPATHE NDIOUCK SA</t>
  </si>
  <si>
    <t>IBRAHIMA BA</t>
  </si>
  <si>
    <t>SOCIETE DE CONCASSAGE ET DE BETON SARL</t>
  </si>
  <si>
    <t>MIFERSO</t>
  </si>
  <si>
    <t>NOUVELLE SOCIETE DES MINES ET TRAVAUX PUBLICS SA</t>
  </si>
  <si>
    <t>INCA SARL</t>
  </si>
  <si>
    <t>AFRICAN STAR RESOURCES SARL</t>
  </si>
  <si>
    <t>DIENG &amp; CO ENGINEERING - SAS</t>
  </si>
  <si>
    <t>MINEREX SENEGAL SARL</t>
  </si>
  <si>
    <t>SOCIETE DE RECHERCHE ET DE DEVELOPPEMENT DES MINES SA</t>
  </si>
  <si>
    <t>GIE BENCOUTOU</t>
  </si>
  <si>
    <t>GIE SINING KANG</t>
  </si>
  <si>
    <t>AFRICAN PETROLEUM SENEGAL LIMITED -SAU</t>
  </si>
  <si>
    <t>BABA AIDARA SERVICE MINES ET GEOLOGIE</t>
  </si>
  <si>
    <t>SOCABEG MINING</t>
  </si>
  <si>
    <t>KANEL RESOURCES -SARL</t>
  </si>
  <si>
    <t>STRATEX EMC</t>
  </si>
  <si>
    <t>GIE DJIGUI</t>
  </si>
  <si>
    <t>SERVICE REGIONAL DES MINES</t>
  </si>
  <si>
    <t xml:space="preserve">AFRIGOLD SARL </t>
  </si>
  <si>
    <t>AFRICAN STAR GOLD</t>
  </si>
  <si>
    <t>AFRIGEM</t>
  </si>
  <si>
    <t>NIAMAYA GOLG</t>
  </si>
  <si>
    <t>FUTURMINE</t>
  </si>
  <si>
    <t>SERVICE MINES ET GEOLOGIE FATICK BABA AIDARA</t>
  </si>
  <si>
    <t xml:space="preserve">GEOCONSULTING </t>
  </si>
  <si>
    <t>MAODO GLOBAL BUSINESS</t>
  </si>
  <si>
    <t xml:space="preserve">CSE </t>
  </si>
  <si>
    <t xml:space="preserve">BOYA </t>
  </si>
  <si>
    <t>SOCIETE SENEGALAISE DE NEGOCE INTERNATIONAL SARL</t>
  </si>
  <si>
    <t>INSTITUT GEOSCIENCES DE DAKAR</t>
  </si>
  <si>
    <t>COMPLEXE SERIGNE SALIOU MBACKE SARL</t>
  </si>
  <si>
    <t>ISLE WORLDWIDE - SA</t>
  </si>
  <si>
    <t>SYPROM SA</t>
  </si>
  <si>
    <t>G.H. MINING SARL</t>
  </si>
  <si>
    <t>ABMINES HOLDING</t>
  </si>
  <si>
    <t>AFTECO</t>
  </si>
  <si>
    <t>AMD SERVICES</t>
  </si>
  <si>
    <t>ARC EN CIEL</t>
  </si>
  <si>
    <t>ASS FALLE GAYE</t>
  </si>
  <si>
    <t>DAMOUGAYE</t>
  </si>
  <si>
    <t>DARAY MINA LAMP</t>
  </si>
  <si>
    <t>DELTA IMMO</t>
  </si>
  <si>
    <t>DIENG FAMILY</t>
  </si>
  <si>
    <t>DIMEX</t>
  </si>
  <si>
    <t>EDTS</t>
  </si>
  <si>
    <t>EIFAGE SENEGAL</t>
  </si>
  <si>
    <t>ENTREPRISE BOUGAR DIOUF</t>
  </si>
  <si>
    <t>ENTREPRISE DIGUEUL FALL</t>
  </si>
  <si>
    <t>ENTREPRISE NAFOR</t>
  </si>
  <si>
    <t>ENTREPRISE NDOYE MASSILA</t>
  </si>
  <si>
    <t>ENTREPRISE OUSMANE SOW</t>
  </si>
  <si>
    <t>ETS MAMADOU DIOP</t>
  </si>
  <si>
    <t>GENERAL ENTREPRISES</t>
  </si>
  <si>
    <t>GIE KOM KOM</t>
  </si>
  <si>
    <t>JEAN LEFEVRE ENEGAL</t>
  </si>
  <si>
    <t>LITON GROUP</t>
  </si>
  <si>
    <t>LOCMIS</t>
  </si>
  <si>
    <t>MADAME RAMATOULAYE NDIAYE</t>
  </si>
  <si>
    <t>MS MINING</t>
  </si>
  <si>
    <t>PSS SERVICES</t>
  </si>
  <si>
    <t xml:space="preserve">SALOUM TRADING </t>
  </si>
  <si>
    <t>SOCETRA</t>
  </si>
  <si>
    <t>SOCOPA</t>
  </si>
  <si>
    <t>SOTRAPBAT</t>
  </si>
  <si>
    <t>UNIVERSAL BUSINESS</t>
  </si>
  <si>
    <t>WAKEUR MAME CHEIKH IBRAHIMAFALL</t>
  </si>
  <si>
    <t>WESTAM</t>
  </si>
  <si>
    <t>KOSMOS</t>
  </si>
  <si>
    <t>TENDER OIL AND GAS CASAMANCE SARL</t>
  </si>
  <si>
    <t>WEST AFRICAN TRADING INVESTMENT AND CONSTRUCTION SARL</t>
  </si>
  <si>
    <t>SOCIETE SOCOPA SARL</t>
  </si>
  <si>
    <t>SOCIETE D'EQUIPEMENT ET DE CONSTRUCTION</t>
  </si>
  <si>
    <t>TSG MINING COMPANY SARL</t>
  </si>
  <si>
    <t>SOREDMINES     YOFF  DAKAR</t>
  </si>
  <si>
    <t>DIVERS REDEVABLES</t>
  </si>
  <si>
    <t>IBRAHIMA BA SERVICES DES MINES</t>
  </si>
  <si>
    <t>STRATEX EMC SA</t>
  </si>
  <si>
    <t>BARRICK GOLD SENEGAL EX RANGOLD RESOURCES SENEGAL</t>
  </si>
  <si>
    <t>BAMBUK MINERALS SENEGAL</t>
  </si>
  <si>
    <t>G-PHOS</t>
  </si>
  <si>
    <t>OARANTO</t>
  </si>
  <si>
    <t>Annexe 14 –  Détail des revenus budgétaires par flux de paiement</t>
  </si>
  <si>
    <t>Flux</t>
  </si>
  <si>
    <t>régie</t>
  </si>
  <si>
    <t>Total</t>
  </si>
  <si>
    <t>Taxe sur le ciment</t>
  </si>
  <si>
    <t>Hydrocarbures</t>
  </si>
  <si>
    <t>Hors périmètre</t>
  </si>
  <si>
    <t>DEFCCS</t>
  </si>
  <si>
    <t xml:space="preserve">Taxe extraction  </t>
  </si>
  <si>
    <t>Autres (non spécifiés)</t>
  </si>
  <si>
    <t>Annexe 15 –  Détail des paiements des entreprises par société extractive</t>
  </si>
  <si>
    <t>GEOPARTNERS Ltd</t>
  </si>
  <si>
    <t xml:space="preserve">TGS GEOPHYSICAL COMPANY </t>
  </si>
  <si>
    <t>SORED MINES</t>
  </si>
  <si>
    <t>SENEGAL MINES SA</t>
  </si>
  <si>
    <t>BAOBAB MINING AND CHEMICAL CORPORATION</t>
  </si>
  <si>
    <t>BARRICK GOLD</t>
  </si>
  <si>
    <t>TRANSPORTS AHMED D.GAZAL&amp;FILS</t>
  </si>
  <si>
    <t>TETACAR SARL</t>
  </si>
  <si>
    <t>New Energy Investment</t>
  </si>
  <si>
    <t>SOCOBE SARL</t>
  </si>
  <si>
    <t>ROYAL SENEGAL MINES ET EQUIPEM</t>
  </si>
  <si>
    <t>A.G.C GUINEE BISSAU SENEGAL</t>
  </si>
  <si>
    <t>LES MINIERES DU DIOBASS SUARL</t>
  </si>
  <si>
    <t>TRANSPORT AHMED DJOUMA GAZAL</t>
  </si>
  <si>
    <t>ALBINA SENEGAL</t>
  </si>
  <si>
    <t xml:space="preserve">FAMY SENEGAL SUARL      </t>
  </si>
  <si>
    <t>VAPROM AFRICA SA</t>
  </si>
  <si>
    <t>QUATAR PETROLEUM</t>
  </si>
  <si>
    <t>WINTERSHALL</t>
  </si>
  <si>
    <t>CNOOC WEST AFRICA PETROLEUM</t>
  </si>
  <si>
    <t>ENTREPRISE MAPATHE NDIOUCK</t>
  </si>
  <si>
    <t>FAR</t>
  </si>
  <si>
    <t>SENEGAL MINES S.A</t>
  </si>
  <si>
    <t>BOYA SA</t>
  </si>
  <si>
    <t>GAZAL CARRIERES SARL</t>
  </si>
  <si>
    <t>FAR GAMBIA</t>
  </si>
  <si>
    <t xml:space="preserve">TOUBA GUEDE  </t>
  </si>
  <si>
    <t>BAOBAB MINING (BMCC)</t>
  </si>
  <si>
    <t xml:space="preserve">GLOBAL AFRICINVEST </t>
  </si>
  <si>
    <t>HARMONY GROUP SUARL</t>
  </si>
  <si>
    <t>ROYAL SENEGAL MINES ET EQUIPEMENTS</t>
  </si>
  <si>
    <t>GAZAL CARRIERRES</t>
  </si>
  <si>
    <t>AMAFRIQUE SUARL</t>
  </si>
  <si>
    <t>LES MINIERES DU DIOBASS SA</t>
  </si>
  <si>
    <t>FAR SENEGAL RSSD SA</t>
  </si>
  <si>
    <t xml:space="preserve">GRAVITA SENEGAL S.A.U </t>
  </si>
  <si>
    <t xml:space="preserve">AFRICAN STAR SARL       </t>
  </si>
  <si>
    <t>DIENG &amp; CO ENGINEERING SAS</t>
  </si>
  <si>
    <t xml:space="preserve">SOCIETE DE SERVICES BAT </t>
  </si>
  <si>
    <t xml:space="preserve">VAPROM AFRICA SA </t>
  </si>
  <si>
    <t>C W E SENEGAL SUARL</t>
  </si>
  <si>
    <t>SAREQ GROUP(STE AMEN REP EQUIP</t>
  </si>
  <si>
    <t>MAKABINGUI GOLD OPERATION SA</t>
  </si>
  <si>
    <t>NOUVELLE SOCIETE DES MINES  ET TRAVAUX PUBLICS</t>
  </si>
  <si>
    <t>GLOBAL IMMO SENEGAL SARL</t>
  </si>
  <si>
    <t>SOFAMAC</t>
  </si>
  <si>
    <t>SONKO ET FILS SARL</t>
  </si>
  <si>
    <t>CONSULTING BUSNESS AGENCY SARL</t>
  </si>
  <si>
    <t>KANSALA RESOURCES S.A</t>
  </si>
  <si>
    <t>ICTS INTER.COMP.OF TRADE SER.</t>
  </si>
  <si>
    <t>HARMONY GROUP SARL</t>
  </si>
  <si>
    <t>IAMGOLD CORPORATION SENEGAL</t>
  </si>
  <si>
    <t>AMAFRIQUE SENEGAL</t>
  </si>
  <si>
    <t>C.B.A. CONSULTING BU</t>
  </si>
  <si>
    <t>ENERGY MINING CORPORATION SA</t>
  </si>
  <si>
    <t>SCI DE LA BAIE</t>
  </si>
  <si>
    <t xml:space="preserve">SAREQ GROUP   SARL </t>
  </si>
  <si>
    <t xml:space="preserve">INTERNATIONAL COMPANY OF TRADE AND SERVICES SA (ICTS) </t>
  </si>
  <si>
    <t>SOCIETE D'EQUIPEMENT ET DE CONSTRUCTION (SOECO)</t>
  </si>
  <si>
    <t>BAKHOUM BUSINESS COMPANY (100%)</t>
  </si>
  <si>
    <t>LES SPECIALISTES DU BATIMENTS &amp; TP (100%)</t>
  </si>
  <si>
    <t>MRL INTERNATIONAL IND.SARL</t>
  </si>
  <si>
    <t>ENERGY AND MINING CORPORATION (EMC)</t>
  </si>
  <si>
    <t>MLR INTERNATIONAL INDUSTRIES SARL</t>
  </si>
  <si>
    <t>ENTREPRISE SIMEC</t>
  </si>
  <si>
    <t xml:space="preserve">ENTREPRISE AMADOU DIALL </t>
  </si>
  <si>
    <t>Annexe 16 –  Détail des paiements des entreprises par flux de paiement</t>
  </si>
  <si>
    <t>Cotisations sociales IPRES</t>
  </si>
  <si>
    <t>Données techniques</t>
  </si>
  <si>
    <t>Cotisations sociales CSS</t>
  </si>
  <si>
    <t>Revenus issus de la commercialisation de la Part de la production de l'État P</t>
  </si>
  <si>
    <t>Appui à la promotion de la recherche et de l'exploitation</t>
  </si>
  <si>
    <t xml:space="preserve">Appui Institutionnel (DEEC) </t>
  </si>
  <si>
    <t>BID PACKAGE LICENSING ROUND</t>
  </si>
  <si>
    <t>Détail de la déclaration Unilatérale de l’Etat</t>
  </si>
  <si>
    <t>Montant en FCFA</t>
  </si>
  <si>
    <t>Montant en Millions de FCFA</t>
  </si>
  <si>
    <t>Régie</t>
  </si>
  <si>
    <t>Affectation</t>
  </si>
  <si>
    <t>Affectation 2</t>
  </si>
  <si>
    <t>Hors Périmètres</t>
  </si>
  <si>
    <t>Trésor</t>
  </si>
  <si>
    <t>Budget</t>
  </si>
  <si>
    <t>Baobab Mining and Chemical Corporation</t>
  </si>
  <si>
    <t>appui institutionnel</t>
  </si>
  <si>
    <t>UEOMA</t>
  </si>
  <si>
    <t>CEDEAO</t>
  </si>
  <si>
    <t>UEMOA</t>
  </si>
  <si>
    <t>Ipres</t>
  </si>
  <si>
    <t>Annexe 18 – Formulaire de déclaration 2020</t>
  </si>
  <si>
    <t>Réf</t>
  </si>
  <si>
    <t>Payé à/reçu par</t>
  </si>
  <si>
    <t>Montant/Volume</t>
  </si>
  <si>
    <t>Montant</t>
  </si>
  <si>
    <t>m3</t>
  </si>
  <si>
    <t>FCFA</t>
  </si>
  <si>
    <t>-</t>
  </si>
  <si>
    <t>USD</t>
  </si>
  <si>
    <t>Redevance minière (y compris la taxe à l’extraction)</t>
  </si>
  <si>
    <t>Droits d'entrée/fixes</t>
  </si>
  <si>
    <t>Bonus (y compris le bonus sur reserve supplémentaire)</t>
  </si>
  <si>
    <t>Bonus</t>
  </si>
  <si>
    <t>Appui à la formation</t>
  </si>
  <si>
    <t>Revenus issus de la commercialisation de la Part de la production de PETROSEN</t>
  </si>
  <si>
    <t>Loyer superficiel</t>
  </si>
  <si>
    <t>PATENTE</t>
  </si>
  <si>
    <t>Appui institutionnel aux collectivités locales</t>
  </si>
  <si>
    <t>Impôt du minimum fiscal</t>
  </si>
  <si>
    <t>Dividendes versés à l'Etat</t>
  </si>
  <si>
    <t>Contribution économique locale (CEL VA et CEL VL)</t>
  </si>
  <si>
    <t>Surtaxe foncière</t>
  </si>
  <si>
    <t>Taxe sur la valeur ajoutée</t>
  </si>
  <si>
    <t>DGD/DGCPT</t>
  </si>
  <si>
    <t>Prélèvement communautaire solidaire UEMOA</t>
  </si>
  <si>
    <t>Prélèvement communautaire CEDEAO</t>
  </si>
  <si>
    <t>Prélèvement pour le Conseil Sénégalais des Chargeurs (COSEC)</t>
  </si>
  <si>
    <t>Taxe d'enregistrement des véhicules</t>
  </si>
  <si>
    <t>Appui Institutionnel (Fonds d'appui au Mini. De l'Env)</t>
  </si>
  <si>
    <t>Cotisations sociales (y compris les pénalités)</t>
  </si>
  <si>
    <t>Autres flux de paiements significatifs (&gt; 25 millions de  FCFA)</t>
  </si>
  <si>
    <t>Tous</t>
  </si>
  <si>
    <t>Total Paiements en numéraire</t>
  </si>
  <si>
    <t xml:space="preserve">Paiements sociaux obligatoires </t>
  </si>
  <si>
    <t xml:space="preserve">Paiements sociaux volontaires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</si>
</sst>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_);\(&quot;&quot;#,##0\);_-* &quot;-&quot;??_-;_-@_-"/>
    <numFmt numFmtId="165" formatCode="#,##0_ ;[Red]\-#,##0\ "/>
    <numFmt numFmtId="166" formatCode="[$-40C]mmm\-yy;@"/>
    <numFmt numFmtId="167" formatCode="_-* #,##0.00\ _€_-;\-* #,##0.00\ _€_-;_-* &quot;-&quot;??\ _€_-;_-@_-"/>
    <numFmt numFmtId="168" formatCode="_-* #,##0\ _€_-;\-* #,##0\ _€_-;_-* &quot;-&quot;??\ _€_-;_-@_-"/>
    <numFmt numFmtId="169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9"/>
      <color theme="1"/>
      <name val="Trebuchet MS"/>
      <family val="2"/>
    </font>
    <font>
      <u/>
      <sz val="11"/>
      <color theme="10"/>
      <name val="Trebuchet MS"/>
      <family val="2"/>
    </font>
    <font>
      <i/>
      <sz val="11"/>
      <color theme="1"/>
      <name val="Trebuchet MS"/>
      <family val="2"/>
    </font>
    <font>
      <sz val="8"/>
      <name val="Calibri Light"/>
      <family val="2"/>
      <scheme val="major"/>
    </font>
    <font>
      <b/>
      <sz val="8"/>
      <name val="Calibri Light"/>
      <family val="2"/>
      <scheme val="major"/>
    </font>
    <font>
      <sz val="8"/>
      <color theme="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b/>
      <sz val="8"/>
      <color rgb="FFFFFFFF"/>
      <name val="Calibri Light"/>
      <family val="2"/>
      <scheme val="major"/>
    </font>
    <font>
      <sz val="11"/>
      <color rgb="FF000000"/>
      <name val="Calibri"/>
      <family val="2"/>
    </font>
    <font>
      <sz val="10"/>
      <name val="Arial"/>
      <family val="2"/>
    </font>
    <font>
      <sz val="8"/>
      <color theme="1"/>
      <name val="Calibri Light"/>
      <family val="2"/>
      <scheme val="major"/>
    </font>
    <font>
      <b/>
      <u/>
      <sz val="8"/>
      <name val="Calibri Light"/>
      <family val="2"/>
      <scheme val="major"/>
    </font>
    <font>
      <b/>
      <u val="singleAccounting"/>
      <sz val="8"/>
      <name val="Calibri Light"/>
      <family val="2"/>
      <scheme val="major"/>
    </font>
    <font>
      <b/>
      <sz val="8"/>
      <color rgb="FFFFFFFF"/>
      <name val="Trebuchet MS"/>
      <family val="2"/>
    </font>
    <font>
      <sz val="8"/>
      <name val="Trebuchet MS"/>
      <family val="2"/>
    </font>
    <font>
      <b/>
      <sz val="9"/>
      <color rgb="FFFFFFFF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9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657C9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9ECE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rgb="FFFF0000"/>
      </bottom>
      <diagonal/>
    </border>
    <border>
      <left/>
      <right/>
      <top style="thin">
        <color theme="0"/>
      </top>
      <bottom style="medium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2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 wrapText="1"/>
    </xf>
    <xf numFmtId="164" fontId="12" fillId="3" borderId="0" xfId="0" applyNumberFormat="1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164" fontId="8" fillId="4" borderId="0" xfId="3" applyNumberFormat="1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64" fontId="8" fillId="0" borderId="0" xfId="3" applyNumberFormat="1" applyFont="1" applyAlignment="1">
      <alignment vertical="center"/>
    </xf>
    <xf numFmtId="0" fontId="9" fillId="5" borderId="0" xfId="0" applyFont="1" applyFill="1" applyAlignment="1">
      <alignment vertical="center"/>
    </xf>
    <xf numFmtId="0" fontId="9" fillId="5" borderId="0" xfId="0" applyFont="1" applyFill="1" applyAlignment="1">
      <alignment vertical="center" wrapText="1"/>
    </xf>
    <xf numFmtId="164" fontId="9" fillId="5" borderId="0" xfId="0" applyNumberFormat="1" applyFont="1" applyFill="1" applyAlignment="1">
      <alignment vertical="center"/>
    </xf>
    <xf numFmtId="165" fontId="8" fillId="4" borderId="0" xfId="4" applyNumberFormat="1" applyFont="1" applyFill="1" applyAlignment="1">
      <alignment horizontal="left" vertical="center" wrapText="1"/>
    </xf>
    <xf numFmtId="165" fontId="8" fillId="0" borderId="0" xfId="4" applyNumberFormat="1" applyFont="1" applyAlignment="1">
      <alignment horizontal="left" vertical="center" wrapText="1"/>
    </xf>
    <xf numFmtId="0" fontId="8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3" fontId="15" fillId="0" borderId="0" xfId="5" applyNumberFormat="1" applyFont="1" applyAlignment="1">
      <alignment horizontal="right" vertical="center"/>
    </xf>
    <xf numFmtId="166" fontId="15" fillId="0" borderId="0" xfId="0" applyNumberFormat="1" applyFont="1"/>
    <xf numFmtId="0" fontId="9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horizontal="right" vertical="center"/>
    </xf>
    <xf numFmtId="164" fontId="17" fillId="6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3" fontId="19" fillId="0" borderId="0" xfId="0" applyNumberFormat="1" applyFont="1" applyAlignment="1">
      <alignment horizontal="right" vertical="center"/>
    </xf>
    <xf numFmtId="165" fontId="19" fillId="4" borderId="0" xfId="4" applyNumberFormat="1" applyFont="1" applyFill="1" applyAlignment="1">
      <alignment horizontal="left" vertical="center"/>
    </xf>
    <xf numFmtId="0" fontId="19" fillId="4" borderId="0" xfId="0" applyFont="1" applyFill="1" applyAlignment="1">
      <alignment horizontal="left" vertical="center"/>
    </xf>
    <xf numFmtId="3" fontId="19" fillId="4" borderId="0" xfId="0" applyNumberFormat="1" applyFont="1" applyFill="1" applyAlignment="1">
      <alignment horizontal="right" vertical="center"/>
    </xf>
    <xf numFmtId="3" fontId="0" fillId="0" borderId="0" xfId="0" applyNumberFormat="1"/>
    <xf numFmtId="0" fontId="20" fillId="2" borderId="4" xfId="0" applyFont="1" applyFill="1" applyBorder="1" applyAlignment="1">
      <alignment horizontal="center" vertical="center"/>
    </xf>
    <xf numFmtId="167" fontId="20" fillId="2" borderId="4" xfId="1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2" fillId="0" borderId="0" xfId="0" applyFont="1"/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left" vertical="center"/>
    </xf>
    <xf numFmtId="3" fontId="23" fillId="4" borderId="0" xfId="0" applyNumberFormat="1" applyFont="1" applyFill="1" applyAlignment="1">
      <alignment horizontal="right" vertical="center"/>
    </xf>
    <xf numFmtId="165" fontId="23" fillId="0" borderId="0" xfId="4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3" fontId="23" fillId="0" borderId="0" xfId="0" applyNumberFormat="1" applyFont="1" applyAlignment="1">
      <alignment horizontal="right" vertical="center"/>
    </xf>
    <xf numFmtId="0" fontId="24" fillId="0" borderId="0" xfId="0" applyFont="1" applyAlignment="1">
      <alignment vertical="center"/>
    </xf>
    <xf numFmtId="0" fontId="25" fillId="0" borderId="0" xfId="0" applyFont="1"/>
    <xf numFmtId="0" fontId="26" fillId="0" borderId="0" xfId="0" applyFont="1"/>
    <xf numFmtId="0" fontId="27" fillId="0" borderId="0" xfId="0" applyFont="1" applyAlignment="1">
      <alignment vertical="center"/>
    </xf>
    <xf numFmtId="0" fontId="28" fillId="2" borderId="4" xfId="0" applyFont="1" applyFill="1" applyBorder="1" applyAlignment="1">
      <alignment horizontal="center" vertical="center"/>
    </xf>
    <xf numFmtId="167" fontId="28" fillId="2" borderId="4" xfId="1" applyFont="1" applyFill="1" applyBorder="1" applyAlignment="1">
      <alignment horizontal="center" vertical="center" wrapText="1"/>
    </xf>
    <xf numFmtId="165" fontId="29" fillId="4" borderId="0" xfId="4" applyNumberFormat="1" applyFont="1" applyFill="1" applyAlignment="1">
      <alignment horizontal="left" vertical="center"/>
    </xf>
    <xf numFmtId="0" fontId="29" fillId="4" borderId="0" xfId="0" applyFont="1" applyFill="1" applyAlignment="1">
      <alignment horizontal="left" vertical="center"/>
    </xf>
    <xf numFmtId="3" fontId="29" fillId="4" borderId="0" xfId="0" applyNumberFormat="1" applyFont="1" applyFill="1" applyAlignment="1">
      <alignment horizontal="right" vertical="center"/>
    </xf>
    <xf numFmtId="0" fontId="29" fillId="0" borderId="0" xfId="0" applyFont="1" applyAlignment="1">
      <alignment horizontal="left" vertical="center"/>
    </xf>
    <xf numFmtId="3" fontId="29" fillId="0" borderId="0" xfId="0" applyNumberFormat="1" applyFont="1" applyAlignment="1">
      <alignment horizontal="right" vertical="center"/>
    </xf>
    <xf numFmtId="0" fontId="28" fillId="2" borderId="2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165" fontId="29" fillId="0" borderId="0" xfId="4" applyNumberFormat="1" applyFont="1" applyAlignment="1">
      <alignment horizontal="left" vertical="center"/>
    </xf>
    <xf numFmtId="167" fontId="29" fillId="0" borderId="0" xfId="1" applyFont="1" applyFill="1" applyBorder="1" applyAlignment="1">
      <alignment vertical="center"/>
    </xf>
    <xf numFmtId="168" fontId="29" fillId="0" borderId="0" xfId="1" applyNumberFormat="1" applyFont="1" applyFill="1" applyBorder="1" applyAlignment="1">
      <alignment vertical="center"/>
    </xf>
    <xf numFmtId="168" fontId="25" fillId="0" borderId="0" xfId="0" applyNumberFormat="1" applyFont="1"/>
    <xf numFmtId="167" fontId="29" fillId="4" borderId="0" xfId="1" applyFont="1" applyFill="1" applyBorder="1" applyAlignment="1">
      <alignment vertical="center"/>
    </xf>
    <xf numFmtId="168" fontId="29" fillId="4" borderId="0" xfId="1" applyNumberFormat="1" applyFont="1" applyFill="1" applyBorder="1" applyAlignment="1">
      <alignment vertical="center"/>
    </xf>
    <xf numFmtId="0" fontId="30" fillId="0" borderId="0" xfId="0" applyFont="1"/>
    <xf numFmtId="0" fontId="31" fillId="7" borderId="6" xfId="0" applyFont="1" applyFill="1" applyBorder="1" applyAlignment="1">
      <alignment horizontal="center" vertical="center" wrapText="1"/>
    </xf>
    <xf numFmtId="0" fontId="31" fillId="7" borderId="7" xfId="0" applyFont="1" applyFill="1" applyBorder="1" applyAlignment="1">
      <alignment horizontal="center" vertical="center" wrapText="1"/>
    </xf>
    <xf numFmtId="0" fontId="31" fillId="8" borderId="8" xfId="0" applyFont="1" applyFill="1" applyBorder="1" applyAlignment="1">
      <alignment horizontal="left" vertical="center"/>
    </xf>
    <xf numFmtId="0" fontId="31" fillId="8" borderId="9" xfId="0" applyFont="1" applyFill="1" applyBorder="1" applyAlignment="1">
      <alignment horizontal="left" vertical="center"/>
    </xf>
    <xf numFmtId="0" fontId="30" fillId="8" borderId="10" xfId="0" applyFont="1" applyFill="1" applyBorder="1" applyAlignment="1">
      <alignment horizontal="center" vertical="center"/>
    </xf>
    <xf numFmtId="169" fontId="31" fillId="8" borderId="10" xfId="0" applyNumberFormat="1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11" xfId="0" applyFont="1" applyBorder="1" applyAlignment="1">
      <alignment horizontal="left" vertical="center"/>
    </xf>
    <xf numFmtId="167" fontId="32" fillId="0" borderId="11" xfId="1" applyFont="1" applyBorder="1" applyAlignment="1">
      <alignment vertical="center"/>
    </xf>
    <xf numFmtId="0" fontId="32" fillId="0" borderId="6" xfId="0" applyFont="1" applyBorder="1" applyAlignment="1">
      <alignment horizontal="center" vertical="center"/>
    </xf>
    <xf numFmtId="0" fontId="32" fillId="0" borderId="6" xfId="0" applyFont="1" applyBorder="1" applyAlignment="1">
      <alignment horizontal="left" vertical="center"/>
    </xf>
    <xf numFmtId="0" fontId="31" fillId="7" borderId="12" xfId="0" applyFont="1" applyFill="1" applyBorder="1" applyAlignment="1">
      <alignment horizontal="center" vertical="center" wrapText="1"/>
    </xf>
    <xf numFmtId="0" fontId="31" fillId="8" borderId="13" xfId="0" applyFont="1" applyFill="1" applyBorder="1" applyAlignment="1">
      <alignment horizontal="left" vertical="center"/>
    </xf>
    <xf numFmtId="0" fontId="32" fillId="0" borderId="14" xfId="0" applyFont="1" applyBorder="1" applyAlignment="1">
      <alignment horizontal="center" vertical="center"/>
    </xf>
    <xf numFmtId="0" fontId="32" fillId="0" borderId="14" xfId="0" applyFont="1" applyBorder="1" applyAlignment="1">
      <alignment horizontal="left" vertical="center"/>
    </xf>
    <xf numFmtId="0" fontId="32" fillId="9" borderId="6" xfId="0" applyFont="1" applyFill="1" applyBorder="1" applyAlignment="1">
      <alignment horizontal="center" vertical="center"/>
    </xf>
    <xf numFmtId="0" fontId="32" fillId="9" borderId="6" xfId="0" applyFont="1" applyFill="1" applyBorder="1" applyAlignment="1">
      <alignment horizontal="left" vertical="center"/>
    </xf>
    <xf numFmtId="0" fontId="31" fillId="7" borderId="15" xfId="0" applyFont="1" applyFill="1" applyBorder="1" applyAlignment="1">
      <alignment horizontal="center" vertical="center" wrapText="1"/>
    </xf>
    <xf numFmtId="0" fontId="31" fillId="7" borderId="13" xfId="0" applyFont="1" applyFill="1" applyBorder="1" applyAlignment="1">
      <alignment horizontal="center" vertical="center" wrapText="1"/>
    </xf>
    <xf numFmtId="0" fontId="31" fillId="7" borderId="10" xfId="0" applyFont="1" applyFill="1" applyBorder="1" applyAlignment="1">
      <alignment horizontal="center" vertical="center" wrapText="1"/>
    </xf>
    <xf numFmtId="0" fontId="32" fillId="9" borderId="11" xfId="0" applyFont="1" applyFill="1" applyBorder="1" applyAlignment="1">
      <alignment horizontal="center" vertical="center"/>
    </xf>
    <xf numFmtId="0" fontId="32" fillId="9" borderId="11" xfId="0" applyFont="1" applyFill="1" applyBorder="1" applyAlignment="1">
      <alignment horizontal="left" vertical="center"/>
    </xf>
    <xf numFmtId="0" fontId="32" fillId="9" borderId="14" xfId="0" applyFont="1" applyFill="1" applyBorder="1" applyAlignment="1">
      <alignment horizontal="center" vertical="center"/>
    </xf>
    <xf numFmtId="0" fontId="32" fillId="9" borderId="14" xfId="0" applyFont="1" applyFill="1" applyBorder="1" applyAlignment="1">
      <alignment horizontal="left" vertical="center" wrapText="1"/>
    </xf>
    <xf numFmtId="0" fontId="32" fillId="9" borderId="14" xfId="0" applyFont="1" applyFill="1" applyBorder="1" applyAlignment="1">
      <alignment horizontal="left" vertical="center"/>
    </xf>
    <xf numFmtId="0" fontId="32" fillId="9" borderId="12" xfId="0" applyFont="1" applyFill="1" applyBorder="1" applyAlignment="1">
      <alignment horizontal="left" vertical="center"/>
    </xf>
    <xf numFmtId="0" fontId="32" fillId="0" borderId="12" xfId="0" applyFont="1" applyBorder="1" applyAlignment="1">
      <alignment horizontal="center" vertical="center"/>
    </xf>
    <xf numFmtId="0" fontId="32" fillId="9" borderId="16" xfId="0" applyFont="1" applyFill="1" applyBorder="1" applyAlignment="1">
      <alignment horizontal="left" vertical="center"/>
    </xf>
    <xf numFmtId="0" fontId="31" fillId="7" borderId="17" xfId="0" applyFont="1" applyFill="1" applyBorder="1" applyAlignment="1">
      <alignment horizontal="center" vertical="center" wrapText="1"/>
    </xf>
    <xf numFmtId="0" fontId="32" fillId="9" borderId="18" xfId="0" applyFont="1" applyFill="1" applyBorder="1" applyAlignment="1">
      <alignment horizontal="left" vertical="center"/>
    </xf>
    <xf numFmtId="0" fontId="32" fillId="0" borderId="19" xfId="0" applyFont="1" applyBorder="1" applyAlignment="1">
      <alignment horizontal="center" vertical="center"/>
    </xf>
    <xf numFmtId="0" fontId="32" fillId="0" borderId="12" xfId="0" applyFont="1" applyBorder="1" applyAlignment="1">
      <alignment horizontal="left" vertical="center"/>
    </xf>
    <xf numFmtId="0" fontId="32" fillId="9" borderId="17" xfId="0" applyFont="1" applyFill="1" applyBorder="1" applyAlignment="1">
      <alignment horizontal="left" vertical="center"/>
    </xf>
    <xf numFmtId="0" fontId="33" fillId="7" borderId="11" xfId="0" applyFont="1" applyFill="1" applyBorder="1" applyAlignment="1">
      <alignment horizontal="center" vertical="center"/>
    </xf>
    <xf numFmtId="0" fontId="31" fillId="7" borderId="7" xfId="0" applyFont="1" applyFill="1" applyBorder="1" applyAlignment="1">
      <alignment horizontal="center" vertical="center"/>
    </xf>
    <xf numFmtId="169" fontId="31" fillId="7" borderId="11" xfId="0" applyNumberFormat="1" applyFont="1" applyFill="1" applyBorder="1" applyAlignment="1">
      <alignment vertical="center"/>
    </xf>
  </cellXfs>
  <cellStyles count="6">
    <cellStyle name="Lien hypertexte" xfId="2" builtinId="8"/>
    <cellStyle name="Milliers" xfId="1" builtinId="3"/>
    <cellStyle name="Normal" xfId="0" builtinId="0"/>
    <cellStyle name="Normal 2" xfId="5" xr:uid="{20679DE1-B75E-4ECF-9A55-145AB875259E}"/>
    <cellStyle name="Normal 2 5" xfId="4" xr:uid="{68912EAC-A51F-443B-B337-B6CEFAD6314E}"/>
    <cellStyle name="Normal 5" xfId="3" xr:uid="{BF35110A-6853-479F-8F12-BC0E85F9A2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586591ac1fcef3e/02.%20Worls%202021/04-%20BDO_Consulting/02-%20ITIE%20S&#233;n&#233;gal/03-%20Travaux/05-%20Final/04-%20Rapport%20apr&#232;s%20commentaires%20CN/05.Pr&#233;final%20rapport/Database_ITIE%20S&#233;n&#233;gal_2019_%20(Pr&#233;-finale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586591ac1fcef3e/02.%20Worls%202021/04-%20BDO_Consulting/02-%20ITIE%20S&#233;n&#233;gal/03-%20Travaux/02-%20DataBase/Database_ITIE%20S&#233;n&#233;gal_2021_31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ies"/>
      <sheetName val="Follow-up"/>
      <sheetName val="Taxes"/>
      <sheetName val="Govt Ag"/>
      <sheetName val="Lists"/>
      <sheetName val="Cours"/>
      <sheetName val="C (1)"/>
      <sheetName val="Minerals &amp; Products"/>
      <sheetName val="Companies info"/>
      <sheetName val="Profil des société"/>
      <sheetName val="Paiements Sociaux"/>
      <sheetName val="Tableau des effectifs"/>
      <sheetName val="Audit "/>
      <sheetName val="Production"/>
      <sheetName val="Exportation"/>
      <sheetName val="Mail"/>
      <sheetName val="Titre Minier"/>
      <sheetName val="C (2)"/>
      <sheetName val="Sheet1"/>
      <sheetName val="C (3)"/>
      <sheetName val="C (4)"/>
      <sheetName val="C (5)"/>
      <sheetName val="C (6)"/>
      <sheetName val="C (7)"/>
      <sheetName val="C (8)"/>
      <sheetName val="C (9)"/>
      <sheetName val="C (10)"/>
      <sheetName val="c"/>
      <sheetName val="cv"/>
      <sheetName val="C (11)"/>
      <sheetName val="C (12)"/>
      <sheetName val="C (13)"/>
      <sheetName val="ccc"/>
      <sheetName val="C (14)"/>
      <sheetName val="C (15)"/>
      <sheetName val="C (16)"/>
      <sheetName val="C (17)"/>
      <sheetName val="C (18)"/>
      <sheetName val="C (19)"/>
      <sheetName val="C (20) nat"/>
      <sheetName val="C (20)"/>
      <sheetName val="C (21)"/>
      <sheetName val="C (22)"/>
      <sheetName val="C (23)"/>
      <sheetName val="C (24)"/>
      <sheetName val="C (25)"/>
      <sheetName val="C (26)"/>
      <sheetName val="Section 1-1"/>
      <sheetName val="Paiement Sociaux"/>
      <sheetName val="Tableau 4"/>
      <sheetName val="Annex 9 2018 (2)"/>
      <sheetName val="5.3"/>
      <sheetName val="5.4"/>
      <sheetName val="Section 1"/>
      <sheetName val="6.1.1"/>
      <sheetName val="6.1.2 Pétrolier"/>
      <sheetName val="6.1.2 minier"/>
      <sheetName val="6.2"/>
      <sheetName val="6.1.3"/>
      <sheetName val="6.4"/>
      <sheetName val="Results All (In cash)"/>
      <sheetName val="Results All (In Kind)"/>
      <sheetName val="difference end breakdown all"/>
      <sheetName val="Reporting by tax All (Cash)"/>
      <sheetName val="Reporting by Comp All (Cash)"/>
      <sheetName val="Reporting by tax kind (Pétrole)"/>
      <sheetName val="Feuil2"/>
      <sheetName val="Reporting byComp kind (Pétrole)"/>
      <sheetName val="Reporting by Comp cash(Pétrole)"/>
      <sheetName val="Reporting by tax cash (Pétrole)"/>
      <sheetName val="Reporting by Comp (Mines)"/>
      <sheetName val="Reporting by tax (Mines)"/>
      <sheetName val="Total Ajust (2)"/>
      <sheetName val="Total Ajust"/>
      <sheetName val="Ajust par Comp (C)"/>
      <sheetName val="Ajust par Taxe (C)"/>
      <sheetName val="Ajust par Comp (Gov)"/>
      <sheetName val="Ajust par Taxe (Gov)"/>
      <sheetName val="Results Pétrole"/>
      <sheetName val="Results Mine"/>
      <sheetName val="Secteur Extractif"/>
      <sheetName val="Paiement 2012"/>
      <sheetName val="Secteur Extractif en Million"/>
      <sheetName val="Reporting by Comp Mandat"/>
      <sheetName val="COTCO"/>
      <sheetName val="Contextuel"/>
      <sheetName val="Production Rapport"/>
      <sheetName val="Paiement Sociaux (Rapp)"/>
      <sheetName val="Transferts Infra"/>
      <sheetName val="Contextual"/>
      <sheetName val="Etat permis d'exploitation"/>
      <sheetName val="Etat permis de recherche"/>
      <sheetName val="Unrec diff Tax vs Comp"/>
      <sheetName val="Unrec diff Comp"/>
      <sheetName val="Unrec diff Tax"/>
      <sheetName val="Annexes 1-2"/>
      <sheetName val="Annexes 3-4"/>
      <sheetName val="Annexes 5-6"/>
      <sheetName val="Annexes Fsseurs"/>
      <sheetName val="Annexes 7-8"/>
      <sheetName val="Feuil1"/>
      <sheetName val="Annexe 9 2017"/>
      <sheetName val="Déclaration unilatérale"/>
      <sheetName val="Annexe 10"/>
      <sheetName val="Section 1,1"/>
      <sheetName val="Budget de l'ETAT "/>
      <sheetName val="Annexe 10 (2)"/>
      <sheetName val="Annexes 11-12"/>
      <sheetName val="Annexe 14"/>
      <sheetName val="Annexe 15"/>
      <sheetName val="Annexe 17"/>
      <sheetName val="Annexe 18"/>
      <sheetName val="Octroi"/>
      <sheetName val="Annexes parties 6"/>
      <sheetName val="Unrec diff Comp vs Tax"/>
      <sheetName val="Nbr Comp per activity"/>
      <sheetName val="Recommendations"/>
      <sheetName val="Recomm"/>
      <sheetName val="News"/>
    </sheetNames>
    <sheetDataSet>
      <sheetData sheetId="0"/>
      <sheetData sheetId="1"/>
      <sheetData sheetId="2"/>
      <sheetData sheetId="3"/>
      <sheetData sheetId="4">
        <row r="7">
          <cell r="A7" t="str">
            <v xml:space="preserve">1- Part de la production de l'État (Profit Oil État) </v>
          </cell>
        </row>
        <row r="8">
          <cell r="A8" t="str">
            <v xml:space="preserve">2- Part de la production de PETROSEN (Profit Oil - Cost Oil PETROSEN) </v>
          </cell>
        </row>
        <row r="9">
          <cell r="A9" t="str">
            <v xml:space="preserve">3- Redevance minière </v>
          </cell>
        </row>
        <row r="10">
          <cell r="A10" t="str">
            <v>4- Appui institutionnel</v>
          </cell>
        </row>
        <row r="11">
          <cell r="A11" t="str">
            <v>5- Droits d'entrée fixes</v>
          </cell>
        </row>
        <row r="12">
          <cell r="A12" t="str">
            <v>6- Bonus (DMG)</v>
          </cell>
        </row>
        <row r="13">
          <cell r="A13" t="str">
            <v>7- Redevance superficiaire</v>
          </cell>
        </row>
        <row r="14">
          <cell r="A14" t="str">
            <v>8- Bonus (PETROSEN)</v>
          </cell>
        </row>
        <row r="15">
          <cell r="A15" t="str">
            <v xml:space="preserve">9- Appui à la formation </v>
          </cell>
        </row>
        <row r="16">
          <cell r="A16" t="str">
            <v>10- Appui à l'équipement</v>
          </cell>
        </row>
        <row r="17">
          <cell r="A17" t="str">
            <v xml:space="preserve">11- Revenus issus de la commercialisation de la Part de la production de l'État </v>
          </cell>
        </row>
        <row r="18">
          <cell r="A18" t="str">
            <v xml:space="preserve">12- Loyer superficiaire </v>
          </cell>
        </row>
        <row r="19">
          <cell r="A19" t="str">
            <v>13- Pénalités versées à PETROSEN</v>
          </cell>
        </row>
        <row r="20">
          <cell r="A20" t="str">
            <v>14- Redevance</v>
          </cell>
        </row>
        <row r="21">
          <cell r="A21" t="str">
            <v>15- Achat de données sismiques</v>
          </cell>
        </row>
        <row r="22">
          <cell r="A22" t="str">
            <v xml:space="preserve">16- Revenus issus de la commercialisation de la Part de la production de l'État </v>
          </cell>
        </row>
        <row r="23">
          <cell r="A23" t="str">
            <v>17- Patente</v>
          </cell>
        </row>
        <row r="24">
          <cell r="A24" t="str">
            <v>18- Contribution foncière des propriétés bâties (CFPB)</v>
          </cell>
        </row>
        <row r="25">
          <cell r="A25" t="str">
            <v>19- Contribution foncière des propriétés non bâties (CFPNB)</v>
          </cell>
        </row>
        <row r="26">
          <cell r="A26" t="str">
            <v xml:space="preserve">20- Appui institutionnel aux collectivités locales </v>
          </cell>
        </row>
        <row r="27">
          <cell r="A27" t="str">
            <v xml:space="preserve">21- Impôt du minimum fiscal </v>
          </cell>
        </row>
        <row r="28">
          <cell r="A28" t="str">
            <v xml:space="preserve">22- Dividendes versés à l'Etat </v>
          </cell>
        </row>
        <row r="29">
          <cell r="A29" t="str">
            <v>23- Frais d'inscription d'une concession minière ou d'un permis d'exploitation</v>
          </cell>
        </row>
        <row r="30">
          <cell r="A30" t="str">
            <v>24- Bonus (DGCPT)</v>
          </cell>
        </row>
        <row r="31">
          <cell r="A31" t="str">
            <v xml:space="preserve">25- Contribution économique locale (CEL VA et CEL VL) </v>
          </cell>
        </row>
        <row r="32">
          <cell r="A32" t="str">
            <v>26- Taxe sur la valeur ajoutée reversée</v>
          </cell>
        </row>
        <row r="33">
          <cell r="A33" t="str">
            <v>27- Retenues à la source sur salaires (IR, TRIMF et CFCE)</v>
          </cell>
        </row>
        <row r="34">
          <cell r="A34" t="str">
            <v>28- Redressements fiscaux</v>
          </cell>
        </row>
        <row r="35">
          <cell r="A35" t="str">
            <v>29 - (a)- Impôt sur les sociétés</v>
          </cell>
        </row>
        <row r="36">
          <cell r="A36" t="str">
            <v>29 - (b)- Impôt sur les sociétés (bénéfices non pétroliers/miniers )</v>
          </cell>
        </row>
        <row r="37">
          <cell r="A37" t="str">
            <v>30- Retenues à la source sur bénéfice non commercial</v>
          </cell>
        </row>
        <row r="38">
          <cell r="A38" t="str">
            <v>31- Contribution spéciale sur les produits des mines et des carrières (CSMC)</v>
          </cell>
        </row>
        <row r="39">
          <cell r="A39" t="str">
            <v>32- Retenue à la source sur sommes versées à des tiers</v>
          </cell>
        </row>
        <row r="40">
          <cell r="A40" t="str">
            <v>33- Taxe sur la valeur ajoutée précomptée</v>
          </cell>
        </row>
        <row r="41">
          <cell r="A41" t="str">
            <v>34- Impôt minimum forfaitaire</v>
          </cell>
        </row>
        <row r="42">
          <cell r="A42" t="str">
            <v>35- Bonus (DGID)</v>
          </cell>
        </row>
        <row r="43">
          <cell r="A43" t="str">
            <v xml:space="preserve">36- Surtaxe foncière </v>
          </cell>
        </row>
        <row r="44">
          <cell r="A44" t="str">
            <v>37- Impôt sur le revenu des valeurs mobilières</v>
          </cell>
        </row>
        <row r="45">
          <cell r="A45" t="str">
            <v>38- Taxe spéciale sur le ciment</v>
          </cell>
        </row>
        <row r="46">
          <cell r="A46" t="str">
            <v xml:space="preserve">39- Frais d'inscription d'une concession minière ou d'un permis d'exploitation </v>
          </cell>
        </row>
        <row r="47">
          <cell r="A47" t="str">
            <v xml:space="preserve">40- Taxe sur la valeur ajoutée </v>
          </cell>
        </row>
        <row r="48">
          <cell r="A48" t="str">
            <v xml:space="preserve">41- Prélèvement communautaire solidaire UEMOA </v>
          </cell>
        </row>
        <row r="49">
          <cell r="A49" t="str">
            <v>42- Redevance statistique UEMOA</v>
          </cell>
        </row>
        <row r="71">
          <cell r="A71" t="str">
            <v>Taxes payées non reportées</v>
          </cell>
        </row>
        <row r="72">
          <cell r="A72" t="str">
            <v>Taxes payées hors période de réconciliation</v>
          </cell>
        </row>
        <row r="73">
          <cell r="A73" t="str">
            <v>Taxes hors périmètre de réconciliation</v>
          </cell>
        </row>
        <row r="74">
          <cell r="A74" t="str">
            <v>Erreur de reporting (montant et détail)</v>
          </cell>
        </row>
        <row r="75">
          <cell r="A75" t="str">
            <v>Taxes reportées non payées</v>
          </cell>
        </row>
        <row r="76">
          <cell r="A76" t="str">
            <v>Montant doublement déclaré</v>
          </cell>
        </row>
        <row r="77">
          <cell r="A77" t="str">
            <v>Erreur de classification</v>
          </cell>
        </row>
        <row r="78">
          <cell r="A78" t="str">
            <v>Taxes payées sous un autre UFI</v>
          </cell>
        </row>
        <row r="79">
          <cell r="A79" t="str">
            <v>Différence de change</v>
          </cell>
        </row>
        <row r="83">
          <cell r="A83" t="str">
            <v>Taxes perçues non reportées par l'Etat</v>
          </cell>
        </row>
        <row r="84">
          <cell r="A84" t="str">
            <v>Montant doublement déclaré</v>
          </cell>
        </row>
        <row r="85">
          <cell r="A85" t="str">
            <v>Taxes perçues hors de la période de réconciliation</v>
          </cell>
        </row>
        <row r="86">
          <cell r="A86" t="str">
            <v>Erreur de reporting (montant et détail)</v>
          </cell>
        </row>
        <row r="87">
          <cell r="A87" t="str">
            <v>Taxe reportée par l'Etat non réellement encaissée</v>
          </cell>
        </row>
        <row r="88">
          <cell r="A88" t="str">
            <v>Erreur de classification</v>
          </cell>
        </row>
        <row r="89">
          <cell r="A89" t="str">
            <v>Taxes payées par la Ste sur un autre IFU non reporté par l'Etat</v>
          </cell>
        </row>
        <row r="90">
          <cell r="A90" t="str">
            <v>Taxes hors périmètre de réconciliation</v>
          </cell>
        </row>
        <row r="94">
          <cell r="A94" t="str">
            <v>FD non soumis par la Société</v>
          </cell>
        </row>
        <row r="95">
          <cell r="A95" t="str">
            <v>FD non soumis par l'Etat</v>
          </cell>
        </row>
        <row r="96">
          <cell r="A96" t="str">
            <v>Différences provenant de détail soumis par la société et non soumis par l'Etat d'un coté et détail soumis pas l'Etat et non soumis par la société de l'autre coté</v>
          </cell>
        </row>
        <row r="97">
          <cell r="A97" t="str">
            <v>Supporting documents do not match Govt Body report</v>
          </cell>
        </row>
        <row r="98">
          <cell r="A98" t="str">
            <v xml:space="preserve">Détail par quittance non soumis par l'Entreprise Extractive </v>
          </cell>
        </row>
        <row r="99">
          <cell r="A99" t="str">
            <v>Détail non soumis par l'Etat</v>
          </cell>
        </row>
        <row r="100">
          <cell r="A100" t="str">
            <v>Taxes non reportées par l'Entreprise Extractive</v>
          </cell>
        </row>
        <row r="101">
          <cell r="A101" t="str">
            <v>Taxes non reportées par l'Etat</v>
          </cell>
        </row>
        <row r="102">
          <cell r="A102" t="str">
            <v>Montants non reportés par l'Etat</v>
          </cell>
        </row>
        <row r="103">
          <cell r="A103" t="str">
            <v>Différence de classification</v>
          </cell>
        </row>
        <row r="104">
          <cell r="A104" t="str">
            <v>Montants non reportés par la société</v>
          </cell>
        </row>
        <row r="105">
          <cell r="A105" t="str">
            <v>Non significatif &lt; 500 000 FCFA</v>
          </cell>
        </row>
      </sheetData>
      <sheetData sheetId="5">
        <row r="4">
          <cell r="E4">
            <v>585.96749999999997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ies"/>
      <sheetName val="Follow-up"/>
      <sheetName val="Taxes"/>
      <sheetName val="Lists"/>
      <sheetName val="Cours"/>
      <sheetName val="C (1)"/>
      <sheetName val="Production"/>
      <sheetName val="Exportation"/>
      <sheetName val="C (2)"/>
      <sheetName val="C (3)"/>
      <sheetName val="C (4)"/>
      <sheetName val="C (5)"/>
      <sheetName val="C (6)"/>
      <sheetName val="C (7)"/>
      <sheetName val="C (8)"/>
      <sheetName val="C (9)"/>
      <sheetName val="C (10)"/>
      <sheetName val="cv"/>
      <sheetName val="C (11)"/>
      <sheetName val="C (12)"/>
      <sheetName val="C (13)"/>
      <sheetName val="C (14)"/>
      <sheetName val="C (15)"/>
      <sheetName val="C (16)"/>
      <sheetName val="C (17)"/>
      <sheetName val="C (18)"/>
      <sheetName val="C (19)"/>
      <sheetName val="C (20)"/>
      <sheetName val="C (21)"/>
      <sheetName val="C (22)"/>
      <sheetName val="C (23)"/>
      <sheetName val="C (24)"/>
      <sheetName val="C (25)"/>
      <sheetName val="C (26)"/>
      <sheetName val="Results All (In cash)"/>
      <sheetName val="Results All (In Kind)"/>
      <sheetName val="difference end breakdown all"/>
      <sheetName val="Reporting by tax All (Cash)"/>
      <sheetName val="Reporting by Comp All (Cash)"/>
      <sheetName val="Reporting by tax kind (Pétrole)"/>
      <sheetName val="Reporting byComp kind (Pétrole)"/>
      <sheetName val="Reporting by Comp cash(Pétrole)"/>
      <sheetName val="Reporting by tax cash (Pétrole)"/>
      <sheetName val="Reporting by Comp (Mines)"/>
      <sheetName val="Reporting by tax (Mines)"/>
      <sheetName val="Total Ajust"/>
      <sheetName val="Ajust par Comp (C)"/>
      <sheetName val="Ajust par Taxe (C)"/>
      <sheetName val="Ajust par Comp (Gov)"/>
      <sheetName val="Ajust par Taxe (Gov)"/>
      <sheetName val="Unrec diff Comp"/>
      <sheetName val="Unrec diff Tax"/>
      <sheetName val="Déclaration unilatérale"/>
      <sheetName val="Budget de l'ETAT "/>
      <sheetName val="Octroi"/>
      <sheetName val="Unrec diff Tax vs Comp"/>
      <sheetName val="Unrec diff Comp vs Tax"/>
    </sheetNames>
    <sheetDataSet>
      <sheetData sheetId="0"/>
      <sheetData sheetId="1"/>
      <sheetData sheetId="2">
        <row r="19">
          <cell r="A19">
            <v>16</v>
          </cell>
          <cell r="B19" t="str">
            <v>Achat de données sismiques</v>
          </cell>
        </row>
        <row r="47">
          <cell r="A47">
            <v>42</v>
          </cell>
          <cell r="B47" t="str">
            <v>Taxe sur le ciment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FB20-DBD4-43B1-A23D-B521715657D7}">
  <dimension ref="B2:C29"/>
  <sheetViews>
    <sheetView showGridLines="0" tabSelected="1" zoomScale="80" zoomScaleNormal="80" workbookViewId="0">
      <selection activeCell="I12" sqref="I12"/>
    </sheetView>
  </sheetViews>
  <sheetFormatPr baseColWidth="10" defaultColWidth="12.453125" defaultRowHeight="14.5" x14ac:dyDescent="0.35"/>
  <cols>
    <col min="1" max="1" width="7" style="2" customWidth="1"/>
    <col min="2" max="2" width="19.7265625" style="2" customWidth="1"/>
    <col min="3" max="16384" width="12.453125" style="2"/>
  </cols>
  <sheetData>
    <row r="2" spans="2:3" ht="19" x14ac:dyDescent="0.45">
      <c r="B2" s="1" t="s">
        <v>0</v>
      </c>
    </row>
    <row r="3" spans="2:3" x14ac:dyDescent="0.35">
      <c r="B3" s="3"/>
    </row>
    <row r="4" spans="2:3" x14ac:dyDescent="0.35">
      <c r="B4" s="4" t="s">
        <v>1</v>
      </c>
      <c r="C4" s="5" t="s">
        <v>2</v>
      </c>
    </row>
    <row r="5" spans="2:3" x14ac:dyDescent="0.35">
      <c r="B5" s="4" t="s">
        <v>3</v>
      </c>
      <c r="C5" s="5" t="s">
        <v>4</v>
      </c>
    </row>
    <row r="6" spans="2:3" x14ac:dyDescent="0.35">
      <c r="B6" s="4" t="s">
        <v>5</v>
      </c>
      <c r="C6" s="5" t="s">
        <v>6</v>
      </c>
    </row>
    <row r="7" spans="2:3" x14ac:dyDescent="0.35">
      <c r="B7" s="4" t="s">
        <v>7</v>
      </c>
      <c r="C7" s="5" t="s">
        <v>8</v>
      </c>
    </row>
    <row r="8" spans="2:3" x14ac:dyDescent="0.35">
      <c r="B8" s="4" t="s">
        <v>9</v>
      </c>
      <c r="C8" s="5" t="s">
        <v>10</v>
      </c>
    </row>
    <row r="9" spans="2:3" x14ac:dyDescent="0.35">
      <c r="B9" s="4" t="s">
        <v>11</v>
      </c>
      <c r="C9" s="5" t="s">
        <v>12</v>
      </c>
    </row>
    <row r="10" spans="2:3" x14ac:dyDescent="0.35">
      <c r="B10" s="4" t="s">
        <v>13</v>
      </c>
      <c r="C10" s="5" t="s">
        <v>14</v>
      </c>
    </row>
    <row r="11" spans="2:3" x14ac:dyDescent="0.35">
      <c r="B11" s="4" t="s">
        <v>15</v>
      </c>
      <c r="C11" s="5" t="s">
        <v>16</v>
      </c>
    </row>
    <row r="12" spans="2:3" x14ac:dyDescent="0.35">
      <c r="B12" s="4" t="s">
        <v>17</v>
      </c>
      <c r="C12" s="5" t="s">
        <v>18</v>
      </c>
    </row>
    <row r="13" spans="2:3" x14ac:dyDescent="0.35">
      <c r="B13" s="4" t="s">
        <v>19</v>
      </c>
      <c r="C13" s="5" t="s">
        <v>20</v>
      </c>
    </row>
    <row r="14" spans="2:3" x14ac:dyDescent="0.35">
      <c r="B14" s="4" t="s">
        <v>21</v>
      </c>
      <c r="C14" s="5" t="s">
        <v>22</v>
      </c>
    </row>
    <row r="15" spans="2:3" x14ac:dyDescent="0.35">
      <c r="B15" s="4" t="s">
        <v>23</v>
      </c>
      <c r="C15" s="5" t="s">
        <v>24</v>
      </c>
    </row>
    <row r="16" spans="2:3" x14ac:dyDescent="0.35">
      <c r="B16" s="4" t="s">
        <v>25</v>
      </c>
      <c r="C16" s="5" t="s">
        <v>26</v>
      </c>
    </row>
    <row r="17" spans="2:3" x14ac:dyDescent="0.35">
      <c r="B17" s="4" t="s">
        <v>27</v>
      </c>
      <c r="C17" s="5" t="s">
        <v>28</v>
      </c>
    </row>
    <row r="18" spans="2:3" x14ac:dyDescent="0.35">
      <c r="B18" s="4" t="s">
        <v>29</v>
      </c>
      <c r="C18" s="5" t="s">
        <v>30</v>
      </c>
    </row>
    <row r="19" spans="2:3" x14ac:dyDescent="0.35">
      <c r="B19" s="4" t="s">
        <v>31</v>
      </c>
      <c r="C19" s="5" t="s">
        <v>32</v>
      </c>
    </row>
    <row r="20" spans="2:3" x14ac:dyDescent="0.35">
      <c r="B20" s="4" t="s">
        <v>33</v>
      </c>
      <c r="C20" s="5" t="s">
        <v>34</v>
      </c>
    </row>
    <row r="21" spans="2:3" x14ac:dyDescent="0.35">
      <c r="B21" s="4" t="s">
        <v>35</v>
      </c>
      <c r="C21" s="5" t="s">
        <v>36</v>
      </c>
    </row>
    <row r="22" spans="2:3" x14ac:dyDescent="0.35">
      <c r="B22" s="4" t="s">
        <v>37</v>
      </c>
      <c r="C22" s="5" t="s">
        <v>38</v>
      </c>
    </row>
    <row r="23" spans="2:3" x14ac:dyDescent="0.35">
      <c r="B23" s="4" t="s">
        <v>39</v>
      </c>
      <c r="C23" s="5" t="s">
        <v>40</v>
      </c>
    </row>
    <row r="24" spans="2:3" x14ac:dyDescent="0.35">
      <c r="B24" s="4" t="s">
        <v>41</v>
      </c>
      <c r="C24" s="5" t="s">
        <v>42</v>
      </c>
    </row>
    <row r="25" spans="2:3" x14ac:dyDescent="0.35">
      <c r="B25" s="4" t="s">
        <v>43</v>
      </c>
      <c r="C25" s="5" t="s">
        <v>44</v>
      </c>
    </row>
    <row r="26" spans="2:3" x14ac:dyDescent="0.35">
      <c r="B26" s="4" t="s">
        <v>45</v>
      </c>
      <c r="C26" s="5" t="s">
        <v>46</v>
      </c>
    </row>
    <row r="27" spans="2:3" x14ac:dyDescent="0.35">
      <c r="B27" s="4" t="s">
        <v>47</v>
      </c>
      <c r="C27" s="5" t="s">
        <v>48</v>
      </c>
    </row>
    <row r="28" spans="2:3" x14ac:dyDescent="0.35">
      <c r="B28" s="4" t="s">
        <v>49</v>
      </c>
      <c r="C28" s="5" t="s">
        <v>50</v>
      </c>
    </row>
    <row r="29" spans="2:3" x14ac:dyDescent="0.35">
      <c r="B29" s="4" t="s">
        <v>51</v>
      </c>
      <c r="C29" s="5" t="s">
        <v>52</v>
      </c>
    </row>
  </sheetData>
  <hyperlinks>
    <hyperlink ref="B4" location="'Annexe 12-(1)'!A1" display="Annexe 12-(1)" xr:uid="{E6A2E7B5-306B-42BF-8BBA-10C037C32DB5}"/>
    <hyperlink ref="B5" location="'Annexe 12-(2)'!A1" display="Annexe 12-(2)" xr:uid="{97049AFC-F46B-472B-9376-4512DA6C4A5D}"/>
    <hyperlink ref="B6" location="'Annexe 12-(3)'!A1" display="Annexe 12-(3)" xr:uid="{F4E4F64C-D098-407F-929F-6F216CF804D6}"/>
    <hyperlink ref="B7" location="'Annexe 12-(4)'!A1" display="Annexe 12-(4)" xr:uid="{4F3D0DA5-92EE-4895-B099-998E461C9BFA}"/>
    <hyperlink ref="B8" location="'Annexe 12-(5)'!A1" display="Annexe 12-(5)" xr:uid="{71B1F7F9-1707-418E-A24A-03C969EA1E6A}"/>
    <hyperlink ref="B9" location="'Annexe 12-(6)'!A1" display="Annexe 12-(6)" xr:uid="{E73B8831-CC8A-470D-989A-7EB5039CFD08}"/>
    <hyperlink ref="B10" location="'Annexe 12-(7)'!A1" display="Annexe 12-(7)" xr:uid="{17B6AFC2-3D56-4CF4-9660-90D992CFE292}"/>
    <hyperlink ref="B11" location="'Annexe 12-(8)'!A1" display="Annexe 12-(8)" xr:uid="{582747D8-3BEC-4237-B815-035E4642E79A}"/>
    <hyperlink ref="B12" location="'Annexe 12-(9)'!A1" display="Annexe 12-(9)" xr:uid="{4D152B55-D387-4652-881F-41689C48B3E7}"/>
    <hyperlink ref="B13" location="'Annexe 12-(10)'!A1" display="Annexe 12-(10)" xr:uid="{E814F334-413C-4902-9529-BB5D35D78171}"/>
    <hyperlink ref="B14" location="'Annexe 12-(11)'!A1" display="Annexe 12-(11)" xr:uid="{80F863A0-251B-4BD3-AFA2-5BDA0FAB654F}"/>
    <hyperlink ref="B15" location="'Annexe 12-(12)'!A1" display="Annexe 12-(12)" xr:uid="{CAC25C81-3E88-457C-AEA3-7B8E787F1F30}"/>
    <hyperlink ref="B16" location="'Annexe 12-(13)'!A1" display="Annexe 12-(13)" xr:uid="{05FC190C-9336-4606-AC8A-3830707708F1}"/>
    <hyperlink ref="B17" location="'Annexe 12-(14)'!A1" display="Annexe 12-(14)" xr:uid="{B83EE241-48D9-43A1-AEBB-37BF2CC95225}"/>
    <hyperlink ref="B18" location="'Annexe 12-(15)'!A1" display="Annexe 12-(15)" xr:uid="{5714F274-4B9E-4EE8-B684-19D6EBD513F3}"/>
    <hyperlink ref="B19" location="'Annexe 12-(16)'!A1" display="Annexe 12-(16)" xr:uid="{E0D25706-F7E7-471B-A277-36967D311927}"/>
    <hyperlink ref="B20" location="'Annexe 12-(17)'!A1" display="Annexe 12-(17)" xr:uid="{571952AA-A6A7-44FD-B60C-0F6A385553B4}"/>
    <hyperlink ref="B21" location="'Annexe 12-(18)'!A1" display="Annexe 12-(18)" xr:uid="{B3188ED6-9646-4C15-9CFF-9E1650C525A6}"/>
    <hyperlink ref="B22" location="'Annexe 12-(19)'!A1" display="Annexe 12-(19)" xr:uid="{16AC3428-E8CA-43FB-9F87-612A13FE267B}"/>
    <hyperlink ref="B23" location="'Annexe 12-(20)'!A1" display="Annexe 12-(20)" xr:uid="{708E3CBF-A824-4C4B-A46A-23EC585517BE}"/>
    <hyperlink ref="B24" location="'Annexe 12-(21)'!A1" display="Annexe 12-(21)" xr:uid="{C288EE36-C517-4C9B-9807-F67D354BD103}"/>
    <hyperlink ref="B25" location="'Annexe 12-(22)'!A1" display="Annexe 12-(22)" xr:uid="{FB619A5D-520D-4E42-82C1-D72148B26440}"/>
    <hyperlink ref="B26" location="'Annexe 12-(23)'!A1" display="Annexe 12-(23)" xr:uid="{20A2DFDE-6A35-41A9-AD81-70C66F6BAC87}"/>
    <hyperlink ref="B27" location="'Annexe 12-(24)'!A1" display="Annexe 12-(24)" xr:uid="{F43F19D6-F8D5-4DF7-A402-CDE924594A0F}"/>
    <hyperlink ref="B28" location="'Annexe 12-(25)'!A1" display="Annexe 12-(25)" xr:uid="{2A48D5A1-1966-4E61-A65F-2B7D50938DB3}"/>
    <hyperlink ref="B29" location="'Annexe 12-(26)'!A1" display="Annexe 12-(26)" xr:uid="{83199F16-0AF9-4C5A-8882-E470466F6A4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D3AFC-5100-4494-AB01-84CD63C2B0AD}">
  <dimension ref="A1:M76"/>
  <sheetViews>
    <sheetView showGridLines="0" zoomScale="80" zoomScaleNormal="80" workbookViewId="0">
      <selection activeCell="C14" sqref="C14"/>
    </sheetView>
  </sheetViews>
  <sheetFormatPr baseColWidth="10" defaultColWidth="12.453125" defaultRowHeight="12" x14ac:dyDescent="0.3"/>
  <cols>
    <col min="1" max="1" width="6.90625" style="3" customWidth="1"/>
    <col min="2" max="2" width="6.6328125" style="6" customWidth="1"/>
    <col min="3" max="3" width="62.1796875" style="38" customWidth="1"/>
    <col min="4" max="4" width="1" style="8" customWidth="1"/>
    <col min="5" max="5" width="17" style="8" customWidth="1"/>
    <col min="6" max="6" width="14.90625" style="6" customWidth="1"/>
    <col min="7" max="7" width="16.7265625" style="8" customWidth="1"/>
    <col min="8" max="8" width="1" style="8" customWidth="1"/>
    <col min="9" max="9" width="16.7265625" style="8" customWidth="1"/>
    <col min="10" max="10" width="13.54296875" style="8" customWidth="1"/>
    <col min="11" max="11" width="16.7265625" style="8" customWidth="1"/>
    <col min="12" max="12" width="1" style="8" customWidth="1"/>
    <col min="13" max="13" width="16.26953125" style="8" customWidth="1"/>
    <col min="14" max="16384" width="12.453125" style="3"/>
  </cols>
  <sheetData>
    <row r="1" spans="2:13" ht="31.5" x14ac:dyDescent="0.3">
      <c r="C1" s="7" t="s">
        <v>53</v>
      </c>
      <c r="E1" s="9" t="s">
        <v>2</v>
      </c>
      <c r="F1" s="9" t="s">
        <v>54</v>
      </c>
      <c r="G1" s="10"/>
      <c r="J1" s="10" t="s">
        <v>55</v>
      </c>
      <c r="K1" s="10">
        <v>2020</v>
      </c>
    </row>
    <row r="2" spans="2:13" x14ac:dyDescent="0.3">
      <c r="C2" s="11"/>
      <c r="F2" s="8"/>
      <c r="I2" s="12" t="s">
        <v>56</v>
      </c>
      <c r="J2" s="12">
        <f>[1]Cours!$E$4</f>
        <v>585.96749999999997</v>
      </c>
    </row>
    <row r="3" spans="2:13" x14ac:dyDescent="0.3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">
      <c r="B8" s="18" t="s">
        <v>68</v>
      </c>
      <c r="C8" s="19"/>
      <c r="E8" s="20">
        <v>16919491</v>
      </c>
      <c r="F8" s="20">
        <v>-816530</v>
      </c>
      <c r="G8" s="20">
        <v>16102961</v>
      </c>
      <c r="I8" s="20">
        <v>16121352</v>
      </c>
      <c r="J8" s="20">
        <v>0</v>
      </c>
      <c r="K8" s="20">
        <v>16121352</v>
      </c>
      <c r="M8" s="20">
        <v>-18391</v>
      </c>
    </row>
    <row r="9" spans="2:13" x14ac:dyDescent="0.3">
      <c r="B9" s="26"/>
      <c r="C9" s="27" t="s">
        <v>69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">
      <c r="B10" s="21">
        <v>3</v>
      </c>
      <c r="C10" s="29" t="s">
        <v>70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">
      <c r="B11" s="6">
        <v>4</v>
      </c>
      <c r="C11" s="30" t="s">
        <v>71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">
      <c r="B14" s="21">
        <v>7</v>
      </c>
      <c r="C14" s="29" t="s">
        <v>74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">
      <c r="B25" s="26"/>
      <c r="C25" s="27" t="s">
        <v>84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</row>
    <row r="26" spans="2:13" x14ac:dyDescent="0.3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">
      <c r="B36" s="26"/>
      <c r="C36" s="27" t="s">
        <v>94</v>
      </c>
      <c r="E36" s="28">
        <v>15203321</v>
      </c>
      <c r="F36" s="28">
        <v>0</v>
      </c>
      <c r="G36" s="28">
        <v>15203321</v>
      </c>
      <c r="I36" s="28">
        <v>15221712</v>
      </c>
      <c r="J36" s="28">
        <v>0</v>
      </c>
      <c r="K36" s="28">
        <v>15221712</v>
      </c>
      <c r="M36" s="28">
        <v>-18391</v>
      </c>
    </row>
    <row r="37" spans="2:13" x14ac:dyDescent="0.3">
      <c r="B37" s="31">
        <v>27</v>
      </c>
      <c r="C37" s="29" t="s">
        <v>95</v>
      </c>
      <c r="E37" s="23">
        <v>0</v>
      </c>
      <c r="F37" s="23">
        <v>0</v>
      </c>
      <c r="G37" s="23">
        <v>0</v>
      </c>
      <c r="I37" s="23">
        <v>0</v>
      </c>
      <c r="J37" s="23">
        <v>0</v>
      </c>
      <c r="K37" s="23">
        <v>0</v>
      </c>
      <c r="M37" s="23">
        <v>0</v>
      </c>
    </row>
    <row r="38" spans="2:13" x14ac:dyDescent="0.3">
      <c r="B38" s="32">
        <v>28</v>
      </c>
      <c r="C38" s="30" t="s">
        <v>96</v>
      </c>
      <c r="E38" s="25">
        <v>14924376</v>
      </c>
      <c r="F38" s="25">
        <v>0</v>
      </c>
      <c r="G38" s="25">
        <v>14924376</v>
      </c>
      <c r="I38" s="25">
        <v>14942767</v>
      </c>
      <c r="J38" s="25">
        <v>0</v>
      </c>
      <c r="K38" s="25">
        <v>14942767</v>
      </c>
      <c r="M38" s="25">
        <v>-18391</v>
      </c>
    </row>
    <row r="39" spans="2:13" x14ac:dyDescent="0.3">
      <c r="B39" s="31">
        <v>29</v>
      </c>
      <c r="C39" s="29" t="s">
        <v>97</v>
      </c>
      <c r="E39" s="23">
        <v>0</v>
      </c>
      <c r="F39" s="23">
        <v>0</v>
      </c>
      <c r="G39" s="23">
        <v>0</v>
      </c>
      <c r="I39" s="23">
        <v>0</v>
      </c>
      <c r="J39" s="23">
        <v>0</v>
      </c>
      <c r="K39" s="23">
        <v>0</v>
      </c>
      <c r="M39" s="23">
        <v>0</v>
      </c>
    </row>
    <row r="40" spans="2:13" x14ac:dyDescent="0.3">
      <c r="B40" s="32">
        <v>30</v>
      </c>
      <c r="C40" s="30" t="s">
        <v>98</v>
      </c>
      <c r="E40" s="25">
        <v>0</v>
      </c>
      <c r="F40" s="25">
        <v>0</v>
      </c>
      <c r="G40" s="25">
        <v>0</v>
      </c>
      <c r="I40" s="25">
        <v>0</v>
      </c>
      <c r="J40" s="25">
        <v>0</v>
      </c>
      <c r="K40" s="25">
        <v>0</v>
      </c>
      <c r="M40" s="25">
        <v>0</v>
      </c>
    </row>
    <row r="41" spans="2:13" x14ac:dyDescent="0.3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">
      <c r="B42" s="32">
        <v>32</v>
      </c>
      <c r="C42" s="30" t="s">
        <v>100</v>
      </c>
      <c r="E42" s="25">
        <v>0</v>
      </c>
      <c r="F42" s="25">
        <v>0</v>
      </c>
      <c r="G42" s="25">
        <v>0</v>
      </c>
      <c r="I42" s="25">
        <v>0</v>
      </c>
      <c r="J42" s="25">
        <v>0</v>
      </c>
      <c r="K42" s="25">
        <v>0</v>
      </c>
      <c r="M42" s="25">
        <v>0</v>
      </c>
    </row>
    <row r="43" spans="2:13" x14ac:dyDescent="0.3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">
      <c r="B44" s="32">
        <v>34</v>
      </c>
      <c r="C44" s="30" t="s">
        <v>102</v>
      </c>
      <c r="E44" s="25">
        <v>278945</v>
      </c>
      <c r="F44" s="25">
        <v>0</v>
      </c>
      <c r="G44" s="25">
        <v>278945</v>
      </c>
      <c r="I44" s="25">
        <v>278945</v>
      </c>
      <c r="J44" s="25">
        <v>0</v>
      </c>
      <c r="K44" s="25">
        <v>278945</v>
      </c>
      <c r="M44" s="25">
        <v>0</v>
      </c>
    </row>
    <row r="45" spans="2:13" x14ac:dyDescent="0.3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0</v>
      </c>
      <c r="J45" s="23">
        <v>0</v>
      </c>
      <c r="K45" s="23">
        <v>0</v>
      </c>
      <c r="M45" s="23">
        <v>0</v>
      </c>
    </row>
    <row r="46" spans="2:13" x14ac:dyDescent="0.3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">
      <c r="B49" s="31">
        <v>39</v>
      </c>
      <c r="C49" s="29" t="s">
        <v>107</v>
      </c>
      <c r="E49" s="23">
        <v>0</v>
      </c>
      <c r="F49" s="23">
        <v>0</v>
      </c>
      <c r="G49" s="23">
        <v>0</v>
      </c>
      <c r="I49" s="23">
        <v>0</v>
      </c>
      <c r="J49" s="23">
        <v>0</v>
      </c>
      <c r="K49" s="23">
        <v>0</v>
      </c>
      <c r="M49" s="23">
        <v>0</v>
      </c>
    </row>
    <row r="50" spans="2:13" x14ac:dyDescent="0.3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0</v>
      </c>
      <c r="J51" s="23">
        <v>0</v>
      </c>
      <c r="K51" s="23">
        <v>0</v>
      </c>
      <c r="M51" s="23">
        <v>0</v>
      </c>
    </row>
    <row r="52" spans="2:13" x14ac:dyDescent="0.3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">
      <c r="B53" s="26"/>
      <c r="C53" s="27" t="s">
        <v>110</v>
      </c>
      <c r="E53" s="28">
        <v>0</v>
      </c>
      <c r="F53" s="28">
        <v>0</v>
      </c>
      <c r="G53" s="28">
        <v>0</v>
      </c>
      <c r="I53" s="28">
        <v>0</v>
      </c>
      <c r="J53" s="28">
        <v>0</v>
      </c>
      <c r="K53" s="28">
        <v>0</v>
      </c>
      <c r="M53" s="28">
        <v>0</v>
      </c>
    </row>
    <row r="54" spans="2:13" x14ac:dyDescent="0.3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">
      <c r="B57" s="32">
        <v>46</v>
      </c>
      <c r="C57" s="30" t="s">
        <v>114</v>
      </c>
      <c r="E57" s="25">
        <v>0</v>
      </c>
      <c r="F57" s="25">
        <v>0</v>
      </c>
      <c r="G57" s="25">
        <v>0</v>
      </c>
      <c r="I57" s="25">
        <v>0</v>
      </c>
      <c r="J57" s="25">
        <v>0</v>
      </c>
      <c r="K57" s="25">
        <v>0</v>
      </c>
      <c r="M57" s="25">
        <v>0</v>
      </c>
    </row>
    <row r="58" spans="2:13" x14ac:dyDescent="0.3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">
      <c r="B62" s="26"/>
      <c r="C62" s="27" t="s">
        <v>119</v>
      </c>
      <c r="E62" s="28">
        <v>0</v>
      </c>
      <c r="F62" s="28">
        <v>0</v>
      </c>
      <c r="G62" s="28">
        <v>0</v>
      </c>
      <c r="I62" s="28">
        <v>0</v>
      </c>
      <c r="J62" s="28">
        <v>0</v>
      </c>
      <c r="K62" s="28">
        <v>0</v>
      </c>
      <c r="M62" s="28">
        <v>0</v>
      </c>
    </row>
    <row r="63" spans="2:13" x14ac:dyDescent="0.3">
      <c r="B63" s="31">
        <v>51</v>
      </c>
      <c r="C63" s="29" t="s">
        <v>120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1:13" x14ac:dyDescent="0.3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1:13" x14ac:dyDescent="0.3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0</v>
      </c>
      <c r="J66" s="28">
        <v>0</v>
      </c>
      <c r="K66" s="28">
        <v>0</v>
      </c>
      <c r="M66" s="28">
        <v>0</v>
      </c>
    </row>
    <row r="67" spans="1:13" x14ac:dyDescent="0.3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1:13" x14ac:dyDescent="0.3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0</v>
      </c>
      <c r="J68" s="25">
        <v>0</v>
      </c>
      <c r="K68" s="25">
        <v>0</v>
      </c>
      <c r="M68" s="25">
        <v>0</v>
      </c>
    </row>
    <row r="69" spans="1:13" x14ac:dyDescent="0.3">
      <c r="B69" s="26"/>
      <c r="C69" s="27" t="s">
        <v>125</v>
      </c>
      <c r="E69" s="28">
        <v>1716170</v>
      </c>
      <c r="F69" s="28">
        <v>-816530</v>
      </c>
      <c r="G69" s="28">
        <v>899640</v>
      </c>
      <c r="I69" s="28">
        <v>899640</v>
      </c>
      <c r="J69" s="28">
        <v>0</v>
      </c>
      <c r="K69" s="28">
        <v>899640</v>
      </c>
      <c r="M69" s="28">
        <v>0</v>
      </c>
    </row>
    <row r="70" spans="1:13" x14ac:dyDescent="0.3">
      <c r="B70" s="31">
        <v>56</v>
      </c>
      <c r="C70" s="29" t="s">
        <v>126</v>
      </c>
      <c r="E70" s="23">
        <v>1716170</v>
      </c>
      <c r="F70" s="23">
        <v>-816530</v>
      </c>
      <c r="G70" s="23">
        <v>899640</v>
      </c>
      <c r="I70" s="23">
        <v>899640</v>
      </c>
      <c r="J70" s="23">
        <v>0</v>
      </c>
      <c r="K70" s="23">
        <v>899640</v>
      </c>
      <c r="M70" s="23">
        <v>0</v>
      </c>
    </row>
    <row r="71" spans="1:13" x14ac:dyDescent="0.3">
      <c r="B71" s="26"/>
      <c r="C71" s="27" t="s">
        <v>127</v>
      </c>
      <c r="E71" s="28">
        <v>0</v>
      </c>
      <c r="F71" s="28">
        <v>0</v>
      </c>
      <c r="G71" s="28">
        <v>0</v>
      </c>
      <c r="I71" s="28">
        <v>0</v>
      </c>
      <c r="J71" s="28">
        <v>0</v>
      </c>
      <c r="K71" s="28">
        <v>0</v>
      </c>
      <c r="M71" s="28">
        <v>0</v>
      </c>
    </row>
    <row r="72" spans="1:13" x14ac:dyDescent="0.3">
      <c r="B72" s="32">
        <v>57</v>
      </c>
      <c r="C72" s="30" t="s">
        <v>128</v>
      </c>
      <c r="E72" s="25">
        <v>0</v>
      </c>
      <c r="F72" s="25">
        <v>0</v>
      </c>
      <c r="G72" s="25">
        <v>0</v>
      </c>
      <c r="I72" s="25">
        <v>0</v>
      </c>
      <c r="J72" s="25">
        <v>0</v>
      </c>
      <c r="K72" s="25">
        <v>0</v>
      </c>
      <c r="M72" s="25">
        <v>0</v>
      </c>
    </row>
    <row r="73" spans="1:13" x14ac:dyDescent="0.3">
      <c r="B73" s="26"/>
      <c r="C73" s="27" t="s">
        <v>129</v>
      </c>
      <c r="E73" s="28">
        <v>0</v>
      </c>
      <c r="F73" s="28">
        <v>0</v>
      </c>
      <c r="G73" s="28">
        <v>0</v>
      </c>
      <c r="H73" s="33">
        <v>808920</v>
      </c>
      <c r="I73" s="28">
        <v>0</v>
      </c>
      <c r="J73" s="28">
        <v>0</v>
      </c>
      <c r="K73" s="28">
        <v>0</v>
      </c>
      <c r="M73" s="28">
        <v>0</v>
      </c>
    </row>
    <row r="74" spans="1:13" ht="24.75" customHeight="1" x14ac:dyDescent="0.3">
      <c r="B74" s="31">
        <v>58</v>
      </c>
      <c r="C74" s="29" t="s">
        <v>130</v>
      </c>
      <c r="E74" s="23">
        <v>0</v>
      </c>
      <c r="F74" s="23">
        <v>0</v>
      </c>
      <c r="G74" s="23">
        <v>0</v>
      </c>
      <c r="I74" s="23">
        <v>0</v>
      </c>
      <c r="J74" s="23">
        <v>0</v>
      </c>
      <c r="K74" s="23">
        <v>0</v>
      </c>
      <c r="M74" s="23">
        <v>0</v>
      </c>
    </row>
    <row r="75" spans="1:13" x14ac:dyDescent="0.3">
      <c r="B75" s="34"/>
      <c r="C75" s="35"/>
      <c r="D75" s="10"/>
      <c r="E75" s="36"/>
      <c r="F75" s="36"/>
      <c r="G75" s="36"/>
      <c r="H75" s="37"/>
      <c r="I75" s="36"/>
      <c r="J75" s="36"/>
      <c r="K75" s="36"/>
      <c r="L75" s="37"/>
      <c r="M75" s="36"/>
    </row>
    <row r="76" spans="1:13" x14ac:dyDescent="0.3">
      <c r="A76" s="3" t="s">
        <v>131</v>
      </c>
    </row>
  </sheetData>
  <mergeCells count="5">
    <mergeCell ref="B3:B4"/>
    <mergeCell ref="C3:C4"/>
    <mergeCell ref="E3:G3"/>
    <mergeCell ref="I3:K3"/>
    <mergeCell ref="M3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84D04-0D90-4879-B850-AEC68B0F35FF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4.90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31.5" x14ac:dyDescent="0.35">
      <c r="C1" s="7" t="s">
        <v>53</v>
      </c>
      <c r="E1" s="9" t="s">
        <v>4</v>
      </c>
      <c r="F1" s="9" t="s">
        <v>132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34808939856</v>
      </c>
      <c r="F8" s="20">
        <v>20000000</v>
      </c>
      <c r="G8" s="20">
        <v>34828939856</v>
      </c>
      <c r="I8" s="20">
        <v>33398310066</v>
      </c>
      <c r="J8" s="20">
        <v>1434509412</v>
      </c>
      <c r="K8" s="20">
        <v>34832819478</v>
      </c>
      <c r="M8" s="20">
        <v>-3879622</v>
      </c>
    </row>
    <row r="9" spans="2:13" x14ac:dyDescent="0.35">
      <c r="B9" s="26"/>
      <c r="C9" s="27" t="s">
        <v>69</v>
      </c>
      <c r="E9" s="28">
        <v>226525759</v>
      </c>
      <c r="F9" s="28">
        <v>0</v>
      </c>
      <c r="G9" s="28">
        <v>226525759</v>
      </c>
      <c r="I9" s="28">
        <v>120016347</v>
      </c>
      <c r="J9" s="28">
        <v>106509412</v>
      </c>
      <c r="K9" s="28">
        <v>226525759</v>
      </c>
      <c r="M9" s="28">
        <v>0</v>
      </c>
    </row>
    <row r="10" spans="2:13" x14ac:dyDescent="0.35">
      <c r="B10" s="21">
        <v>3</v>
      </c>
      <c r="C10" s="29" t="s">
        <v>70</v>
      </c>
      <c r="E10" s="23">
        <v>225025759</v>
      </c>
      <c r="F10" s="23">
        <v>0</v>
      </c>
      <c r="G10" s="23">
        <v>225025759</v>
      </c>
      <c r="I10" s="23">
        <v>69448088</v>
      </c>
      <c r="J10" s="23">
        <v>155577671</v>
      </c>
      <c r="K10" s="23">
        <v>225025759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1500000</v>
      </c>
      <c r="F14" s="23">
        <v>0</v>
      </c>
      <c r="G14" s="23">
        <v>1500000</v>
      </c>
      <c r="I14" s="23">
        <v>50568259</v>
      </c>
      <c r="J14" s="23">
        <v>-49068259</v>
      </c>
      <c r="K14" s="23">
        <v>1500000</v>
      </c>
      <c r="M14" s="23">
        <v>0</v>
      </c>
    </row>
    <row r="15" spans="2:13" x14ac:dyDescent="0.35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1328000000</v>
      </c>
      <c r="F25" s="28">
        <v>0</v>
      </c>
      <c r="G25" s="28">
        <v>1328000000</v>
      </c>
      <c r="I25" s="28">
        <v>0</v>
      </c>
      <c r="J25" s="28">
        <v>1328000000</v>
      </c>
      <c r="K25" s="28">
        <v>1328000000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20000000</v>
      </c>
      <c r="F30" s="23">
        <v>0</v>
      </c>
      <c r="G30" s="23">
        <v>20000000</v>
      </c>
      <c r="I30" s="23">
        <v>0</v>
      </c>
      <c r="J30" s="23">
        <v>20000000</v>
      </c>
      <c r="K30" s="23">
        <v>20000000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1308000000</v>
      </c>
      <c r="F35" s="25">
        <v>0</v>
      </c>
      <c r="G35" s="25">
        <v>1308000000</v>
      </c>
      <c r="I35" s="25">
        <v>0</v>
      </c>
      <c r="J35" s="25">
        <v>1308000000</v>
      </c>
      <c r="K35" s="25">
        <v>1308000000</v>
      </c>
      <c r="M35" s="25">
        <v>0</v>
      </c>
    </row>
    <row r="36" spans="2:13" x14ac:dyDescent="0.35">
      <c r="B36" s="26"/>
      <c r="C36" s="27" t="s">
        <v>94</v>
      </c>
      <c r="E36" s="28">
        <v>29996613206</v>
      </c>
      <c r="F36" s="28">
        <v>0</v>
      </c>
      <c r="G36" s="28">
        <v>29996613206</v>
      </c>
      <c r="I36" s="28">
        <v>30027345781</v>
      </c>
      <c r="J36" s="28">
        <v>0</v>
      </c>
      <c r="K36" s="28">
        <v>30027345781</v>
      </c>
      <c r="M36" s="28">
        <v>-30732575</v>
      </c>
    </row>
    <row r="37" spans="2:13" x14ac:dyDescent="0.35">
      <c r="B37" s="31">
        <v>27</v>
      </c>
      <c r="C37" s="29" t="s">
        <v>95</v>
      </c>
      <c r="E37" s="23">
        <v>17922176046</v>
      </c>
      <c r="F37" s="23">
        <v>0</v>
      </c>
      <c r="G37" s="23">
        <v>17922176046</v>
      </c>
      <c r="I37" s="23">
        <v>17952601046</v>
      </c>
      <c r="J37" s="23">
        <v>0</v>
      </c>
      <c r="K37" s="23">
        <v>17952601046</v>
      </c>
      <c r="M37" s="23">
        <v>-30425000</v>
      </c>
    </row>
    <row r="38" spans="2:13" x14ac:dyDescent="0.35">
      <c r="B38" s="32">
        <v>28</v>
      </c>
      <c r="C38" s="30" t="s">
        <v>96</v>
      </c>
      <c r="E38" s="25">
        <v>1554035782</v>
      </c>
      <c r="F38" s="25">
        <v>0</v>
      </c>
      <c r="G38" s="25">
        <v>1554035782</v>
      </c>
      <c r="I38" s="25">
        <v>1554035782</v>
      </c>
      <c r="J38" s="25">
        <v>0</v>
      </c>
      <c r="K38" s="25">
        <v>1554035782</v>
      </c>
      <c r="M38" s="25">
        <v>0</v>
      </c>
    </row>
    <row r="39" spans="2:13" x14ac:dyDescent="0.35">
      <c r="B39" s="31">
        <v>29</v>
      </c>
      <c r="C39" s="29" t="s">
        <v>97</v>
      </c>
      <c r="E39" s="23">
        <v>0</v>
      </c>
      <c r="F39" s="23">
        <v>0</v>
      </c>
      <c r="G39" s="23">
        <v>0</v>
      </c>
      <c r="I39" s="23">
        <v>0</v>
      </c>
      <c r="J39" s="23">
        <v>0</v>
      </c>
      <c r="K39" s="23">
        <v>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0</v>
      </c>
      <c r="F40" s="25">
        <v>0</v>
      </c>
      <c r="G40" s="25">
        <v>0</v>
      </c>
      <c r="I40" s="25">
        <v>0</v>
      </c>
      <c r="J40" s="25">
        <v>0</v>
      </c>
      <c r="K40" s="25">
        <v>0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0</v>
      </c>
      <c r="F42" s="25">
        <v>0</v>
      </c>
      <c r="G42" s="25">
        <v>0</v>
      </c>
      <c r="I42" s="25">
        <v>0</v>
      </c>
      <c r="J42" s="25">
        <v>0</v>
      </c>
      <c r="K42" s="25">
        <v>0</v>
      </c>
      <c r="M42" s="25">
        <v>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67592995</v>
      </c>
      <c r="F44" s="25">
        <v>0</v>
      </c>
      <c r="G44" s="25">
        <v>67592995</v>
      </c>
      <c r="I44" s="25">
        <v>67592995</v>
      </c>
      <c r="J44" s="25">
        <v>0</v>
      </c>
      <c r="K44" s="25">
        <v>67592995</v>
      </c>
      <c r="M44" s="25">
        <v>0</v>
      </c>
    </row>
    <row r="45" spans="2:13" x14ac:dyDescent="0.35">
      <c r="B45" s="31">
        <v>35</v>
      </c>
      <c r="C45" s="29" t="s">
        <v>103</v>
      </c>
      <c r="E45" s="23">
        <v>158230101</v>
      </c>
      <c r="F45" s="23">
        <v>0</v>
      </c>
      <c r="G45" s="23">
        <v>158230101</v>
      </c>
      <c r="I45" s="23">
        <v>158230101</v>
      </c>
      <c r="J45" s="23">
        <v>0</v>
      </c>
      <c r="K45" s="23">
        <v>158230101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0</v>
      </c>
      <c r="F49" s="23">
        <v>0</v>
      </c>
      <c r="G49" s="23">
        <v>0</v>
      </c>
      <c r="I49" s="23">
        <v>0</v>
      </c>
      <c r="J49" s="23">
        <v>0</v>
      </c>
      <c r="K49" s="23">
        <v>0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7545522822</v>
      </c>
      <c r="F50" s="25">
        <v>0</v>
      </c>
      <c r="G50" s="25">
        <v>7545522822</v>
      </c>
      <c r="I50" s="25">
        <v>7545522822</v>
      </c>
      <c r="J50" s="25">
        <v>0</v>
      </c>
      <c r="K50" s="25">
        <v>7545522822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307575</v>
      </c>
      <c r="J51" s="23">
        <v>0</v>
      </c>
      <c r="K51" s="23">
        <v>307575</v>
      </c>
      <c r="M51" s="23">
        <v>-307575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2749055460</v>
      </c>
      <c r="F52" s="25">
        <v>0</v>
      </c>
      <c r="G52" s="25">
        <v>2749055460</v>
      </c>
      <c r="I52" s="25">
        <v>2749055460</v>
      </c>
      <c r="J52" s="25">
        <v>0</v>
      </c>
      <c r="K52" s="25">
        <v>2749055460</v>
      </c>
      <c r="M52" s="25">
        <v>0</v>
      </c>
    </row>
    <row r="53" spans="2:13" x14ac:dyDescent="0.35">
      <c r="B53" s="26"/>
      <c r="C53" s="27" t="s">
        <v>110</v>
      </c>
      <c r="E53" s="28">
        <v>2882580386</v>
      </c>
      <c r="F53" s="28">
        <v>0</v>
      </c>
      <c r="G53" s="28">
        <v>2882580386</v>
      </c>
      <c r="I53" s="28">
        <v>2945458858</v>
      </c>
      <c r="J53" s="28">
        <v>0</v>
      </c>
      <c r="K53" s="28">
        <v>2945458858</v>
      </c>
      <c r="M53" s="28">
        <v>-62878472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2882580386</v>
      </c>
      <c r="F57" s="25">
        <v>0</v>
      </c>
      <c r="G57" s="25">
        <v>2882580386</v>
      </c>
      <c r="I57" s="25">
        <v>2945458858</v>
      </c>
      <c r="J57" s="25">
        <v>0</v>
      </c>
      <c r="K57" s="25">
        <v>2945458858</v>
      </c>
      <c r="M57" s="25">
        <v>-62878472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9413650</v>
      </c>
      <c r="F62" s="28">
        <v>0</v>
      </c>
      <c r="G62" s="28">
        <v>9413650</v>
      </c>
      <c r="I62" s="28">
        <v>9413650</v>
      </c>
      <c r="J62" s="28">
        <v>0</v>
      </c>
      <c r="K62" s="28">
        <v>9413650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9413650</v>
      </c>
      <c r="F63" s="23">
        <v>0</v>
      </c>
      <c r="G63" s="23">
        <v>9413650</v>
      </c>
      <c r="I63" s="23">
        <v>9413650</v>
      </c>
      <c r="J63" s="23">
        <v>0</v>
      </c>
      <c r="K63" s="23">
        <v>9413650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0</v>
      </c>
      <c r="J66" s="28">
        <v>0</v>
      </c>
      <c r="K66" s="28">
        <v>0</v>
      </c>
      <c r="M66" s="28">
        <v>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0</v>
      </c>
      <c r="J68" s="25">
        <v>0</v>
      </c>
      <c r="K68" s="25">
        <v>0</v>
      </c>
      <c r="M68" s="25">
        <v>0</v>
      </c>
    </row>
    <row r="69" spans="2:13" x14ac:dyDescent="0.35">
      <c r="B69" s="26"/>
      <c r="C69" s="27" t="s">
        <v>125</v>
      </c>
      <c r="E69" s="28">
        <v>31210255</v>
      </c>
      <c r="F69" s="28">
        <v>0</v>
      </c>
      <c r="G69" s="28">
        <v>31210255</v>
      </c>
      <c r="I69" s="28">
        <v>31210255</v>
      </c>
      <c r="J69" s="28">
        <v>0</v>
      </c>
      <c r="K69" s="28">
        <v>31210255</v>
      </c>
      <c r="M69" s="28">
        <v>0</v>
      </c>
    </row>
    <row r="70" spans="2:13" x14ac:dyDescent="0.35">
      <c r="B70" s="31">
        <v>56</v>
      </c>
      <c r="C70" s="29" t="s">
        <v>126</v>
      </c>
      <c r="E70" s="23">
        <v>31210255</v>
      </c>
      <c r="F70" s="23">
        <v>0</v>
      </c>
      <c r="G70" s="23">
        <v>31210255</v>
      </c>
      <c r="I70" s="23">
        <v>31210255</v>
      </c>
      <c r="J70" s="23">
        <v>0</v>
      </c>
      <c r="K70" s="23">
        <v>31210255</v>
      </c>
      <c r="M70" s="23">
        <v>0</v>
      </c>
    </row>
    <row r="71" spans="2:13" x14ac:dyDescent="0.35">
      <c r="B71" s="26"/>
      <c r="C71" s="27" t="s">
        <v>127</v>
      </c>
      <c r="E71" s="28">
        <v>261057600</v>
      </c>
      <c r="F71" s="28">
        <v>0</v>
      </c>
      <c r="G71" s="28">
        <v>261057600</v>
      </c>
      <c r="I71" s="28">
        <v>261057600</v>
      </c>
      <c r="J71" s="28">
        <v>0</v>
      </c>
      <c r="K71" s="28">
        <v>261057600</v>
      </c>
      <c r="M71" s="28">
        <v>0</v>
      </c>
    </row>
    <row r="72" spans="2:13" x14ac:dyDescent="0.35">
      <c r="B72" s="32">
        <v>57</v>
      </c>
      <c r="C72" s="30" t="s">
        <v>128</v>
      </c>
      <c r="E72" s="25">
        <v>261057600</v>
      </c>
      <c r="F72" s="25">
        <v>0</v>
      </c>
      <c r="G72" s="25">
        <v>261057600</v>
      </c>
      <c r="I72" s="25">
        <v>261057600</v>
      </c>
      <c r="J72" s="25">
        <v>0</v>
      </c>
      <c r="K72" s="25">
        <v>261057600</v>
      </c>
      <c r="M72" s="25">
        <v>0</v>
      </c>
    </row>
    <row r="73" spans="2:13" x14ac:dyDescent="0.35">
      <c r="B73" s="26"/>
      <c r="C73" s="27" t="s">
        <v>129</v>
      </c>
      <c r="E73" s="28">
        <v>73539000</v>
      </c>
      <c r="F73" s="28">
        <v>20000000</v>
      </c>
      <c r="G73" s="28">
        <v>93539000</v>
      </c>
      <c r="H73" s="33">
        <v>808920</v>
      </c>
      <c r="I73" s="28">
        <v>3807575</v>
      </c>
      <c r="J73" s="28">
        <v>0</v>
      </c>
      <c r="K73" s="28">
        <v>3807575</v>
      </c>
      <c r="M73" s="28">
        <v>89731425</v>
      </c>
    </row>
    <row r="74" spans="2:13" x14ac:dyDescent="0.35">
      <c r="B74" s="31">
        <v>58</v>
      </c>
      <c r="C74" s="29" t="s">
        <v>130</v>
      </c>
      <c r="E74" s="23">
        <v>73539000</v>
      </c>
      <c r="F74" s="23">
        <v>20000000</v>
      </c>
      <c r="G74" s="23">
        <v>93539000</v>
      </c>
      <c r="I74" s="23">
        <v>3807575</v>
      </c>
      <c r="J74" s="23">
        <v>0</v>
      </c>
      <c r="K74" s="23">
        <v>3807575</v>
      </c>
      <c r="M74" s="23">
        <v>89731425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5:C603" xr:uid="{2D691261-B883-4245-9DA3-E07DA067897C}">
      <formula1>Compadjust</formula1>
    </dataValidation>
    <dataValidation type="list" allowBlank="1" showInputMessage="1" showErrorMessage="1" sqref="J203:J600 K75:M600" xr:uid="{DB4A24DE-AB66-4531-AB72-974FAEF91CE5}">
      <formula1>Taxes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8041-5928-4EEA-9C60-277BB7A272A6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43.5" customHeight="1" x14ac:dyDescent="0.35">
      <c r="C1" s="7" t="s">
        <v>53</v>
      </c>
      <c r="E1" s="9" t="s">
        <v>6</v>
      </c>
      <c r="F1" s="9" t="s">
        <v>133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39670276874</v>
      </c>
      <c r="F8" s="20">
        <v>-4881836178.5669994</v>
      </c>
      <c r="G8" s="20">
        <v>34788440695.432999</v>
      </c>
      <c r="I8" s="20">
        <v>25568749659</v>
      </c>
      <c r="J8" s="20">
        <v>9373364432</v>
      </c>
      <c r="K8" s="20">
        <v>34942114091</v>
      </c>
      <c r="M8" s="20">
        <v>-153673395.56699991</v>
      </c>
    </row>
    <row r="9" spans="2:13" x14ac:dyDescent="0.35">
      <c r="B9" s="26"/>
      <c r="C9" s="27" t="s">
        <v>69</v>
      </c>
      <c r="E9" s="28">
        <v>9727034435</v>
      </c>
      <c r="F9" s="28">
        <v>0</v>
      </c>
      <c r="G9" s="28">
        <v>9727034435</v>
      </c>
      <c r="I9" s="28">
        <v>9733247622</v>
      </c>
      <c r="J9" s="28">
        <v>-6164244</v>
      </c>
      <c r="K9" s="28">
        <v>9727083378</v>
      </c>
      <c r="M9" s="28">
        <v>-48943</v>
      </c>
    </row>
    <row r="10" spans="2:13" x14ac:dyDescent="0.35">
      <c r="B10" s="21">
        <v>3</v>
      </c>
      <c r="C10" s="29" t="s">
        <v>70</v>
      </c>
      <c r="E10" s="23">
        <v>9540850131</v>
      </c>
      <c r="F10" s="23">
        <v>0</v>
      </c>
      <c r="G10" s="23">
        <v>9540850131</v>
      </c>
      <c r="I10" s="23">
        <v>9538350131</v>
      </c>
      <c r="J10" s="23">
        <v>2500000</v>
      </c>
      <c r="K10" s="23">
        <v>9540850131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186184304</v>
      </c>
      <c r="F11" s="25">
        <v>0</v>
      </c>
      <c r="G11" s="25">
        <v>186184304</v>
      </c>
      <c r="I11" s="25">
        <v>193897491</v>
      </c>
      <c r="J11" s="25">
        <v>-7664244</v>
      </c>
      <c r="K11" s="25">
        <v>186233247</v>
      </c>
      <c r="M11" s="25">
        <v>-48943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1000000</v>
      </c>
      <c r="J12" s="23">
        <v>-1000000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9643857162</v>
      </c>
      <c r="F25" s="28">
        <v>0</v>
      </c>
      <c r="G25" s="28">
        <v>9643857162</v>
      </c>
      <c r="I25" s="28">
        <v>700212162</v>
      </c>
      <c r="J25" s="28">
        <v>8943645000</v>
      </c>
      <c r="K25" s="28">
        <v>9643857162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700212162</v>
      </c>
      <c r="F27" s="25">
        <v>0</v>
      </c>
      <c r="G27" s="25">
        <v>700212162</v>
      </c>
      <c r="I27" s="25">
        <v>700212162</v>
      </c>
      <c r="J27" s="25">
        <v>0</v>
      </c>
      <c r="K27" s="25">
        <v>700212162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8943645000</v>
      </c>
      <c r="F34" s="23">
        <v>0</v>
      </c>
      <c r="G34" s="23">
        <v>8943645000</v>
      </c>
      <c r="I34" s="23">
        <v>0</v>
      </c>
      <c r="J34" s="23">
        <v>8943645000</v>
      </c>
      <c r="K34" s="23">
        <v>8943645000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15499628287</v>
      </c>
      <c r="F36" s="28">
        <v>-1545527571</v>
      </c>
      <c r="G36" s="28">
        <v>13954100716</v>
      </c>
      <c r="I36" s="28">
        <v>13514434399</v>
      </c>
      <c r="J36" s="28">
        <v>435883676</v>
      </c>
      <c r="K36" s="28">
        <v>13950318075</v>
      </c>
      <c r="M36" s="28">
        <v>3782641</v>
      </c>
    </row>
    <row r="37" spans="2:13" x14ac:dyDescent="0.35">
      <c r="B37" s="31">
        <v>27</v>
      </c>
      <c r="C37" s="29" t="s">
        <v>95</v>
      </c>
      <c r="E37" s="23">
        <v>880724863</v>
      </c>
      <c r="F37" s="23">
        <v>-634436509</v>
      </c>
      <c r="G37" s="23">
        <v>246288354</v>
      </c>
      <c r="I37" s="23">
        <v>25202868</v>
      </c>
      <c r="J37" s="23">
        <v>220989845</v>
      </c>
      <c r="K37" s="23">
        <v>246192713</v>
      </c>
      <c r="M37" s="23">
        <v>95641</v>
      </c>
    </row>
    <row r="38" spans="2:13" x14ac:dyDescent="0.35">
      <c r="B38" s="32">
        <v>28</v>
      </c>
      <c r="C38" s="30" t="s">
        <v>96</v>
      </c>
      <c r="E38" s="25">
        <v>3409680254</v>
      </c>
      <c r="F38" s="25">
        <v>0</v>
      </c>
      <c r="G38" s="25">
        <v>3409680254</v>
      </c>
      <c r="I38" s="25">
        <v>3407519254</v>
      </c>
      <c r="J38" s="25">
        <v>2161000</v>
      </c>
      <c r="K38" s="25">
        <v>3409680254</v>
      </c>
      <c r="M38" s="25">
        <v>0</v>
      </c>
    </row>
    <row r="39" spans="2:13" x14ac:dyDescent="0.35">
      <c r="B39" s="31">
        <v>29</v>
      </c>
      <c r="C39" s="29" t="s">
        <v>97</v>
      </c>
      <c r="E39" s="23">
        <v>50000000</v>
      </c>
      <c r="F39" s="23">
        <v>0</v>
      </c>
      <c r="G39" s="23">
        <v>50000000</v>
      </c>
      <c r="I39" s="23">
        <v>0</v>
      </c>
      <c r="J39" s="23">
        <v>50000000</v>
      </c>
      <c r="K39" s="23">
        <v>50000000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9388018145</v>
      </c>
      <c r="F40" s="25">
        <v>0</v>
      </c>
      <c r="G40" s="25">
        <v>9388018145</v>
      </c>
      <c r="I40" s="25">
        <v>9388018145</v>
      </c>
      <c r="J40" s="25">
        <v>0</v>
      </c>
      <c r="K40" s="25">
        <v>9388018145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387349761</v>
      </c>
      <c r="F42" s="25">
        <v>0</v>
      </c>
      <c r="G42" s="25">
        <v>387349761</v>
      </c>
      <c r="I42" s="25">
        <v>347585259</v>
      </c>
      <c r="J42" s="25">
        <v>39764502</v>
      </c>
      <c r="K42" s="25">
        <v>387349761</v>
      </c>
      <c r="M42" s="25">
        <v>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30370439</v>
      </c>
      <c r="F44" s="25">
        <v>0</v>
      </c>
      <c r="G44" s="25">
        <v>30370439</v>
      </c>
      <c r="I44" s="25">
        <v>28421765</v>
      </c>
      <c r="J44" s="25">
        <v>1948674</v>
      </c>
      <c r="K44" s="25">
        <v>30370439</v>
      </c>
      <c r="M44" s="25">
        <v>0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220989845</v>
      </c>
      <c r="J45" s="23">
        <v>-220989845</v>
      </c>
      <c r="K45" s="23">
        <v>0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96697263</v>
      </c>
      <c r="F49" s="23">
        <v>0</v>
      </c>
      <c r="G49" s="23">
        <v>96697263</v>
      </c>
      <c r="I49" s="23">
        <v>96697263</v>
      </c>
      <c r="J49" s="23">
        <v>0</v>
      </c>
      <c r="K49" s="23">
        <v>96697263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1256787562</v>
      </c>
      <c r="F51" s="23">
        <v>-911091062</v>
      </c>
      <c r="G51" s="23">
        <v>345696500</v>
      </c>
      <c r="I51" s="23">
        <v>0</v>
      </c>
      <c r="J51" s="23">
        <v>342009500</v>
      </c>
      <c r="K51" s="23">
        <v>342009500</v>
      </c>
      <c r="M51" s="23">
        <v>3687000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4331502234</v>
      </c>
      <c r="F53" s="28">
        <v>-3529225816.5669999</v>
      </c>
      <c r="G53" s="28">
        <v>802276417.43300009</v>
      </c>
      <c r="I53" s="28">
        <v>1027439597</v>
      </c>
      <c r="J53" s="28">
        <v>0</v>
      </c>
      <c r="K53" s="28">
        <v>1027439597</v>
      </c>
      <c r="M53" s="28">
        <v>-225163179.56699991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4331502234</v>
      </c>
      <c r="F57" s="25">
        <v>-3529225816.5669999</v>
      </c>
      <c r="G57" s="25">
        <v>802276417.43300009</v>
      </c>
      <c r="I57" s="25">
        <v>1027439597</v>
      </c>
      <c r="J57" s="25">
        <v>0</v>
      </c>
      <c r="K57" s="25">
        <v>1027439597</v>
      </c>
      <c r="M57" s="25">
        <v>-225163179.56699991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0</v>
      </c>
      <c r="F62" s="28">
        <v>101670000</v>
      </c>
      <c r="G62" s="28">
        <v>101670000</v>
      </c>
      <c r="I62" s="28">
        <v>101670000</v>
      </c>
      <c r="J62" s="28">
        <v>0</v>
      </c>
      <c r="K62" s="28">
        <v>101670000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0</v>
      </c>
      <c r="F63" s="23">
        <v>101670000</v>
      </c>
      <c r="G63" s="23">
        <v>101670000</v>
      </c>
      <c r="I63" s="23">
        <v>101670000</v>
      </c>
      <c r="J63" s="23">
        <v>0</v>
      </c>
      <c r="K63" s="23">
        <v>101670000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91247209</v>
      </c>
      <c r="G66" s="28">
        <v>91247209</v>
      </c>
      <c r="I66" s="28">
        <v>91247209</v>
      </c>
      <c r="J66" s="28">
        <v>0</v>
      </c>
      <c r="K66" s="28">
        <v>91247209</v>
      </c>
      <c r="M66" s="28">
        <v>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91247209</v>
      </c>
      <c r="G68" s="25">
        <v>91247209</v>
      </c>
      <c r="I68" s="25">
        <v>91247209</v>
      </c>
      <c r="J68" s="25">
        <v>0</v>
      </c>
      <c r="K68" s="25">
        <v>91247209</v>
      </c>
      <c r="M68" s="25">
        <v>0</v>
      </c>
    </row>
    <row r="69" spans="2:13" x14ac:dyDescent="0.35">
      <c r="B69" s="26"/>
      <c r="C69" s="27" t="s">
        <v>125</v>
      </c>
      <c r="E69" s="28">
        <v>36915282</v>
      </c>
      <c r="F69" s="28">
        <v>0</v>
      </c>
      <c r="G69" s="28">
        <v>36915282</v>
      </c>
      <c r="I69" s="28">
        <v>36915282</v>
      </c>
      <c r="J69" s="28">
        <v>0</v>
      </c>
      <c r="K69" s="28">
        <v>36915282</v>
      </c>
      <c r="M69" s="28">
        <v>0</v>
      </c>
    </row>
    <row r="70" spans="2:13" x14ac:dyDescent="0.35">
      <c r="B70" s="31">
        <v>56</v>
      </c>
      <c r="C70" s="29" t="s">
        <v>126</v>
      </c>
      <c r="E70" s="23">
        <v>36915282</v>
      </c>
      <c r="F70" s="23">
        <v>0</v>
      </c>
      <c r="G70" s="23">
        <v>36915282</v>
      </c>
      <c r="I70" s="23">
        <v>36915282</v>
      </c>
      <c r="J70" s="23">
        <v>0</v>
      </c>
      <c r="K70" s="23">
        <v>36915282</v>
      </c>
      <c r="M70" s="23">
        <v>0</v>
      </c>
    </row>
    <row r="71" spans="2:13" x14ac:dyDescent="0.35">
      <c r="B71" s="26"/>
      <c r="C71" s="27" t="s">
        <v>127</v>
      </c>
      <c r="E71" s="28">
        <v>349602388</v>
      </c>
      <c r="F71" s="28">
        <v>0</v>
      </c>
      <c r="G71" s="28">
        <v>349602388</v>
      </c>
      <c r="I71" s="28">
        <v>349602388</v>
      </c>
      <c r="J71" s="28">
        <v>0</v>
      </c>
      <c r="K71" s="28">
        <v>349602388</v>
      </c>
      <c r="M71" s="28">
        <v>0</v>
      </c>
    </row>
    <row r="72" spans="2:13" x14ac:dyDescent="0.35">
      <c r="B72" s="32">
        <v>57</v>
      </c>
      <c r="C72" s="30" t="s">
        <v>128</v>
      </c>
      <c r="E72" s="25">
        <v>349602388</v>
      </c>
      <c r="F72" s="25">
        <v>0</v>
      </c>
      <c r="G72" s="25">
        <v>349602388</v>
      </c>
      <c r="I72" s="25">
        <v>349602388</v>
      </c>
      <c r="J72" s="25">
        <v>0</v>
      </c>
      <c r="K72" s="25">
        <v>349602388</v>
      </c>
      <c r="M72" s="25">
        <v>0</v>
      </c>
    </row>
    <row r="73" spans="2:13" x14ac:dyDescent="0.35">
      <c r="B73" s="26"/>
      <c r="C73" s="27" t="s">
        <v>129</v>
      </c>
      <c r="E73" s="28">
        <v>81737086</v>
      </c>
      <c r="F73" s="28">
        <v>0</v>
      </c>
      <c r="G73" s="28">
        <v>81737086</v>
      </c>
      <c r="H73" s="33">
        <v>808920</v>
      </c>
      <c r="I73" s="28">
        <v>13981000</v>
      </c>
      <c r="J73" s="28">
        <v>0</v>
      </c>
      <c r="K73" s="28">
        <v>13981000</v>
      </c>
      <c r="M73" s="28">
        <v>67756086</v>
      </c>
    </row>
    <row r="74" spans="2:13" x14ac:dyDescent="0.35">
      <c r="B74" s="31">
        <v>58</v>
      </c>
      <c r="C74" s="29" t="s">
        <v>130</v>
      </c>
      <c r="E74" s="23">
        <v>81737086</v>
      </c>
      <c r="F74" s="23">
        <v>0</v>
      </c>
      <c r="G74" s="23">
        <v>81737086</v>
      </c>
      <c r="I74" s="23">
        <v>13981000</v>
      </c>
      <c r="J74" s="23">
        <v>0</v>
      </c>
      <c r="K74" s="23">
        <v>13981000</v>
      </c>
      <c r="M74" s="23">
        <v>67756086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57468C4F-EB3E-424A-BC5F-E877C4264844}">
      <formula1>Taxes</formula1>
    </dataValidation>
    <dataValidation type="list" allowBlank="1" showInputMessage="1" showErrorMessage="1" sqref="C75:C603" xr:uid="{AFB14CEB-99EA-4FE6-9764-0BADD91448C6}">
      <formula1>Compadjust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A7D5-3A74-430B-92FB-FD359E70A561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33" customHeight="1" x14ac:dyDescent="0.35">
      <c r="C1" s="7" t="s">
        <v>53</v>
      </c>
      <c r="E1" s="9" t="s">
        <v>8</v>
      </c>
      <c r="F1" s="9" t="s">
        <v>134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21882639793</v>
      </c>
      <c r="F8" s="20">
        <v>1144511587</v>
      </c>
      <c r="G8" s="20">
        <v>23027151380</v>
      </c>
      <c r="I8" s="20">
        <v>22860727343</v>
      </c>
      <c r="J8" s="20">
        <v>0</v>
      </c>
      <c r="K8" s="20">
        <v>22860727343</v>
      </c>
      <c r="M8" s="20">
        <v>166424037</v>
      </c>
    </row>
    <row r="9" spans="2:13" x14ac:dyDescent="0.35">
      <c r="B9" s="26"/>
      <c r="C9" s="27" t="s">
        <v>69</v>
      </c>
      <c r="E9" s="28">
        <v>214964066</v>
      </c>
      <c r="F9" s="28">
        <v>0</v>
      </c>
      <c r="G9" s="28">
        <v>214964066</v>
      </c>
      <c r="I9" s="28">
        <v>214964066</v>
      </c>
      <c r="J9" s="28">
        <v>0</v>
      </c>
      <c r="K9" s="28">
        <v>214964066</v>
      </c>
      <c r="M9" s="28">
        <v>0</v>
      </c>
    </row>
    <row r="10" spans="2:13" x14ac:dyDescent="0.35">
      <c r="B10" s="21">
        <v>3</v>
      </c>
      <c r="C10" s="29" t="s">
        <v>70</v>
      </c>
      <c r="E10" s="23">
        <v>214964066</v>
      </c>
      <c r="F10" s="23">
        <v>0</v>
      </c>
      <c r="G10" s="23">
        <v>214964066</v>
      </c>
      <c r="I10" s="23">
        <v>214964066</v>
      </c>
      <c r="J10" s="23">
        <v>0</v>
      </c>
      <c r="K10" s="23">
        <v>214964066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13921897524</v>
      </c>
      <c r="F36" s="28">
        <v>1144511587</v>
      </c>
      <c r="G36" s="28">
        <v>15066409111</v>
      </c>
      <c r="I36" s="28">
        <v>15066409111</v>
      </c>
      <c r="J36" s="28">
        <v>0</v>
      </c>
      <c r="K36" s="28">
        <v>15066409111</v>
      </c>
      <c r="M36" s="28">
        <v>0</v>
      </c>
    </row>
    <row r="37" spans="2:13" x14ac:dyDescent="0.35">
      <c r="B37" s="31">
        <v>27</v>
      </c>
      <c r="C37" s="29" t="s">
        <v>95</v>
      </c>
      <c r="E37" s="23">
        <v>5396325342</v>
      </c>
      <c r="F37" s="23">
        <v>0</v>
      </c>
      <c r="G37" s="23">
        <v>5396325342</v>
      </c>
      <c r="I37" s="23">
        <v>5396325342</v>
      </c>
      <c r="J37" s="23">
        <v>0</v>
      </c>
      <c r="K37" s="23">
        <v>5396325342</v>
      </c>
      <c r="M37" s="23">
        <v>0</v>
      </c>
    </row>
    <row r="38" spans="2:13" x14ac:dyDescent="0.35">
      <c r="B38" s="32">
        <v>28</v>
      </c>
      <c r="C38" s="30" t="s">
        <v>96</v>
      </c>
      <c r="E38" s="25">
        <v>1457048407</v>
      </c>
      <c r="F38" s="25">
        <v>0</v>
      </c>
      <c r="G38" s="25">
        <v>1457048407</v>
      </c>
      <c r="I38" s="25">
        <v>1457048407</v>
      </c>
      <c r="J38" s="25">
        <v>0</v>
      </c>
      <c r="K38" s="25">
        <v>1457048407</v>
      </c>
      <c r="M38" s="25">
        <v>0</v>
      </c>
    </row>
    <row r="39" spans="2:13" x14ac:dyDescent="0.35">
      <c r="B39" s="31">
        <v>29</v>
      </c>
      <c r="C39" s="29" t="s">
        <v>97</v>
      </c>
      <c r="E39" s="23">
        <v>1500900000</v>
      </c>
      <c r="F39" s="23">
        <v>0</v>
      </c>
      <c r="G39" s="23">
        <v>1500900000</v>
      </c>
      <c r="I39" s="23">
        <v>1500900000</v>
      </c>
      <c r="J39" s="23">
        <v>0</v>
      </c>
      <c r="K39" s="23">
        <v>1500900000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0</v>
      </c>
      <c r="F40" s="25">
        <v>0</v>
      </c>
      <c r="G40" s="25">
        <v>0</v>
      </c>
      <c r="I40" s="25">
        <v>0</v>
      </c>
      <c r="J40" s="25">
        <v>0</v>
      </c>
      <c r="K40" s="25">
        <v>0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0</v>
      </c>
      <c r="F42" s="25">
        <v>0</v>
      </c>
      <c r="G42" s="25">
        <v>0</v>
      </c>
      <c r="I42" s="25">
        <v>0</v>
      </c>
      <c r="J42" s="25">
        <v>0</v>
      </c>
      <c r="K42" s="25">
        <v>0</v>
      </c>
      <c r="M42" s="25">
        <v>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3888045</v>
      </c>
      <c r="F44" s="25">
        <v>0</v>
      </c>
      <c r="G44" s="25">
        <v>3888045</v>
      </c>
      <c r="I44" s="25">
        <v>3888045</v>
      </c>
      <c r="J44" s="25">
        <v>0</v>
      </c>
      <c r="K44" s="25">
        <v>3888045</v>
      </c>
      <c r="M44" s="25">
        <v>0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1144511587</v>
      </c>
      <c r="G45" s="23">
        <v>1144511587</v>
      </c>
      <c r="I45" s="23">
        <v>1144511587</v>
      </c>
      <c r="J45" s="23">
        <v>0</v>
      </c>
      <c r="K45" s="23">
        <v>1144511587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17831325</v>
      </c>
      <c r="F49" s="23">
        <v>0</v>
      </c>
      <c r="G49" s="23">
        <v>17831325</v>
      </c>
      <c r="I49" s="23">
        <v>17831325</v>
      </c>
      <c r="J49" s="23">
        <v>0</v>
      </c>
      <c r="K49" s="23">
        <v>17831325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2009697740</v>
      </c>
      <c r="F50" s="25">
        <v>0</v>
      </c>
      <c r="G50" s="25">
        <v>2009697740</v>
      </c>
      <c r="I50" s="25">
        <v>2009697740</v>
      </c>
      <c r="J50" s="25">
        <v>0</v>
      </c>
      <c r="K50" s="25">
        <v>2009697740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0</v>
      </c>
      <c r="J51" s="23">
        <v>0</v>
      </c>
      <c r="K51" s="23">
        <v>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3536206665</v>
      </c>
      <c r="F52" s="25">
        <v>0</v>
      </c>
      <c r="G52" s="25">
        <v>3536206665</v>
      </c>
      <c r="I52" s="25">
        <v>3536206665</v>
      </c>
      <c r="J52" s="25">
        <v>0</v>
      </c>
      <c r="K52" s="25">
        <v>3536206665</v>
      </c>
      <c r="M52" s="25">
        <v>0</v>
      </c>
    </row>
    <row r="53" spans="2:13" x14ac:dyDescent="0.35">
      <c r="B53" s="26"/>
      <c r="C53" s="27" t="s">
        <v>110</v>
      </c>
      <c r="E53" s="28">
        <v>7189278440</v>
      </c>
      <c r="F53" s="28">
        <v>0</v>
      </c>
      <c r="G53" s="28">
        <v>7189278440</v>
      </c>
      <c r="I53" s="28">
        <v>7022854403</v>
      </c>
      <c r="J53" s="28">
        <v>0</v>
      </c>
      <c r="K53" s="28">
        <v>7022854403</v>
      </c>
      <c r="M53" s="28">
        <v>166424037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7189278440</v>
      </c>
      <c r="F57" s="25">
        <v>0</v>
      </c>
      <c r="G57" s="25">
        <v>7189278440</v>
      </c>
      <c r="I57" s="25">
        <v>7022854403</v>
      </c>
      <c r="J57" s="25">
        <v>0</v>
      </c>
      <c r="K57" s="25">
        <v>7022854403</v>
      </c>
      <c r="M57" s="25">
        <v>166424037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25405275</v>
      </c>
      <c r="F62" s="28">
        <v>0</v>
      </c>
      <c r="G62" s="28">
        <v>25405275</v>
      </c>
      <c r="I62" s="28">
        <v>25405275</v>
      </c>
      <c r="J62" s="28">
        <v>0</v>
      </c>
      <c r="K62" s="28">
        <v>25405275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25405275</v>
      </c>
      <c r="F63" s="23">
        <v>0</v>
      </c>
      <c r="G63" s="23">
        <v>25405275</v>
      </c>
      <c r="I63" s="23">
        <v>25405275</v>
      </c>
      <c r="J63" s="23">
        <v>0</v>
      </c>
      <c r="K63" s="23">
        <v>25405275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0</v>
      </c>
      <c r="J66" s="28">
        <v>0</v>
      </c>
      <c r="K66" s="28">
        <v>0</v>
      </c>
      <c r="M66" s="28">
        <v>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0</v>
      </c>
      <c r="J68" s="25">
        <v>0</v>
      </c>
      <c r="K68" s="25">
        <v>0</v>
      </c>
      <c r="M68" s="25">
        <v>0</v>
      </c>
    </row>
    <row r="69" spans="2:13" x14ac:dyDescent="0.35">
      <c r="B69" s="26"/>
      <c r="C69" s="27" t="s">
        <v>125</v>
      </c>
      <c r="E69" s="28">
        <v>103602946</v>
      </c>
      <c r="F69" s="28">
        <v>0</v>
      </c>
      <c r="G69" s="28">
        <v>103602946</v>
      </c>
      <c r="I69" s="28">
        <v>103602946</v>
      </c>
      <c r="J69" s="28">
        <v>0</v>
      </c>
      <c r="K69" s="28">
        <v>103602946</v>
      </c>
      <c r="M69" s="28">
        <v>0</v>
      </c>
    </row>
    <row r="70" spans="2:13" x14ac:dyDescent="0.35">
      <c r="B70" s="31">
        <v>56</v>
      </c>
      <c r="C70" s="29" t="s">
        <v>126</v>
      </c>
      <c r="E70" s="23">
        <v>103602946</v>
      </c>
      <c r="F70" s="23">
        <v>0</v>
      </c>
      <c r="G70" s="23">
        <v>103602946</v>
      </c>
      <c r="I70" s="23">
        <v>103602946</v>
      </c>
      <c r="J70" s="23">
        <v>0</v>
      </c>
      <c r="K70" s="23">
        <v>103602946</v>
      </c>
      <c r="M70" s="23">
        <v>0</v>
      </c>
    </row>
    <row r="71" spans="2:13" x14ac:dyDescent="0.35">
      <c r="B71" s="26"/>
      <c r="C71" s="27" t="s">
        <v>127</v>
      </c>
      <c r="E71" s="28">
        <v>427491542</v>
      </c>
      <c r="F71" s="28">
        <v>0</v>
      </c>
      <c r="G71" s="28">
        <v>427491542</v>
      </c>
      <c r="I71" s="28">
        <v>427491542</v>
      </c>
      <c r="J71" s="28">
        <v>0</v>
      </c>
      <c r="K71" s="28">
        <v>427491542</v>
      </c>
      <c r="M71" s="28">
        <v>0</v>
      </c>
    </row>
    <row r="72" spans="2:13" x14ac:dyDescent="0.35">
      <c r="B72" s="32">
        <v>57</v>
      </c>
      <c r="C72" s="30" t="s">
        <v>128</v>
      </c>
      <c r="E72" s="25">
        <v>427491542</v>
      </c>
      <c r="F72" s="25">
        <v>0</v>
      </c>
      <c r="G72" s="25">
        <v>427491542</v>
      </c>
      <c r="I72" s="25">
        <v>427491542</v>
      </c>
      <c r="J72" s="25">
        <v>0</v>
      </c>
      <c r="K72" s="25">
        <v>427491542</v>
      </c>
      <c r="M72" s="25">
        <v>0</v>
      </c>
    </row>
    <row r="73" spans="2:13" x14ac:dyDescent="0.35">
      <c r="B73" s="26"/>
      <c r="C73" s="27" t="s">
        <v>129</v>
      </c>
      <c r="E73" s="28">
        <v>0</v>
      </c>
      <c r="F73" s="28">
        <v>0</v>
      </c>
      <c r="G73" s="28">
        <v>0</v>
      </c>
      <c r="H73" s="33">
        <v>808920</v>
      </c>
      <c r="I73" s="28">
        <v>0</v>
      </c>
      <c r="J73" s="28">
        <v>0</v>
      </c>
      <c r="K73" s="28">
        <v>0</v>
      </c>
      <c r="M73" s="28">
        <v>0</v>
      </c>
    </row>
    <row r="74" spans="2:13" x14ac:dyDescent="0.35">
      <c r="B74" s="31">
        <v>58</v>
      </c>
      <c r="C74" s="29" t="s">
        <v>130</v>
      </c>
      <c r="E74" s="23">
        <v>0</v>
      </c>
      <c r="F74" s="23">
        <v>0</v>
      </c>
      <c r="G74" s="23">
        <v>0</v>
      </c>
      <c r="I74" s="23"/>
      <c r="J74" s="23">
        <v>0</v>
      </c>
      <c r="K74" s="23">
        <v>0</v>
      </c>
      <c r="M74" s="23">
        <v>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5:C603" xr:uid="{C9E3E29C-7BF2-461E-BA39-F8F33BF17A96}">
      <formula1>Compadjust</formula1>
    </dataValidation>
    <dataValidation type="list" allowBlank="1" showInputMessage="1" showErrorMessage="1" sqref="J203:J600 K75:M600" xr:uid="{5016A8CA-B47A-42B9-99FA-27C8FC6A6121}">
      <formula1>Taxes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BE66-2FDA-493E-9E3A-6247235D9255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21" x14ac:dyDescent="0.35">
      <c r="C1" s="7" t="s">
        <v>53</v>
      </c>
      <c r="E1" s="9" t="s">
        <v>10</v>
      </c>
      <c r="F1" s="9" t="s">
        <v>135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12397166649</v>
      </c>
      <c r="F8" s="20">
        <v>0</v>
      </c>
      <c r="G8" s="20">
        <v>12397166649</v>
      </c>
      <c r="I8" s="20">
        <v>12566252702</v>
      </c>
      <c r="J8" s="20">
        <v>46102725</v>
      </c>
      <c r="K8" s="20">
        <v>12612355427</v>
      </c>
      <c r="M8" s="20">
        <v>-215188778</v>
      </c>
    </row>
    <row r="9" spans="2:13" x14ac:dyDescent="0.35">
      <c r="B9" s="26"/>
      <c r="C9" s="27" t="s">
        <v>69</v>
      </c>
      <c r="E9" s="28">
        <v>5655766030</v>
      </c>
      <c r="F9" s="28">
        <v>0</v>
      </c>
      <c r="G9" s="28">
        <v>5655766030</v>
      </c>
      <c r="I9" s="28">
        <v>5609663305</v>
      </c>
      <c r="J9" s="28">
        <v>46102725</v>
      </c>
      <c r="K9" s="28">
        <v>5655766030</v>
      </c>
      <c r="M9" s="28">
        <v>0</v>
      </c>
    </row>
    <row r="10" spans="2:13" x14ac:dyDescent="0.35">
      <c r="B10" s="21">
        <v>3</v>
      </c>
      <c r="C10" s="29" t="s">
        <v>70</v>
      </c>
      <c r="E10" s="23">
        <v>5008666030</v>
      </c>
      <c r="F10" s="23">
        <v>0</v>
      </c>
      <c r="G10" s="23">
        <v>5008666030</v>
      </c>
      <c r="I10" s="23">
        <v>5602593305</v>
      </c>
      <c r="J10" s="23">
        <v>-593927275</v>
      </c>
      <c r="K10" s="23">
        <v>5008666030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9100000</v>
      </c>
      <c r="F11" s="25">
        <v>0</v>
      </c>
      <c r="G11" s="25">
        <v>9100000</v>
      </c>
      <c r="I11" s="25">
        <v>7070000</v>
      </c>
      <c r="J11" s="25">
        <v>2030000</v>
      </c>
      <c r="K11" s="25">
        <v>9100000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638000000</v>
      </c>
      <c r="F14" s="23">
        <v>0</v>
      </c>
      <c r="G14" s="23">
        <v>638000000</v>
      </c>
      <c r="I14" s="23">
        <v>0</v>
      </c>
      <c r="J14" s="23">
        <v>638000000</v>
      </c>
      <c r="K14" s="23">
        <v>638000000</v>
      </c>
      <c r="M14" s="23">
        <v>0</v>
      </c>
    </row>
    <row r="15" spans="2:13" x14ac:dyDescent="0.35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5560913641</v>
      </c>
      <c r="F36" s="28">
        <v>0</v>
      </c>
      <c r="G36" s="28">
        <v>5560913641</v>
      </c>
      <c r="I36" s="28">
        <v>6062303391</v>
      </c>
      <c r="J36" s="28">
        <v>0</v>
      </c>
      <c r="K36" s="28">
        <v>6062303391</v>
      </c>
      <c r="M36" s="28">
        <v>-501389750</v>
      </c>
    </row>
    <row r="37" spans="2:13" x14ac:dyDescent="0.35">
      <c r="B37" s="31">
        <v>27</v>
      </c>
      <c r="C37" s="29" t="s">
        <v>95</v>
      </c>
      <c r="E37" s="23">
        <v>5508274</v>
      </c>
      <c r="F37" s="23">
        <v>0</v>
      </c>
      <c r="G37" s="23">
        <v>5508274</v>
      </c>
      <c r="I37" s="23">
        <v>5508274</v>
      </c>
      <c r="J37" s="23">
        <v>0</v>
      </c>
      <c r="K37" s="23">
        <v>5508274</v>
      </c>
      <c r="M37" s="23">
        <v>0</v>
      </c>
    </row>
    <row r="38" spans="2:13" x14ac:dyDescent="0.35">
      <c r="B38" s="32">
        <v>28</v>
      </c>
      <c r="C38" s="30" t="s">
        <v>96</v>
      </c>
      <c r="E38" s="25">
        <v>5026167480</v>
      </c>
      <c r="F38" s="25">
        <v>0</v>
      </c>
      <c r="G38" s="25">
        <v>5026167480</v>
      </c>
      <c r="I38" s="25">
        <v>5479646998</v>
      </c>
      <c r="J38" s="25">
        <v>0</v>
      </c>
      <c r="K38" s="25">
        <v>5479646998</v>
      </c>
      <c r="M38" s="25">
        <v>-453479518</v>
      </c>
    </row>
    <row r="39" spans="2:13" x14ac:dyDescent="0.35">
      <c r="B39" s="31">
        <v>29</v>
      </c>
      <c r="C39" s="29" t="s">
        <v>97</v>
      </c>
      <c r="E39" s="23">
        <v>0</v>
      </c>
      <c r="F39" s="23">
        <v>0</v>
      </c>
      <c r="G39" s="23">
        <v>0</v>
      </c>
      <c r="I39" s="23">
        <v>0</v>
      </c>
      <c r="J39" s="23">
        <v>0</v>
      </c>
      <c r="K39" s="23">
        <v>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0</v>
      </c>
      <c r="F40" s="25">
        <v>0</v>
      </c>
      <c r="G40" s="25">
        <v>0</v>
      </c>
      <c r="I40" s="25">
        <v>0</v>
      </c>
      <c r="J40" s="25">
        <v>0</v>
      </c>
      <c r="K40" s="25">
        <v>0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503024309</v>
      </c>
      <c r="F42" s="25">
        <v>0</v>
      </c>
      <c r="G42" s="25">
        <v>503024309</v>
      </c>
      <c r="I42" s="25">
        <v>550934541</v>
      </c>
      <c r="J42" s="25">
        <v>0</v>
      </c>
      <c r="K42" s="25">
        <v>550934541</v>
      </c>
      <c r="M42" s="25">
        <v>-47910232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2016180</v>
      </c>
      <c r="F44" s="25">
        <v>0</v>
      </c>
      <c r="G44" s="25">
        <v>2016180</v>
      </c>
      <c r="I44" s="25">
        <v>2016180</v>
      </c>
      <c r="J44" s="25">
        <v>0</v>
      </c>
      <c r="K44" s="25">
        <v>2016180</v>
      </c>
      <c r="M44" s="25">
        <v>0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0</v>
      </c>
      <c r="J45" s="23">
        <v>0</v>
      </c>
      <c r="K45" s="23">
        <v>0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24197398</v>
      </c>
      <c r="F49" s="23">
        <v>0</v>
      </c>
      <c r="G49" s="23">
        <v>24197398</v>
      </c>
      <c r="I49" s="23">
        <v>24197398</v>
      </c>
      <c r="J49" s="23">
        <v>0</v>
      </c>
      <c r="K49" s="23">
        <v>24197398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0</v>
      </c>
      <c r="J51" s="23">
        <v>0</v>
      </c>
      <c r="K51" s="23">
        <v>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590506189</v>
      </c>
      <c r="F53" s="28">
        <v>0</v>
      </c>
      <c r="G53" s="28">
        <v>590506189</v>
      </c>
      <c r="I53" s="28">
        <v>282832741</v>
      </c>
      <c r="J53" s="28">
        <v>0</v>
      </c>
      <c r="K53" s="28">
        <v>282832741</v>
      </c>
      <c r="M53" s="28">
        <v>307673448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290506189</v>
      </c>
      <c r="F57" s="25">
        <v>0</v>
      </c>
      <c r="G57" s="25">
        <v>290506189</v>
      </c>
      <c r="I57" s="25">
        <v>282832741</v>
      </c>
      <c r="J57" s="25">
        <v>0</v>
      </c>
      <c r="K57" s="25">
        <v>282832741</v>
      </c>
      <c r="M57" s="25">
        <v>7673448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300000000</v>
      </c>
      <c r="F61" s="25">
        <v>0</v>
      </c>
      <c r="G61" s="25">
        <v>300000000</v>
      </c>
      <c r="I61" s="25">
        <v>0</v>
      </c>
      <c r="J61" s="25">
        <v>0</v>
      </c>
      <c r="K61" s="25">
        <v>0</v>
      </c>
      <c r="M61" s="25">
        <v>300000000</v>
      </c>
    </row>
    <row r="62" spans="2:13" x14ac:dyDescent="0.35">
      <c r="B62" s="26"/>
      <c r="C62" s="27" t="s">
        <v>119</v>
      </c>
      <c r="E62" s="28">
        <v>19472400</v>
      </c>
      <c r="F62" s="28">
        <v>0</v>
      </c>
      <c r="G62" s="28">
        <v>19472400</v>
      </c>
      <c r="I62" s="28">
        <v>19472400</v>
      </c>
      <c r="J62" s="28">
        <v>0</v>
      </c>
      <c r="K62" s="28">
        <v>19472400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19472400</v>
      </c>
      <c r="F63" s="23">
        <v>0</v>
      </c>
      <c r="G63" s="23">
        <v>19472400</v>
      </c>
      <c r="I63" s="23">
        <v>19472400</v>
      </c>
      <c r="J63" s="23">
        <v>0</v>
      </c>
      <c r="K63" s="23">
        <v>19472400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26550000</v>
      </c>
      <c r="J66" s="28">
        <v>0</v>
      </c>
      <c r="K66" s="28">
        <v>26550000</v>
      </c>
      <c r="M66" s="28">
        <v>-26550000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26550000</v>
      </c>
      <c r="J68" s="25">
        <v>0</v>
      </c>
      <c r="K68" s="25">
        <v>26550000</v>
      </c>
      <c r="M68" s="25">
        <v>-26550000</v>
      </c>
    </row>
    <row r="69" spans="2:13" x14ac:dyDescent="0.35">
      <c r="B69" s="26"/>
      <c r="C69" s="27" t="s">
        <v>125</v>
      </c>
      <c r="E69" s="28">
        <v>64631140</v>
      </c>
      <c r="F69" s="28">
        <v>0</v>
      </c>
      <c r="G69" s="28">
        <v>64631140</v>
      </c>
      <c r="I69" s="28">
        <v>59281488</v>
      </c>
      <c r="J69" s="28">
        <v>0</v>
      </c>
      <c r="K69" s="28">
        <v>59281488</v>
      </c>
      <c r="M69" s="28">
        <v>5349652</v>
      </c>
    </row>
    <row r="70" spans="2:13" x14ac:dyDescent="0.35">
      <c r="B70" s="31">
        <v>56</v>
      </c>
      <c r="C70" s="29" t="s">
        <v>126</v>
      </c>
      <c r="E70" s="23">
        <v>64631140</v>
      </c>
      <c r="F70" s="23">
        <v>0</v>
      </c>
      <c r="G70" s="23">
        <v>64631140</v>
      </c>
      <c r="I70" s="23">
        <v>59281488</v>
      </c>
      <c r="J70" s="23">
        <v>0</v>
      </c>
      <c r="K70" s="23">
        <v>59281488</v>
      </c>
      <c r="M70" s="23">
        <v>5349652</v>
      </c>
    </row>
    <row r="71" spans="2:13" x14ac:dyDescent="0.35">
      <c r="B71" s="26"/>
      <c r="C71" s="27" t="s">
        <v>127</v>
      </c>
      <c r="E71" s="28">
        <v>505877249</v>
      </c>
      <c r="F71" s="28">
        <v>0</v>
      </c>
      <c r="G71" s="28">
        <v>505877249</v>
      </c>
      <c r="I71" s="28">
        <v>506149377</v>
      </c>
      <c r="J71" s="28">
        <v>0</v>
      </c>
      <c r="K71" s="28">
        <v>506149377</v>
      </c>
      <c r="M71" s="28">
        <v>-272128</v>
      </c>
    </row>
    <row r="72" spans="2:13" x14ac:dyDescent="0.35">
      <c r="B72" s="32">
        <v>57</v>
      </c>
      <c r="C72" s="30" t="s">
        <v>128</v>
      </c>
      <c r="E72" s="25">
        <v>505877249</v>
      </c>
      <c r="F72" s="25">
        <v>0</v>
      </c>
      <c r="G72" s="25">
        <v>505877249</v>
      </c>
      <c r="I72" s="25">
        <v>506149377</v>
      </c>
      <c r="J72" s="25">
        <v>0</v>
      </c>
      <c r="K72" s="25">
        <v>506149377</v>
      </c>
      <c r="M72" s="25">
        <v>-272128</v>
      </c>
    </row>
    <row r="73" spans="2:13" x14ac:dyDescent="0.35">
      <c r="B73" s="26"/>
      <c r="C73" s="27" t="s">
        <v>129</v>
      </c>
      <c r="E73" s="28">
        <v>0</v>
      </c>
      <c r="F73" s="28">
        <v>0</v>
      </c>
      <c r="G73" s="28">
        <v>0</v>
      </c>
      <c r="H73" s="33">
        <v>808920</v>
      </c>
      <c r="I73" s="28">
        <v>0</v>
      </c>
      <c r="J73" s="28">
        <v>0</v>
      </c>
      <c r="K73" s="28">
        <v>0</v>
      </c>
      <c r="M73" s="28">
        <v>0</v>
      </c>
    </row>
    <row r="74" spans="2:13" x14ac:dyDescent="0.35">
      <c r="B74" s="31">
        <v>58</v>
      </c>
      <c r="C74" s="29" t="s">
        <v>130</v>
      </c>
      <c r="E74" s="23">
        <v>0</v>
      </c>
      <c r="F74" s="23">
        <v>0</v>
      </c>
      <c r="G74" s="23">
        <v>0</v>
      </c>
      <c r="I74" s="23">
        <v>0</v>
      </c>
      <c r="J74" s="23">
        <v>0</v>
      </c>
      <c r="K74" s="23">
        <v>0</v>
      </c>
      <c r="M74" s="23">
        <v>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9D2DD5DD-48BF-4115-9493-B3775DFE9771}">
      <formula1>Taxes</formula1>
    </dataValidation>
    <dataValidation type="list" allowBlank="1" showInputMessage="1" showErrorMessage="1" sqref="C75:C603" xr:uid="{B6F3625F-4071-4C62-88D8-1C2876F36859}">
      <formula1>Compadjust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E0D1-401C-4280-AE6C-78F292FCA8F3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63.75" customHeight="1" x14ac:dyDescent="0.35">
      <c r="C1" s="7" t="s">
        <v>53</v>
      </c>
      <c r="E1" s="9" t="s">
        <v>12</v>
      </c>
      <c r="F1" s="9" t="s">
        <v>136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440357044</v>
      </c>
      <c r="F8" s="20">
        <v>302794645</v>
      </c>
      <c r="G8" s="20">
        <v>743151689</v>
      </c>
      <c r="I8" s="20">
        <v>741061129</v>
      </c>
      <c r="J8" s="20">
        <v>0</v>
      </c>
      <c r="K8" s="20">
        <v>741061129</v>
      </c>
      <c r="M8" s="20">
        <v>2090560</v>
      </c>
    </row>
    <row r="9" spans="2:13" x14ac:dyDescent="0.35">
      <c r="B9" s="26"/>
      <c r="C9" s="27" t="s">
        <v>69</v>
      </c>
      <c r="E9" s="28">
        <v>91295852</v>
      </c>
      <c r="F9" s="28">
        <v>2562400</v>
      </c>
      <c r="G9" s="28">
        <v>93858252</v>
      </c>
      <c r="I9" s="28">
        <v>93859252</v>
      </c>
      <c r="J9" s="28">
        <v>0</v>
      </c>
      <c r="K9" s="28">
        <v>93859252</v>
      </c>
      <c r="M9" s="28">
        <v>-1000</v>
      </c>
    </row>
    <row r="10" spans="2:13" x14ac:dyDescent="0.35">
      <c r="B10" s="21">
        <v>3</v>
      </c>
      <c r="C10" s="29" t="s">
        <v>70</v>
      </c>
      <c r="E10" s="23">
        <v>91295852</v>
      </c>
      <c r="F10" s="23">
        <v>2562400</v>
      </c>
      <c r="G10" s="23">
        <v>93858252</v>
      </c>
      <c r="I10" s="23">
        <v>93859252</v>
      </c>
      <c r="J10" s="23">
        <v>0</v>
      </c>
      <c r="K10" s="23">
        <v>93859252</v>
      </c>
      <c r="M10" s="23">
        <v>-1000</v>
      </c>
    </row>
    <row r="11" spans="2:13" x14ac:dyDescent="0.35">
      <c r="B11" s="6">
        <v>4</v>
      </c>
      <c r="C11" s="30" t="s">
        <v>71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286662737</v>
      </c>
      <c r="F36" s="28">
        <v>300232245</v>
      </c>
      <c r="G36" s="28">
        <v>586894982</v>
      </c>
      <c r="I36" s="28">
        <v>586934982</v>
      </c>
      <c r="J36" s="28">
        <v>0</v>
      </c>
      <c r="K36" s="28">
        <v>586934982</v>
      </c>
      <c r="M36" s="28">
        <v>-40000</v>
      </c>
    </row>
    <row r="37" spans="2:13" x14ac:dyDescent="0.35">
      <c r="B37" s="31">
        <v>27</v>
      </c>
      <c r="C37" s="29" t="s">
        <v>95</v>
      </c>
      <c r="E37" s="23">
        <v>58262591</v>
      </c>
      <c r="F37" s="23">
        <v>0</v>
      </c>
      <c r="G37" s="23">
        <v>58262591</v>
      </c>
      <c r="I37" s="23">
        <v>58262591</v>
      </c>
      <c r="J37" s="23">
        <v>0</v>
      </c>
      <c r="K37" s="23">
        <v>58262591</v>
      </c>
      <c r="M37" s="23">
        <v>0</v>
      </c>
    </row>
    <row r="38" spans="2:13" x14ac:dyDescent="0.35">
      <c r="B38" s="32">
        <v>28</v>
      </c>
      <c r="C38" s="30" t="s">
        <v>96</v>
      </c>
      <c r="E38" s="25">
        <v>72377636</v>
      </c>
      <c r="F38" s="25">
        <v>0</v>
      </c>
      <c r="G38" s="25">
        <v>72377636</v>
      </c>
      <c r="I38" s="25">
        <v>72377636</v>
      </c>
      <c r="J38" s="25">
        <v>0</v>
      </c>
      <c r="K38" s="25">
        <v>72377636</v>
      </c>
      <c r="M38" s="25">
        <v>0</v>
      </c>
    </row>
    <row r="39" spans="2:13" x14ac:dyDescent="0.35">
      <c r="B39" s="31">
        <v>29</v>
      </c>
      <c r="C39" s="29" t="s">
        <v>97</v>
      </c>
      <c r="E39" s="23">
        <v>0</v>
      </c>
      <c r="F39" s="23">
        <v>0</v>
      </c>
      <c r="G39" s="23">
        <v>0</v>
      </c>
      <c r="I39" s="23">
        <v>0</v>
      </c>
      <c r="J39" s="23">
        <v>0</v>
      </c>
      <c r="K39" s="23">
        <v>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150846041</v>
      </c>
      <c r="F40" s="25">
        <v>170702945</v>
      </c>
      <c r="G40" s="25">
        <v>321548986</v>
      </c>
      <c r="I40" s="25">
        <v>321548986</v>
      </c>
      <c r="J40" s="25">
        <v>0</v>
      </c>
      <c r="K40" s="25">
        <v>321548986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0</v>
      </c>
      <c r="F42" s="25">
        <v>32797631</v>
      </c>
      <c r="G42" s="25">
        <v>32797631</v>
      </c>
      <c r="I42" s="25">
        <v>32797631</v>
      </c>
      <c r="J42" s="25">
        <v>0</v>
      </c>
      <c r="K42" s="25">
        <v>32797631</v>
      </c>
      <c r="M42" s="25">
        <v>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5176469</v>
      </c>
      <c r="F44" s="25">
        <v>0</v>
      </c>
      <c r="G44" s="25">
        <v>5176469</v>
      </c>
      <c r="I44" s="25">
        <v>5176469</v>
      </c>
      <c r="J44" s="25">
        <v>0</v>
      </c>
      <c r="K44" s="25">
        <v>5176469</v>
      </c>
      <c r="M44" s="25">
        <v>0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0</v>
      </c>
      <c r="J45" s="23">
        <v>0</v>
      </c>
      <c r="K45" s="23">
        <v>0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0</v>
      </c>
      <c r="F49" s="23">
        <v>96731669</v>
      </c>
      <c r="G49" s="23">
        <v>96731669</v>
      </c>
      <c r="I49" s="23">
        <v>96731669</v>
      </c>
      <c r="J49" s="23">
        <v>0</v>
      </c>
      <c r="K49" s="23">
        <v>96731669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40000</v>
      </c>
      <c r="J51" s="23">
        <v>0</v>
      </c>
      <c r="K51" s="23">
        <v>40000</v>
      </c>
      <c r="M51" s="23">
        <v>-40000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0</v>
      </c>
      <c r="F53" s="28">
        <v>0</v>
      </c>
      <c r="G53" s="28">
        <v>0</v>
      </c>
      <c r="I53" s="28">
        <v>0</v>
      </c>
      <c r="J53" s="28">
        <v>0</v>
      </c>
      <c r="K53" s="28">
        <v>0</v>
      </c>
      <c r="M53" s="28">
        <v>0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0</v>
      </c>
      <c r="F57" s="25">
        <v>0</v>
      </c>
      <c r="G57" s="25">
        <v>0</v>
      </c>
      <c r="I57" s="25">
        <v>0</v>
      </c>
      <c r="J57" s="25">
        <v>0</v>
      </c>
      <c r="K57" s="25">
        <v>0</v>
      </c>
      <c r="M57" s="25">
        <v>0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0</v>
      </c>
      <c r="F62" s="28">
        <v>0</v>
      </c>
      <c r="G62" s="28">
        <v>0</v>
      </c>
      <c r="I62" s="28">
        <v>0</v>
      </c>
      <c r="J62" s="28">
        <v>0</v>
      </c>
      <c r="K62" s="28">
        <v>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12572000</v>
      </c>
      <c r="F66" s="28">
        <v>0</v>
      </c>
      <c r="G66" s="28">
        <v>12572000</v>
      </c>
      <c r="I66" s="28">
        <v>12572000</v>
      </c>
      <c r="J66" s="28">
        <v>0</v>
      </c>
      <c r="K66" s="28">
        <v>12572000</v>
      </c>
      <c r="M66" s="28">
        <v>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12572000</v>
      </c>
      <c r="F68" s="25">
        <v>0</v>
      </c>
      <c r="G68" s="25">
        <v>12572000</v>
      </c>
      <c r="I68" s="25">
        <v>12572000</v>
      </c>
      <c r="J68" s="25">
        <v>0</v>
      </c>
      <c r="K68" s="25">
        <v>12572000</v>
      </c>
      <c r="M68" s="25">
        <v>0</v>
      </c>
    </row>
    <row r="69" spans="2:13" x14ac:dyDescent="0.35">
      <c r="B69" s="26"/>
      <c r="C69" s="27" t="s">
        <v>125</v>
      </c>
      <c r="E69" s="28">
        <v>6670759</v>
      </c>
      <c r="F69" s="28">
        <v>0</v>
      </c>
      <c r="G69" s="28">
        <v>6670759</v>
      </c>
      <c r="I69" s="28">
        <v>6814399</v>
      </c>
      <c r="J69" s="28">
        <v>0</v>
      </c>
      <c r="K69" s="28">
        <v>6814399</v>
      </c>
      <c r="M69" s="28">
        <v>-143640</v>
      </c>
    </row>
    <row r="70" spans="2:13" x14ac:dyDescent="0.35">
      <c r="B70" s="31">
        <v>56</v>
      </c>
      <c r="C70" s="29" t="s">
        <v>126</v>
      </c>
      <c r="E70" s="23">
        <v>6670759</v>
      </c>
      <c r="F70" s="23">
        <v>0</v>
      </c>
      <c r="G70" s="23">
        <v>6670759</v>
      </c>
      <c r="I70" s="23">
        <v>6814399</v>
      </c>
      <c r="J70" s="23">
        <v>0</v>
      </c>
      <c r="K70" s="23">
        <v>6814399</v>
      </c>
      <c r="M70" s="23">
        <v>-143640</v>
      </c>
    </row>
    <row r="71" spans="2:13" x14ac:dyDescent="0.35">
      <c r="B71" s="26"/>
      <c r="C71" s="27" t="s">
        <v>127</v>
      </c>
      <c r="E71" s="28">
        <v>40880496</v>
      </c>
      <c r="F71" s="28">
        <v>0</v>
      </c>
      <c r="G71" s="28">
        <v>40880496</v>
      </c>
      <c r="I71" s="28">
        <v>40880496</v>
      </c>
      <c r="J71" s="28">
        <v>0</v>
      </c>
      <c r="K71" s="28">
        <v>40880496</v>
      </c>
      <c r="M71" s="28">
        <v>0</v>
      </c>
    </row>
    <row r="72" spans="2:13" x14ac:dyDescent="0.35">
      <c r="B72" s="32">
        <v>57</v>
      </c>
      <c r="C72" s="30" t="s">
        <v>128</v>
      </c>
      <c r="E72" s="25">
        <v>40880496</v>
      </c>
      <c r="F72" s="25">
        <v>0</v>
      </c>
      <c r="G72" s="25">
        <v>40880496</v>
      </c>
      <c r="I72" s="25">
        <v>40880496</v>
      </c>
      <c r="J72" s="25">
        <v>0</v>
      </c>
      <c r="K72" s="25">
        <v>40880496</v>
      </c>
      <c r="M72" s="25">
        <v>0</v>
      </c>
    </row>
    <row r="73" spans="2:13" x14ac:dyDescent="0.35">
      <c r="B73" s="26"/>
      <c r="C73" s="27" t="s">
        <v>129</v>
      </c>
      <c r="E73" s="28">
        <v>2275200</v>
      </c>
      <c r="F73" s="28">
        <v>0</v>
      </c>
      <c r="G73" s="28">
        <v>2275200</v>
      </c>
      <c r="H73" s="33">
        <v>808920</v>
      </c>
      <c r="I73" s="28">
        <v>0</v>
      </c>
      <c r="J73" s="28">
        <v>0</v>
      </c>
      <c r="K73" s="28">
        <v>0</v>
      </c>
      <c r="M73" s="28">
        <v>2275200</v>
      </c>
    </row>
    <row r="74" spans="2:13" x14ac:dyDescent="0.35">
      <c r="B74" s="31">
        <v>58</v>
      </c>
      <c r="C74" s="29" t="s">
        <v>130</v>
      </c>
      <c r="E74" s="23">
        <v>2275200</v>
      </c>
      <c r="F74" s="23">
        <v>0</v>
      </c>
      <c r="G74" s="23">
        <v>2275200</v>
      </c>
      <c r="I74" s="23">
        <v>0</v>
      </c>
      <c r="J74" s="23">
        <v>0</v>
      </c>
      <c r="K74" s="23">
        <v>0</v>
      </c>
      <c r="M74" s="23">
        <v>2275200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AAECF20B-4063-4E72-A0B8-5EA1F531237F}">
      <formula1>Taxes</formula1>
    </dataValidation>
    <dataValidation type="list" allowBlank="1" showInputMessage="1" showErrorMessage="1" sqref="C75:C603" xr:uid="{9A2EE00E-C5E6-436C-A1CB-028673B2AB7B}">
      <formula1>Compadjust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15EF-439D-4538-BB72-147EC87C5A30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21" x14ac:dyDescent="0.35">
      <c r="C1" s="7" t="s">
        <v>53</v>
      </c>
      <c r="E1" s="9" t="s">
        <v>14</v>
      </c>
      <c r="F1" s="9" t="s">
        <v>137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4693878828</v>
      </c>
      <c r="F8" s="20">
        <v>0</v>
      </c>
      <c r="G8" s="20">
        <v>4693878828</v>
      </c>
      <c r="I8" s="20">
        <v>4692484649</v>
      </c>
      <c r="J8" s="20">
        <v>0</v>
      </c>
      <c r="K8" s="20">
        <v>4692484649</v>
      </c>
      <c r="M8" s="20">
        <v>1394179</v>
      </c>
    </row>
    <row r="9" spans="2:13" x14ac:dyDescent="0.35">
      <c r="B9" s="26"/>
      <c r="C9" s="27" t="s">
        <v>69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5">
      <c r="B10" s="21">
        <v>3</v>
      </c>
      <c r="C10" s="29" t="s">
        <v>70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3664364586</v>
      </c>
      <c r="F36" s="28">
        <v>0</v>
      </c>
      <c r="G36" s="28">
        <v>3664364586</v>
      </c>
      <c r="I36" s="28">
        <v>3664364586</v>
      </c>
      <c r="J36" s="28">
        <v>0</v>
      </c>
      <c r="K36" s="28">
        <v>3664364586</v>
      </c>
      <c r="M36" s="28">
        <v>0</v>
      </c>
    </row>
    <row r="37" spans="2:13" x14ac:dyDescent="0.35">
      <c r="B37" s="31">
        <v>27</v>
      </c>
      <c r="C37" s="29" t="s">
        <v>95</v>
      </c>
      <c r="E37" s="23">
        <v>561939177</v>
      </c>
      <c r="F37" s="23">
        <v>-3186009</v>
      </c>
      <c r="G37" s="23">
        <v>558753168</v>
      </c>
      <c r="I37" s="23">
        <v>558753168</v>
      </c>
      <c r="J37" s="23">
        <v>0</v>
      </c>
      <c r="K37" s="23">
        <v>558753168</v>
      </c>
      <c r="M37" s="23">
        <v>0</v>
      </c>
    </row>
    <row r="38" spans="2:13" x14ac:dyDescent="0.35">
      <c r="B38" s="32">
        <v>28</v>
      </c>
      <c r="C38" s="30" t="s">
        <v>96</v>
      </c>
      <c r="E38" s="25">
        <v>3039912537</v>
      </c>
      <c r="F38" s="25">
        <v>0</v>
      </c>
      <c r="G38" s="25">
        <v>3039912537</v>
      </c>
      <c r="I38" s="25">
        <v>3039912537</v>
      </c>
      <c r="J38" s="25">
        <v>0</v>
      </c>
      <c r="K38" s="25">
        <v>3039912537</v>
      </c>
      <c r="M38" s="25">
        <v>0</v>
      </c>
    </row>
    <row r="39" spans="2:13" x14ac:dyDescent="0.35">
      <c r="B39" s="31">
        <v>29</v>
      </c>
      <c r="C39" s="29" t="s">
        <v>97</v>
      </c>
      <c r="E39" s="23">
        <v>0</v>
      </c>
      <c r="F39" s="23">
        <v>0</v>
      </c>
      <c r="G39" s="23">
        <v>0</v>
      </c>
      <c r="I39" s="23">
        <v>0</v>
      </c>
      <c r="J39" s="23">
        <v>0</v>
      </c>
      <c r="K39" s="23">
        <v>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0</v>
      </c>
      <c r="F40" s="25">
        <v>0</v>
      </c>
      <c r="G40" s="25">
        <v>0</v>
      </c>
      <c r="I40" s="25">
        <v>0</v>
      </c>
      <c r="J40" s="25">
        <v>0</v>
      </c>
      <c r="K40" s="25">
        <v>0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0</v>
      </c>
      <c r="F42" s="25">
        <v>0</v>
      </c>
      <c r="G42" s="25">
        <v>0</v>
      </c>
      <c r="I42" s="25">
        <v>0</v>
      </c>
      <c r="J42" s="25">
        <v>0</v>
      </c>
      <c r="K42" s="25">
        <v>0</v>
      </c>
      <c r="M42" s="25">
        <v>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62512872</v>
      </c>
      <c r="F44" s="25">
        <v>3186009</v>
      </c>
      <c r="G44" s="25">
        <v>65698881</v>
      </c>
      <c r="I44" s="25">
        <v>65698881</v>
      </c>
      <c r="J44" s="25">
        <v>0</v>
      </c>
      <c r="K44" s="25">
        <v>65698881</v>
      </c>
      <c r="M44" s="25">
        <v>0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0</v>
      </c>
      <c r="J45" s="23">
        <v>0</v>
      </c>
      <c r="K45" s="23">
        <v>0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0</v>
      </c>
      <c r="F49" s="23">
        <v>0</v>
      </c>
      <c r="G49" s="23">
        <v>0</v>
      </c>
      <c r="I49" s="23">
        <v>0</v>
      </c>
      <c r="J49" s="23">
        <v>0</v>
      </c>
      <c r="K49" s="23">
        <v>0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0</v>
      </c>
      <c r="J51" s="23">
        <v>0</v>
      </c>
      <c r="K51" s="23">
        <v>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0</v>
      </c>
      <c r="F53" s="28">
        <v>0</v>
      </c>
      <c r="G53" s="28">
        <v>0</v>
      </c>
      <c r="I53" s="28">
        <v>92614</v>
      </c>
      <c r="J53" s="28">
        <v>0</v>
      </c>
      <c r="K53" s="28">
        <v>92614</v>
      </c>
      <c r="M53" s="28">
        <v>-92614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0</v>
      </c>
      <c r="F57" s="25">
        <v>0</v>
      </c>
      <c r="G57" s="25">
        <v>0</v>
      </c>
      <c r="I57" s="25">
        <v>92614</v>
      </c>
      <c r="J57" s="25">
        <v>0</v>
      </c>
      <c r="K57" s="25">
        <v>92614</v>
      </c>
      <c r="M57" s="25">
        <v>-92614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0</v>
      </c>
      <c r="F62" s="28">
        <v>0</v>
      </c>
      <c r="G62" s="28">
        <v>0</v>
      </c>
      <c r="I62" s="28">
        <v>0</v>
      </c>
      <c r="J62" s="28">
        <v>0</v>
      </c>
      <c r="K62" s="28">
        <v>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0</v>
      </c>
      <c r="J66" s="28">
        <v>0</v>
      </c>
      <c r="K66" s="28">
        <v>0</v>
      </c>
      <c r="M66" s="28">
        <v>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0</v>
      </c>
      <c r="J68" s="25">
        <v>0</v>
      </c>
      <c r="K68" s="25">
        <v>0</v>
      </c>
      <c r="M68" s="25">
        <v>0</v>
      </c>
    </row>
    <row r="69" spans="2:13" x14ac:dyDescent="0.35">
      <c r="B69" s="26"/>
      <c r="C69" s="27" t="s">
        <v>125</v>
      </c>
      <c r="E69" s="28">
        <v>199515612</v>
      </c>
      <c r="F69" s="28">
        <v>0</v>
      </c>
      <c r="G69" s="28">
        <v>199515612</v>
      </c>
      <c r="I69" s="28">
        <v>198028819</v>
      </c>
      <c r="J69" s="28">
        <v>0</v>
      </c>
      <c r="K69" s="28">
        <v>198028819</v>
      </c>
      <c r="M69" s="28">
        <v>1486793</v>
      </c>
    </row>
    <row r="70" spans="2:13" x14ac:dyDescent="0.35">
      <c r="B70" s="31">
        <v>56</v>
      </c>
      <c r="C70" s="29" t="s">
        <v>126</v>
      </c>
      <c r="E70" s="23">
        <v>199515612</v>
      </c>
      <c r="F70" s="23">
        <v>0</v>
      </c>
      <c r="G70" s="23">
        <v>199515612</v>
      </c>
      <c r="I70" s="23">
        <v>198028819</v>
      </c>
      <c r="J70" s="23">
        <v>0</v>
      </c>
      <c r="K70" s="23">
        <v>198028819</v>
      </c>
      <c r="M70" s="23">
        <v>1486793</v>
      </c>
    </row>
    <row r="71" spans="2:13" x14ac:dyDescent="0.35">
      <c r="B71" s="26"/>
      <c r="C71" s="27" t="s">
        <v>127</v>
      </c>
      <c r="E71" s="28">
        <v>829998630</v>
      </c>
      <c r="F71" s="28">
        <v>0</v>
      </c>
      <c r="G71" s="28">
        <v>829998630</v>
      </c>
      <c r="I71" s="28">
        <v>829998630</v>
      </c>
      <c r="J71" s="28">
        <v>0</v>
      </c>
      <c r="K71" s="28">
        <v>829998630</v>
      </c>
      <c r="M71" s="28">
        <v>0</v>
      </c>
    </row>
    <row r="72" spans="2:13" x14ac:dyDescent="0.35">
      <c r="B72" s="32">
        <v>57</v>
      </c>
      <c r="C72" s="30" t="s">
        <v>128</v>
      </c>
      <c r="E72" s="25">
        <v>829998630</v>
      </c>
      <c r="F72" s="25">
        <v>0</v>
      </c>
      <c r="G72" s="25">
        <v>829998630</v>
      </c>
      <c r="I72" s="25">
        <v>829998630</v>
      </c>
      <c r="J72" s="25">
        <v>0</v>
      </c>
      <c r="K72" s="25">
        <v>829998630</v>
      </c>
      <c r="M72" s="25">
        <v>0</v>
      </c>
    </row>
    <row r="73" spans="2:13" x14ac:dyDescent="0.35">
      <c r="B73" s="26"/>
      <c r="C73" s="27" t="s">
        <v>129</v>
      </c>
      <c r="E73" s="28">
        <v>0</v>
      </c>
      <c r="F73" s="28">
        <v>0</v>
      </c>
      <c r="G73" s="28">
        <v>0</v>
      </c>
      <c r="H73" s="33">
        <v>808920</v>
      </c>
      <c r="I73" s="28">
        <v>0</v>
      </c>
      <c r="J73" s="28">
        <v>0</v>
      </c>
      <c r="K73" s="28">
        <v>0</v>
      </c>
      <c r="M73" s="28">
        <v>0</v>
      </c>
    </row>
    <row r="74" spans="2:13" x14ac:dyDescent="0.35">
      <c r="B74" s="31">
        <v>58</v>
      </c>
      <c r="C74" s="29" t="s">
        <v>130</v>
      </c>
      <c r="E74" s="23"/>
      <c r="F74" s="23">
        <v>0</v>
      </c>
      <c r="G74" s="23">
        <v>0</v>
      </c>
      <c r="I74" s="23"/>
      <c r="J74" s="23">
        <v>0</v>
      </c>
      <c r="K74" s="23">
        <v>0</v>
      </c>
      <c r="M74" s="23">
        <v>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18F9A399-82FC-4CE1-9799-DEF2181203F7}">
      <formula1>Taxes</formula1>
    </dataValidation>
    <dataValidation type="list" allowBlank="1" showInputMessage="1" showErrorMessage="1" sqref="C75:C603" xr:uid="{ADA36EBA-3136-4A6B-9D46-3F67DDC4A8E8}">
      <formula1>Compadjust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8968-00F5-48C2-B641-6BAEE5B9AF0C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21" x14ac:dyDescent="0.35">
      <c r="C1" s="7" t="s">
        <v>53</v>
      </c>
      <c r="E1" s="9" t="s">
        <v>16</v>
      </c>
      <c r="F1" s="9" t="s">
        <v>138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18032889820</v>
      </c>
      <c r="F8" s="20">
        <v>303638917</v>
      </c>
      <c r="G8" s="20">
        <v>18336528737</v>
      </c>
      <c r="I8" s="20">
        <v>18310353596</v>
      </c>
      <c r="J8" s="20">
        <v>0</v>
      </c>
      <c r="K8" s="20">
        <v>18310353596</v>
      </c>
      <c r="M8" s="20">
        <v>26175141</v>
      </c>
    </row>
    <row r="9" spans="2:13" x14ac:dyDescent="0.35">
      <c r="B9" s="26"/>
      <c r="C9" s="27" t="s">
        <v>69</v>
      </c>
      <c r="E9" s="28">
        <v>105525171</v>
      </c>
      <c r="F9" s="28">
        <v>0</v>
      </c>
      <c r="G9" s="28">
        <v>105525171</v>
      </c>
      <c r="I9" s="28">
        <v>102278262</v>
      </c>
      <c r="J9" s="28">
        <v>0</v>
      </c>
      <c r="K9" s="28">
        <v>102278262</v>
      </c>
      <c r="M9" s="28">
        <v>3246909</v>
      </c>
    </row>
    <row r="10" spans="2:13" x14ac:dyDescent="0.35">
      <c r="B10" s="21">
        <v>3</v>
      </c>
      <c r="C10" s="29" t="s">
        <v>70</v>
      </c>
      <c r="E10" s="23">
        <v>105525171</v>
      </c>
      <c r="F10" s="23">
        <v>0</v>
      </c>
      <c r="G10" s="23">
        <v>105525171</v>
      </c>
      <c r="I10" s="23">
        <v>102278262</v>
      </c>
      <c r="J10" s="23">
        <v>0</v>
      </c>
      <c r="K10" s="23">
        <v>102278262</v>
      </c>
      <c r="M10" s="23">
        <v>3246909</v>
      </c>
    </row>
    <row r="11" spans="2:13" x14ac:dyDescent="0.35">
      <c r="B11" s="6">
        <v>4</v>
      </c>
      <c r="C11" s="30" t="s">
        <v>71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11660913300</v>
      </c>
      <c r="F36" s="28">
        <v>114168917</v>
      </c>
      <c r="G36" s="28">
        <v>11775082217</v>
      </c>
      <c r="I36" s="28">
        <v>11775079667</v>
      </c>
      <c r="J36" s="28">
        <v>0</v>
      </c>
      <c r="K36" s="28">
        <v>11775079667</v>
      </c>
      <c r="M36" s="28">
        <v>2550</v>
      </c>
    </row>
    <row r="37" spans="2:13" x14ac:dyDescent="0.35">
      <c r="B37" s="31">
        <v>27</v>
      </c>
      <c r="C37" s="29" t="s">
        <v>95</v>
      </c>
      <c r="E37" s="23">
        <v>5033551012</v>
      </c>
      <c r="F37" s="23">
        <v>0</v>
      </c>
      <c r="G37" s="23">
        <v>5033551012</v>
      </c>
      <c r="I37" s="23">
        <v>5033551012</v>
      </c>
      <c r="J37" s="23">
        <v>0</v>
      </c>
      <c r="K37" s="23">
        <v>5033551012</v>
      </c>
      <c r="M37" s="23">
        <v>0</v>
      </c>
    </row>
    <row r="38" spans="2:13" x14ac:dyDescent="0.35">
      <c r="B38" s="32">
        <v>28</v>
      </c>
      <c r="C38" s="30" t="s">
        <v>96</v>
      </c>
      <c r="E38" s="25">
        <v>940030000</v>
      </c>
      <c r="F38" s="25">
        <v>0</v>
      </c>
      <c r="G38" s="25">
        <v>940030000</v>
      </c>
      <c r="I38" s="25">
        <v>940030000</v>
      </c>
      <c r="J38" s="25">
        <v>0</v>
      </c>
      <c r="K38" s="25">
        <v>940030000</v>
      </c>
      <c r="M38" s="25">
        <v>0</v>
      </c>
    </row>
    <row r="39" spans="2:13" x14ac:dyDescent="0.35">
      <c r="B39" s="31">
        <v>29</v>
      </c>
      <c r="C39" s="29" t="s">
        <v>97</v>
      </c>
      <c r="E39" s="23">
        <v>650021100</v>
      </c>
      <c r="F39" s="23">
        <v>0</v>
      </c>
      <c r="G39" s="23">
        <v>650021100</v>
      </c>
      <c r="I39" s="23">
        <v>650021100</v>
      </c>
      <c r="J39" s="23">
        <v>0</v>
      </c>
      <c r="K39" s="23">
        <v>650021100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0</v>
      </c>
      <c r="F40" s="25">
        <v>0</v>
      </c>
      <c r="G40" s="25">
        <v>0</v>
      </c>
      <c r="I40" s="25">
        <v>0</v>
      </c>
      <c r="J40" s="25">
        <v>0</v>
      </c>
      <c r="K40" s="25">
        <v>0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117939800</v>
      </c>
      <c r="F42" s="25">
        <v>8242624</v>
      </c>
      <c r="G42" s="25">
        <v>126182424</v>
      </c>
      <c r="I42" s="25">
        <v>126182424</v>
      </c>
      <c r="J42" s="25">
        <v>0</v>
      </c>
      <c r="K42" s="25">
        <v>126182424</v>
      </c>
      <c r="M42" s="25">
        <v>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2203688</v>
      </c>
      <c r="F44" s="25">
        <v>0</v>
      </c>
      <c r="G44" s="25">
        <v>2203688</v>
      </c>
      <c r="I44" s="25">
        <v>2204138</v>
      </c>
      <c r="J44" s="25">
        <v>0</v>
      </c>
      <c r="K44" s="25">
        <v>2204138</v>
      </c>
      <c r="M44" s="25">
        <v>-450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105926293</v>
      </c>
      <c r="G45" s="23">
        <v>105926293</v>
      </c>
      <c r="I45" s="23">
        <v>105926293</v>
      </c>
      <c r="J45" s="23">
        <v>0</v>
      </c>
      <c r="K45" s="23">
        <v>105926293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34460817</v>
      </c>
      <c r="F49" s="23">
        <v>0</v>
      </c>
      <c r="G49" s="23">
        <v>34460817</v>
      </c>
      <c r="I49" s="23">
        <v>34460817</v>
      </c>
      <c r="J49" s="23">
        <v>0</v>
      </c>
      <c r="K49" s="23">
        <v>34460817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3611215403</v>
      </c>
      <c r="F50" s="25">
        <v>0</v>
      </c>
      <c r="G50" s="25">
        <v>3611215403</v>
      </c>
      <c r="I50" s="25">
        <v>3611212403</v>
      </c>
      <c r="J50" s="25">
        <v>0</v>
      </c>
      <c r="K50" s="25">
        <v>3611212403</v>
      </c>
      <c r="M50" s="25">
        <v>3000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0</v>
      </c>
      <c r="J51" s="23">
        <v>0</v>
      </c>
      <c r="K51" s="23">
        <v>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1271491480</v>
      </c>
      <c r="F52" s="25">
        <v>0</v>
      </c>
      <c r="G52" s="25">
        <v>1271491480</v>
      </c>
      <c r="I52" s="25">
        <v>1271491480</v>
      </c>
      <c r="J52" s="25">
        <v>0</v>
      </c>
      <c r="K52" s="25">
        <v>1271491480</v>
      </c>
      <c r="M52" s="25">
        <v>0</v>
      </c>
    </row>
    <row r="53" spans="2:13" x14ac:dyDescent="0.35">
      <c r="B53" s="26"/>
      <c r="C53" s="27" t="s">
        <v>110</v>
      </c>
      <c r="E53" s="28">
        <v>6060620954</v>
      </c>
      <c r="F53" s="28">
        <v>0</v>
      </c>
      <c r="G53" s="28">
        <v>6060620954</v>
      </c>
      <c r="I53" s="28">
        <v>6039517232</v>
      </c>
      <c r="J53" s="28">
        <v>0</v>
      </c>
      <c r="K53" s="28">
        <v>6039517232</v>
      </c>
      <c r="M53" s="28">
        <v>21103722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6060620954</v>
      </c>
      <c r="F57" s="25">
        <v>0</v>
      </c>
      <c r="G57" s="25">
        <v>6060620954</v>
      </c>
      <c r="I57" s="25">
        <v>6039517232</v>
      </c>
      <c r="J57" s="25">
        <v>0</v>
      </c>
      <c r="K57" s="25">
        <v>6039517232</v>
      </c>
      <c r="M57" s="25">
        <v>21103722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10530000</v>
      </c>
      <c r="F62" s="28">
        <v>-10530000</v>
      </c>
      <c r="G62" s="28">
        <v>0</v>
      </c>
      <c r="I62" s="28">
        <v>0</v>
      </c>
      <c r="J62" s="28">
        <v>0</v>
      </c>
      <c r="K62" s="28">
        <v>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10530000</v>
      </c>
      <c r="F63" s="23">
        <v>-10530000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200000000</v>
      </c>
      <c r="G66" s="28">
        <v>200000000</v>
      </c>
      <c r="I66" s="28">
        <v>200000000</v>
      </c>
      <c r="J66" s="28">
        <v>0</v>
      </c>
      <c r="K66" s="28">
        <v>200000000</v>
      </c>
      <c r="M66" s="28">
        <v>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200000000</v>
      </c>
      <c r="G68" s="25">
        <v>200000000</v>
      </c>
      <c r="I68" s="25">
        <v>200000000</v>
      </c>
      <c r="J68" s="25">
        <v>0</v>
      </c>
      <c r="K68" s="25">
        <v>200000000</v>
      </c>
      <c r="M68" s="25">
        <v>0</v>
      </c>
    </row>
    <row r="69" spans="2:13" x14ac:dyDescent="0.35">
      <c r="B69" s="26"/>
      <c r="C69" s="27" t="s">
        <v>125</v>
      </c>
      <c r="E69" s="28">
        <v>22474093</v>
      </c>
      <c r="F69" s="28">
        <v>0</v>
      </c>
      <c r="G69" s="28">
        <v>22474093</v>
      </c>
      <c r="I69" s="28">
        <v>20652133</v>
      </c>
      <c r="J69" s="28">
        <v>0</v>
      </c>
      <c r="K69" s="28">
        <v>20652133</v>
      </c>
      <c r="M69" s="28">
        <v>1821960</v>
      </c>
    </row>
    <row r="70" spans="2:13" x14ac:dyDescent="0.35">
      <c r="B70" s="31">
        <v>56</v>
      </c>
      <c r="C70" s="29" t="s">
        <v>126</v>
      </c>
      <c r="E70" s="23">
        <v>22474093</v>
      </c>
      <c r="F70" s="23">
        <v>0</v>
      </c>
      <c r="G70" s="23">
        <v>22474093</v>
      </c>
      <c r="I70" s="23">
        <v>20652133</v>
      </c>
      <c r="J70" s="23">
        <v>0</v>
      </c>
      <c r="K70" s="23">
        <v>20652133</v>
      </c>
      <c r="M70" s="23">
        <v>1821960</v>
      </c>
    </row>
    <row r="71" spans="2:13" x14ac:dyDescent="0.35">
      <c r="B71" s="26"/>
      <c r="C71" s="27" t="s">
        <v>127</v>
      </c>
      <c r="E71" s="28">
        <v>172826302</v>
      </c>
      <c r="F71" s="28">
        <v>0</v>
      </c>
      <c r="G71" s="28">
        <v>172826302</v>
      </c>
      <c r="I71" s="28">
        <v>172826302</v>
      </c>
      <c r="J71" s="28">
        <v>0</v>
      </c>
      <c r="K71" s="28">
        <v>172826302</v>
      </c>
      <c r="M71" s="28">
        <v>0</v>
      </c>
    </row>
    <row r="72" spans="2:13" x14ac:dyDescent="0.35">
      <c r="B72" s="32">
        <v>57</v>
      </c>
      <c r="C72" s="30" t="s">
        <v>128</v>
      </c>
      <c r="E72" s="25">
        <v>172826302</v>
      </c>
      <c r="F72" s="25">
        <v>0</v>
      </c>
      <c r="G72" s="25">
        <v>172826302</v>
      </c>
      <c r="I72" s="25">
        <v>172826302</v>
      </c>
      <c r="J72" s="25">
        <v>0</v>
      </c>
      <c r="K72" s="25">
        <v>172826302</v>
      </c>
      <c r="M72" s="25">
        <v>0</v>
      </c>
    </row>
    <row r="73" spans="2:13" x14ac:dyDescent="0.35">
      <c r="B73" s="26"/>
      <c r="C73" s="27" t="s">
        <v>129</v>
      </c>
      <c r="E73" s="28">
        <v>0</v>
      </c>
      <c r="F73" s="28">
        <v>0</v>
      </c>
      <c r="G73" s="28">
        <v>0</v>
      </c>
      <c r="H73" s="33">
        <v>808920</v>
      </c>
      <c r="I73" s="28">
        <v>0</v>
      </c>
      <c r="J73" s="28">
        <v>0</v>
      </c>
      <c r="K73" s="28">
        <v>0</v>
      </c>
      <c r="M73" s="28">
        <v>0</v>
      </c>
    </row>
    <row r="74" spans="2:13" x14ac:dyDescent="0.35">
      <c r="B74" s="31">
        <v>58</v>
      </c>
      <c r="C74" s="29" t="s">
        <v>130</v>
      </c>
      <c r="E74" s="23">
        <v>0</v>
      </c>
      <c r="F74" s="23">
        <v>0</v>
      </c>
      <c r="G74" s="23">
        <v>0</v>
      </c>
      <c r="I74" s="23">
        <v>0</v>
      </c>
      <c r="J74" s="23">
        <v>0</v>
      </c>
      <c r="K74" s="23">
        <v>0</v>
      </c>
      <c r="M74" s="23">
        <v>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3AD31D7C-255A-4AA7-A83E-92BF85ED3C67}">
      <formula1>Taxes</formula1>
    </dataValidation>
    <dataValidation type="list" allowBlank="1" showInputMessage="1" showErrorMessage="1" sqref="C75:C603" xr:uid="{86732E3E-A8BD-4ECF-A4DA-3E57CE2451AC}">
      <formula1>Compadjust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E2D1-AA18-4BF4-B7C6-BA18909C1E2E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33.75" customHeight="1" x14ac:dyDescent="0.35">
      <c r="C1" s="7" t="s">
        <v>53</v>
      </c>
      <c r="E1" s="9" t="s">
        <v>18</v>
      </c>
      <c r="F1" s="9" t="s">
        <v>139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21811608856</v>
      </c>
      <c r="F8" s="20">
        <v>0</v>
      </c>
      <c r="G8" s="20">
        <v>21811608856</v>
      </c>
      <c r="I8" s="20">
        <v>17872309357</v>
      </c>
      <c r="J8" s="20">
        <v>3850000000</v>
      </c>
      <c r="K8" s="20">
        <v>21722309357</v>
      </c>
      <c r="M8" s="20">
        <v>89299499</v>
      </c>
    </row>
    <row r="9" spans="2:13" x14ac:dyDescent="0.35">
      <c r="B9" s="26"/>
      <c r="C9" s="27" t="s">
        <v>69</v>
      </c>
      <c r="E9" s="28">
        <v>8426948342</v>
      </c>
      <c r="F9" s="28">
        <v>0</v>
      </c>
      <c r="G9" s="28">
        <v>8426948342</v>
      </c>
      <c r="I9" s="28">
        <v>8374527367</v>
      </c>
      <c r="J9" s="28">
        <v>70000000</v>
      </c>
      <c r="K9" s="28">
        <v>8444527367</v>
      </c>
      <c r="M9" s="28">
        <v>-17579025</v>
      </c>
    </row>
    <row r="10" spans="2:13" x14ac:dyDescent="0.35">
      <c r="B10" s="21">
        <v>3</v>
      </c>
      <c r="C10" s="29" t="s">
        <v>70</v>
      </c>
      <c r="E10" s="23">
        <v>8306948342</v>
      </c>
      <c r="F10" s="23">
        <v>0</v>
      </c>
      <c r="G10" s="23">
        <v>8306948342</v>
      </c>
      <c r="I10" s="23">
        <v>8306948342</v>
      </c>
      <c r="J10" s="23">
        <v>0</v>
      </c>
      <c r="K10" s="23">
        <v>8306948342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120000000</v>
      </c>
      <c r="F11" s="25">
        <v>0</v>
      </c>
      <c r="G11" s="25">
        <v>120000000</v>
      </c>
      <c r="I11" s="25">
        <v>67579025</v>
      </c>
      <c r="J11" s="25">
        <v>70000000</v>
      </c>
      <c r="K11" s="25">
        <v>137579025</v>
      </c>
      <c r="M11" s="25">
        <v>-17579025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3780000000</v>
      </c>
      <c r="F25" s="28">
        <v>0</v>
      </c>
      <c r="G25" s="28">
        <v>3780000000</v>
      </c>
      <c r="I25" s="28">
        <v>0</v>
      </c>
      <c r="J25" s="28">
        <v>3780000000</v>
      </c>
      <c r="K25" s="28">
        <v>3780000000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3780000000</v>
      </c>
      <c r="F32" s="23">
        <v>0</v>
      </c>
      <c r="G32" s="23">
        <v>3780000000</v>
      </c>
      <c r="I32" s="23">
        <v>0</v>
      </c>
      <c r="J32" s="23">
        <v>3780000000</v>
      </c>
      <c r="K32" s="23">
        <v>3780000000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9110302558</v>
      </c>
      <c r="F36" s="28">
        <v>0</v>
      </c>
      <c r="G36" s="28">
        <v>9110302558</v>
      </c>
      <c r="I36" s="28">
        <v>9111135518</v>
      </c>
      <c r="J36" s="28">
        <v>0</v>
      </c>
      <c r="K36" s="28">
        <v>9111135518</v>
      </c>
      <c r="M36" s="28">
        <v>-832960</v>
      </c>
    </row>
    <row r="37" spans="2:13" x14ac:dyDescent="0.35">
      <c r="B37" s="31">
        <v>27</v>
      </c>
      <c r="C37" s="29" t="s">
        <v>95</v>
      </c>
      <c r="E37" s="23">
        <v>0</v>
      </c>
      <c r="F37" s="23">
        <v>0</v>
      </c>
      <c r="G37" s="23">
        <v>0</v>
      </c>
      <c r="I37" s="23">
        <v>0</v>
      </c>
      <c r="J37" s="23">
        <v>0</v>
      </c>
      <c r="K37" s="23">
        <v>0</v>
      </c>
      <c r="M37" s="23">
        <v>0</v>
      </c>
    </row>
    <row r="38" spans="2:13" x14ac:dyDescent="0.35">
      <c r="B38" s="32">
        <v>28</v>
      </c>
      <c r="C38" s="30" t="s">
        <v>96</v>
      </c>
      <c r="E38" s="25">
        <v>3169844532</v>
      </c>
      <c r="F38" s="25">
        <v>0</v>
      </c>
      <c r="G38" s="25">
        <v>3169844532</v>
      </c>
      <c r="I38" s="25">
        <v>3169904533</v>
      </c>
      <c r="J38" s="25">
        <v>0</v>
      </c>
      <c r="K38" s="25">
        <v>3169904533</v>
      </c>
      <c r="M38" s="25">
        <v>-60001</v>
      </c>
    </row>
    <row r="39" spans="2:13" x14ac:dyDescent="0.35">
      <c r="B39" s="31">
        <v>29</v>
      </c>
      <c r="C39" s="29" t="s">
        <v>97</v>
      </c>
      <c r="E39" s="23">
        <v>0</v>
      </c>
      <c r="F39" s="23">
        <v>0</v>
      </c>
      <c r="G39" s="23">
        <v>0</v>
      </c>
      <c r="I39" s="23">
        <v>0</v>
      </c>
      <c r="J39" s="23">
        <v>0</v>
      </c>
      <c r="K39" s="23">
        <v>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0</v>
      </c>
      <c r="F40" s="25">
        <v>0</v>
      </c>
      <c r="G40" s="25">
        <v>0</v>
      </c>
      <c r="I40" s="25">
        <v>0</v>
      </c>
      <c r="J40" s="25">
        <v>0</v>
      </c>
      <c r="K40" s="25">
        <v>0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683754727</v>
      </c>
      <c r="F42" s="25">
        <v>0</v>
      </c>
      <c r="G42" s="25">
        <v>683754727</v>
      </c>
      <c r="I42" s="25">
        <v>683472246</v>
      </c>
      <c r="J42" s="25">
        <v>0</v>
      </c>
      <c r="K42" s="25">
        <v>683472246</v>
      </c>
      <c r="M42" s="25">
        <v>282481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6703299</v>
      </c>
      <c r="F44" s="25">
        <v>0</v>
      </c>
      <c r="G44" s="25">
        <v>6703299</v>
      </c>
      <c r="I44" s="25">
        <v>6996835</v>
      </c>
      <c r="J44" s="25">
        <v>0</v>
      </c>
      <c r="K44" s="25">
        <v>6996835</v>
      </c>
      <c r="M44" s="25">
        <v>-293536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0</v>
      </c>
      <c r="J45" s="23">
        <v>0</v>
      </c>
      <c r="K45" s="23">
        <v>0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5250000000</v>
      </c>
      <c r="F49" s="23">
        <v>0</v>
      </c>
      <c r="G49" s="23">
        <v>5250000000</v>
      </c>
      <c r="I49" s="23">
        <v>5250761904</v>
      </c>
      <c r="J49" s="23">
        <v>0</v>
      </c>
      <c r="K49" s="23">
        <v>5250761904</v>
      </c>
      <c r="M49" s="23">
        <v>-761904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0</v>
      </c>
      <c r="J51" s="23">
        <v>0</v>
      </c>
      <c r="K51" s="23">
        <v>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291448575</v>
      </c>
      <c r="F53" s="28">
        <v>0</v>
      </c>
      <c r="G53" s="28">
        <v>291448575</v>
      </c>
      <c r="I53" s="28">
        <v>304667880</v>
      </c>
      <c r="J53" s="28">
        <v>0</v>
      </c>
      <c r="K53" s="28">
        <v>304667880</v>
      </c>
      <c r="M53" s="28">
        <v>-13219305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219018975</v>
      </c>
      <c r="F57" s="25">
        <v>0</v>
      </c>
      <c r="G57" s="25">
        <v>219018975</v>
      </c>
      <c r="I57" s="25">
        <v>304667880</v>
      </c>
      <c r="J57" s="25">
        <v>0</v>
      </c>
      <c r="K57" s="25">
        <v>304667880</v>
      </c>
      <c r="M57" s="25">
        <v>-85648905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72429600</v>
      </c>
      <c r="F61" s="25">
        <v>0</v>
      </c>
      <c r="G61" s="25">
        <v>72429600</v>
      </c>
      <c r="I61" s="25">
        <v>0</v>
      </c>
      <c r="J61" s="25">
        <v>0</v>
      </c>
      <c r="K61" s="25">
        <v>0</v>
      </c>
      <c r="M61" s="25">
        <v>72429600</v>
      </c>
    </row>
    <row r="62" spans="2:13" x14ac:dyDescent="0.35">
      <c r="B62" s="26"/>
      <c r="C62" s="27" t="s">
        <v>119</v>
      </c>
      <c r="E62" s="28">
        <v>0</v>
      </c>
      <c r="F62" s="28">
        <v>0</v>
      </c>
      <c r="G62" s="28">
        <v>0</v>
      </c>
      <c r="I62" s="28">
        <v>0</v>
      </c>
      <c r="J62" s="28">
        <v>0</v>
      </c>
      <c r="K62" s="28">
        <v>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0</v>
      </c>
      <c r="J66" s="28">
        <v>0</v>
      </c>
      <c r="K66" s="28">
        <v>0</v>
      </c>
      <c r="M66" s="28">
        <v>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0</v>
      </c>
      <c r="J68" s="25">
        <v>0</v>
      </c>
      <c r="K68" s="25">
        <v>0</v>
      </c>
      <c r="M68" s="25">
        <v>0</v>
      </c>
    </row>
    <row r="69" spans="2:13" x14ac:dyDescent="0.35">
      <c r="B69" s="26"/>
      <c r="C69" s="27" t="s">
        <v>125</v>
      </c>
      <c r="E69" s="28">
        <v>22819482</v>
      </c>
      <c r="F69" s="28">
        <v>0</v>
      </c>
      <c r="G69" s="28">
        <v>22819482</v>
      </c>
      <c r="I69" s="28">
        <v>22819482</v>
      </c>
      <c r="J69" s="28">
        <v>0</v>
      </c>
      <c r="K69" s="28">
        <v>22819482</v>
      </c>
      <c r="M69" s="28">
        <v>0</v>
      </c>
    </row>
    <row r="70" spans="2:13" x14ac:dyDescent="0.35">
      <c r="B70" s="31">
        <v>56</v>
      </c>
      <c r="C70" s="29" t="s">
        <v>126</v>
      </c>
      <c r="E70" s="23">
        <v>22819482</v>
      </c>
      <c r="F70" s="23">
        <v>0</v>
      </c>
      <c r="G70" s="23">
        <v>22819482</v>
      </c>
      <c r="I70" s="23">
        <v>22819482</v>
      </c>
      <c r="J70" s="23">
        <v>0</v>
      </c>
      <c r="K70" s="23">
        <v>22819482</v>
      </c>
      <c r="M70" s="23">
        <v>0</v>
      </c>
    </row>
    <row r="71" spans="2:13" x14ac:dyDescent="0.35">
      <c r="B71" s="26"/>
      <c r="C71" s="27" t="s">
        <v>127</v>
      </c>
      <c r="E71" s="28">
        <v>180089899</v>
      </c>
      <c r="F71" s="28">
        <v>0</v>
      </c>
      <c r="G71" s="28">
        <v>180089899</v>
      </c>
      <c r="I71" s="28">
        <v>59159110</v>
      </c>
      <c r="J71" s="28">
        <v>0</v>
      </c>
      <c r="K71" s="28">
        <v>59159110</v>
      </c>
      <c r="M71" s="28">
        <v>120930789</v>
      </c>
    </row>
    <row r="72" spans="2:13" x14ac:dyDescent="0.35">
      <c r="B72" s="32">
        <v>57</v>
      </c>
      <c r="C72" s="30" t="s">
        <v>128</v>
      </c>
      <c r="E72" s="25">
        <v>180089899</v>
      </c>
      <c r="F72" s="25">
        <v>0</v>
      </c>
      <c r="G72" s="25">
        <v>180089899</v>
      </c>
      <c r="I72" s="25">
        <v>59159110</v>
      </c>
      <c r="J72" s="25">
        <v>0</v>
      </c>
      <c r="K72" s="25">
        <v>59159110</v>
      </c>
      <c r="M72" s="25">
        <v>120930789</v>
      </c>
    </row>
    <row r="73" spans="2:13" x14ac:dyDescent="0.35">
      <c r="B73" s="26"/>
      <c r="C73" s="27" t="s">
        <v>129</v>
      </c>
      <c r="E73" s="28">
        <v>0</v>
      </c>
      <c r="F73" s="28">
        <v>0</v>
      </c>
      <c r="G73" s="28">
        <v>0</v>
      </c>
      <c r="H73" s="33">
        <v>808920</v>
      </c>
      <c r="I73" s="28">
        <v>0</v>
      </c>
      <c r="J73" s="28">
        <v>0</v>
      </c>
      <c r="K73" s="28">
        <v>0</v>
      </c>
      <c r="M73" s="28">
        <v>0</v>
      </c>
    </row>
    <row r="74" spans="2:13" x14ac:dyDescent="0.35">
      <c r="B74" s="31">
        <v>58</v>
      </c>
      <c r="C74" s="29" t="s">
        <v>130</v>
      </c>
      <c r="E74" s="23">
        <v>0</v>
      </c>
      <c r="F74" s="23">
        <v>0</v>
      </c>
      <c r="G74" s="23">
        <v>0</v>
      </c>
      <c r="I74" s="23">
        <v>0</v>
      </c>
      <c r="J74" s="23">
        <v>0</v>
      </c>
      <c r="K74" s="23">
        <v>0</v>
      </c>
      <c r="M74" s="23">
        <v>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A17915D1-F0E5-42E8-98EE-AF919F32A962}">
      <formula1>Taxes</formula1>
    </dataValidation>
    <dataValidation type="list" allowBlank="1" showInputMessage="1" showErrorMessage="1" sqref="C75:C603" xr:uid="{D0998B2B-8F31-4424-887A-D882DDCE0C36}">
      <formula1>Compadjust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7A5C-1010-422C-AE9C-5343EC98868A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31.5" x14ac:dyDescent="0.35">
      <c r="C1" s="7" t="s">
        <v>53</v>
      </c>
      <c r="E1" s="9" t="s">
        <v>20</v>
      </c>
      <c r="F1" s="9" t="s">
        <v>140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652651842</v>
      </c>
      <c r="F8" s="20">
        <v>18079064</v>
      </c>
      <c r="G8" s="20">
        <v>670730906</v>
      </c>
      <c r="I8" s="20">
        <v>663251734</v>
      </c>
      <c r="J8" s="20">
        <v>-1832039</v>
      </c>
      <c r="K8" s="20">
        <v>661419695</v>
      </c>
      <c r="M8" s="20">
        <v>9311211</v>
      </c>
    </row>
    <row r="9" spans="2:13" x14ac:dyDescent="0.35">
      <c r="B9" s="26"/>
      <c r="C9" s="27" t="s">
        <v>69</v>
      </c>
      <c r="E9" s="28">
        <v>3997950</v>
      </c>
      <c r="F9" s="28">
        <v>0</v>
      </c>
      <c r="G9" s="28">
        <v>3997950</v>
      </c>
      <c r="I9" s="28">
        <v>0</v>
      </c>
      <c r="J9" s="28">
        <v>0</v>
      </c>
      <c r="K9" s="28">
        <v>0</v>
      </c>
      <c r="M9" s="28">
        <v>3997950</v>
      </c>
    </row>
    <row r="10" spans="2:13" x14ac:dyDescent="0.35">
      <c r="B10" s="21">
        <v>3</v>
      </c>
      <c r="C10" s="29" t="s">
        <v>70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3997950</v>
      </c>
      <c r="F14" s="23">
        <v>0</v>
      </c>
      <c r="G14" s="23">
        <v>3997950</v>
      </c>
      <c r="I14" s="23">
        <v>0</v>
      </c>
      <c r="J14" s="23">
        <v>0</v>
      </c>
      <c r="K14" s="23">
        <v>0</v>
      </c>
      <c r="M14" s="23">
        <v>3997950</v>
      </c>
    </row>
    <row r="15" spans="2:13" x14ac:dyDescent="0.35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478363163</v>
      </c>
      <c r="F36" s="28">
        <v>18079064</v>
      </c>
      <c r="G36" s="28">
        <v>496442227</v>
      </c>
      <c r="I36" s="28">
        <v>498274266</v>
      </c>
      <c r="J36" s="28">
        <v>-1832039</v>
      </c>
      <c r="K36" s="28">
        <v>496442227</v>
      </c>
      <c r="M36" s="28">
        <v>0</v>
      </c>
    </row>
    <row r="37" spans="2:13" x14ac:dyDescent="0.35">
      <c r="B37" s="31">
        <v>27</v>
      </c>
      <c r="C37" s="29" t="s">
        <v>95</v>
      </c>
      <c r="E37" s="23">
        <v>178200</v>
      </c>
      <c r="F37" s="23">
        <v>0</v>
      </c>
      <c r="G37" s="23">
        <v>178200</v>
      </c>
      <c r="I37" s="23">
        <v>178200</v>
      </c>
      <c r="J37" s="23">
        <v>0</v>
      </c>
      <c r="K37" s="23">
        <v>178200</v>
      </c>
      <c r="M37" s="23">
        <v>0</v>
      </c>
    </row>
    <row r="38" spans="2:13" x14ac:dyDescent="0.35">
      <c r="B38" s="32">
        <v>28</v>
      </c>
      <c r="C38" s="30" t="s">
        <v>96</v>
      </c>
      <c r="E38" s="25">
        <v>365871664</v>
      </c>
      <c r="F38" s="25">
        <v>0</v>
      </c>
      <c r="G38" s="25">
        <v>365871664</v>
      </c>
      <c r="I38" s="25">
        <v>365871664</v>
      </c>
      <c r="J38" s="25">
        <v>0</v>
      </c>
      <c r="K38" s="25">
        <v>365871664</v>
      </c>
      <c r="M38" s="25">
        <v>0</v>
      </c>
    </row>
    <row r="39" spans="2:13" x14ac:dyDescent="0.35">
      <c r="B39" s="31">
        <v>29</v>
      </c>
      <c r="C39" s="29" t="s">
        <v>97</v>
      </c>
      <c r="E39" s="23">
        <v>0</v>
      </c>
      <c r="F39" s="23">
        <v>0</v>
      </c>
      <c r="G39" s="23">
        <v>0</v>
      </c>
      <c r="I39" s="23">
        <v>0</v>
      </c>
      <c r="J39" s="23">
        <v>0</v>
      </c>
      <c r="K39" s="23">
        <v>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0</v>
      </c>
      <c r="F40" s="25">
        <v>0</v>
      </c>
      <c r="G40" s="25">
        <v>0</v>
      </c>
      <c r="I40" s="25">
        <v>0</v>
      </c>
      <c r="J40" s="25">
        <v>0</v>
      </c>
      <c r="K40" s="25">
        <v>0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103254380</v>
      </c>
      <c r="F42" s="25">
        <v>0</v>
      </c>
      <c r="G42" s="25">
        <v>103254380</v>
      </c>
      <c r="I42" s="25">
        <v>103254380</v>
      </c>
      <c r="J42" s="25">
        <v>0</v>
      </c>
      <c r="K42" s="25">
        <v>103254380</v>
      </c>
      <c r="M42" s="25">
        <v>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2201774</v>
      </c>
      <c r="F44" s="25">
        <v>0</v>
      </c>
      <c r="G44" s="25">
        <v>2201774</v>
      </c>
      <c r="I44" s="25">
        <v>2201774</v>
      </c>
      <c r="J44" s="25">
        <v>0</v>
      </c>
      <c r="K44" s="25">
        <v>2201774</v>
      </c>
      <c r="M44" s="25">
        <v>0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0</v>
      </c>
      <c r="J45" s="23">
        <v>0</v>
      </c>
      <c r="K45" s="23">
        <v>0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6857145</v>
      </c>
      <c r="F49" s="23">
        <v>18079064</v>
      </c>
      <c r="G49" s="23">
        <v>24936209</v>
      </c>
      <c r="I49" s="23">
        <v>24936209</v>
      </c>
      <c r="J49" s="23">
        <v>0</v>
      </c>
      <c r="K49" s="23">
        <v>24936209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1832039</v>
      </c>
      <c r="J51" s="23">
        <v>-1832039</v>
      </c>
      <c r="K51" s="23">
        <v>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50000000</v>
      </c>
      <c r="F53" s="28">
        <v>0</v>
      </c>
      <c r="G53" s="28">
        <v>50000000</v>
      </c>
      <c r="I53" s="28">
        <v>54850399</v>
      </c>
      <c r="J53" s="28">
        <v>0</v>
      </c>
      <c r="K53" s="28">
        <v>54850399</v>
      </c>
      <c r="M53" s="28">
        <v>-4850399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0</v>
      </c>
      <c r="F57" s="25">
        <v>0</v>
      </c>
      <c r="G57" s="25">
        <v>0</v>
      </c>
      <c r="I57" s="25">
        <v>54850399</v>
      </c>
      <c r="J57" s="25">
        <v>0</v>
      </c>
      <c r="K57" s="25">
        <v>54850399</v>
      </c>
      <c r="M57" s="25">
        <v>-54850399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50000000</v>
      </c>
      <c r="F61" s="25">
        <v>0</v>
      </c>
      <c r="G61" s="25">
        <v>50000000</v>
      </c>
      <c r="I61" s="25">
        <v>0</v>
      </c>
      <c r="J61" s="25">
        <v>0</v>
      </c>
      <c r="K61" s="25">
        <v>0</v>
      </c>
      <c r="M61" s="25">
        <v>50000000</v>
      </c>
    </row>
    <row r="62" spans="2:13" x14ac:dyDescent="0.35">
      <c r="B62" s="26"/>
      <c r="C62" s="27" t="s">
        <v>119</v>
      </c>
      <c r="E62" s="28">
        <v>2064000</v>
      </c>
      <c r="F62" s="28">
        <v>0</v>
      </c>
      <c r="G62" s="28">
        <v>2064000</v>
      </c>
      <c r="I62" s="28">
        <v>2064000</v>
      </c>
      <c r="J62" s="28">
        <v>0</v>
      </c>
      <c r="K62" s="28">
        <v>2064000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2064000</v>
      </c>
      <c r="F63" s="23">
        <v>0</v>
      </c>
      <c r="G63" s="23">
        <v>2064000</v>
      </c>
      <c r="I63" s="23">
        <v>2064000</v>
      </c>
      <c r="J63" s="23">
        <v>0</v>
      </c>
      <c r="K63" s="23">
        <v>2064000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0</v>
      </c>
      <c r="J66" s="28">
        <v>0</v>
      </c>
      <c r="K66" s="28">
        <v>0</v>
      </c>
      <c r="M66" s="28">
        <v>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0</v>
      </c>
      <c r="J68" s="25">
        <v>0</v>
      </c>
      <c r="K68" s="25">
        <v>0</v>
      </c>
      <c r="M68" s="25">
        <v>0</v>
      </c>
    </row>
    <row r="69" spans="2:13" x14ac:dyDescent="0.35">
      <c r="B69" s="26"/>
      <c r="C69" s="27" t="s">
        <v>125</v>
      </c>
      <c r="E69" s="28">
        <v>21343465</v>
      </c>
      <c r="F69" s="28">
        <v>0</v>
      </c>
      <c r="G69" s="28">
        <v>21343465</v>
      </c>
      <c r="I69" s="28">
        <v>19874083</v>
      </c>
      <c r="J69" s="28">
        <v>0</v>
      </c>
      <c r="K69" s="28">
        <v>19874083</v>
      </c>
      <c r="M69" s="28">
        <v>1469382</v>
      </c>
    </row>
    <row r="70" spans="2:13" x14ac:dyDescent="0.35">
      <c r="B70" s="31">
        <v>56</v>
      </c>
      <c r="C70" s="29" t="s">
        <v>126</v>
      </c>
      <c r="E70" s="23">
        <v>21343465</v>
      </c>
      <c r="F70" s="23">
        <v>0</v>
      </c>
      <c r="G70" s="23">
        <v>21343465</v>
      </c>
      <c r="I70" s="23">
        <v>19874083</v>
      </c>
      <c r="J70" s="23">
        <v>0</v>
      </c>
      <c r="K70" s="23">
        <v>19874083</v>
      </c>
      <c r="M70" s="23">
        <v>1469382</v>
      </c>
    </row>
    <row r="71" spans="2:13" x14ac:dyDescent="0.35">
      <c r="B71" s="26"/>
      <c r="C71" s="27" t="s">
        <v>127</v>
      </c>
      <c r="E71" s="28">
        <v>96883264</v>
      </c>
      <c r="F71" s="28">
        <v>0</v>
      </c>
      <c r="G71" s="28">
        <v>96883264</v>
      </c>
      <c r="I71" s="28">
        <v>88188986</v>
      </c>
      <c r="J71" s="28">
        <v>0</v>
      </c>
      <c r="K71" s="28">
        <v>88188986</v>
      </c>
      <c r="M71" s="28">
        <v>8694278</v>
      </c>
    </row>
    <row r="72" spans="2:13" x14ac:dyDescent="0.35">
      <c r="B72" s="32">
        <v>57</v>
      </c>
      <c r="C72" s="30" t="s">
        <v>128</v>
      </c>
      <c r="E72" s="25">
        <v>96883264</v>
      </c>
      <c r="F72" s="25">
        <v>0</v>
      </c>
      <c r="G72" s="25">
        <v>96883264</v>
      </c>
      <c r="I72" s="25">
        <v>88188986</v>
      </c>
      <c r="J72" s="25">
        <v>0</v>
      </c>
      <c r="K72" s="25">
        <v>88188986</v>
      </c>
      <c r="M72" s="25">
        <v>8694278</v>
      </c>
    </row>
    <row r="73" spans="2:13" x14ac:dyDescent="0.35">
      <c r="B73" s="26"/>
      <c r="C73" s="27" t="s">
        <v>129</v>
      </c>
      <c r="E73" s="28">
        <v>0</v>
      </c>
      <c r="F73" s="28">
        <v>0</v>
      </c>
      <c r="G73" s="28">
        <v>0</v>
      </c>
      <c r="H73" s="33">
        <v>808920</v>
      </c>
      <c r="I73" s="28">
        <v>0</v>
      </c>
      <c r="J73" s="28">
        <v>0</v>
      </c>
      <c r="K73" s="28">
        <v>0</v>
      </c>
      <c r="M73" s="28">
        <v>0</v>
      </c>
    </row>
    <row r="74" spans="2:13" x14ac:dyDescent="0.35">
      <c r="B74" s="31">
        <v>58</v>
      </c>
      <c r="C74" s="29" t="s">
        <v>130</v>
      </c>
      <c r="E74" s="23">
        <v>0</v>
      </c>
      <c r="F74" s="23">
        <v>0</v>
      </c>
      <c r="G74" s="23">
        <v>0</v>
      </c>
      <c r="I74" s="23">
        <v>0</v>
      </c>
      <c r="J74" s="23">
        <v>0</v>
      </c>
      <c r="K74" s="23">
        <v>0</v>
      </c>
      <c r="M74" s="23">
        <v>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22AD7414-993A-4A09-8AAA-F972B4B757BD}">
      <formula1>Taxes</formula1>
    </dataValidation>
    <dataValidation type="list" allowBlank="1" showInputMessage="1" showErrorMessage="1" sqref="C75:C603" xr:uid="{0448F349-446A-4CCA-9A00-8B2DBC9701D1}">
      <formula1>Compadjust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07E8A-F03B-4727-AEDE-A6791C144CBC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22.6328125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x14ac:dyDescent="0.35">
      <c r="C1" s="7" t="s">
        <v>53</v>
      </c>
      <c r="E1" s="9" t="s">
        <v>141</v>
      </c>
      <c r="F1" s="9" t="s">
        <v>142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883945569</v>
      </c>
      <c r="F8" s="20">
        <v>30253343</v>
      </c>
      <c r="G8" s="20">
        <v>914198912</v>
      </c>
      <c r="I8" s="20">
        <v>52228208</v>
      </c>
      <c r="J8" s="20">
        <v>862021400</v>
      </c>
      <c r="K8" s="20">
        <v>914249608</v>
      </c>
      <c r="M8" s="20">
        <v>-50696</v>
      </c>
    </row>
    <row r="9" spans="2:13" x14ac:dyDescent="0.35">
      <c r="B9" s="26"/>
      <c r="C9" s="27" t="s">
        <v>69</v>
      </c>
      <c r="E9" s="28">
        <v>37000</v>
      </c>
      <c r="F9" s="28">
        <v>30253343</v>
      </c>
      <c r="G9" s="28">
        <v>30290343</v>
      </c>
      <c r="I9" s="28">
        <v>34919991</v>
      </c>
      <c r="J9" s="28">
        <v>0</v>
      </c>
      <c r="K9" s="28">
        <v>34919991</v>
      </c>
      <c r="M9" s="28">
        <v>-4629648</v>
      </c>
    </row>
    <row r="10" spans="2:13" x14ac:dyDescent="0.35">
      <c r="B10" s="21">
        <v>3</v>
      </c>
      <c r="C10" s="29" t="s">
        <v>70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37000</v>
      </c>
      <c r="F11" s="25">
        <v>30253343</v>
      </c>
      <c r="G11" s="25">
        <v>30290343</v>
      </c>
      <c r="I11" s="25">
        <v>34919991</v>
      </c>
      <c r="J11" s="25">
        <v>0</v>
      </c>
      <c r="K11" s="25">
        <v>34919991</v>
      </c>
      <c r="M11" s="25">
        <v>-4629648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791595210</v>
      </c>
      <c r="F36" s="28">
        <v>0</v>
      </c>
      <c r="G36" s="28">
        <v>791595210</v>
      </c>
      <c r="I36" s="28">
        <v>0</v>
      </c>
      <c r="J36" s="28">
        <v>791595210</v>
      </c>
      <c r="K36" s="28">
        <v>791595210</v>
      </c>
      <c r="M36" s="28">
        <v>0</v>
      </c>
    </row>
    <row r="37" spans="2:13" x14ac:dyDescent="0.35">
      <c r="B37" s="31">
        <v>27</v>
      </c>
      <c r="C37" s="29" t="s">
        <v>95</v>
      </c>
      <c r="E37" s="23">
        <v>0</v>
      </c>
      <c r="F37" s="23">
        <v>0</v>
      </c>
      <c r="G37" s="23">
        <v>0</v>
      </c>
      <c r="I37" s="23">
        <v>0</v>
      </c>
      <c r="J37" s="23">
        <v>0</v>
      </c>
      <c r="K37" s="23">
        <v>0</v>
      </c>
      <c r="M37" s="23">
        <v>0</v>
      </c>
    </row>
    <row r="38" spans="2:13" x14ac:dyDescent="0.35">
      <c r="B38" s="32">
        <v>28</v>
      </c>
      <c r="C38" s="30" t="s">
        <v>96</v>
      </c>
      <c r="E38" s="25">
        <v>62799748</v>
      </c>
      <c r="F38" s="25">
        <v>0</v>
      </c>
      <c r="G38" s="25">
        <v>62799748</v>
      </c>
      <c r="I38" s="25">
        <v>0</v>
      </c>
      <c r="J38" s="25">
        <v>62799748</v>
      </c>
      <c r="K38" s="25">
        <v>62799748</v>
      </c>
      <c r="M38" s="25">
        <v>0</v>
      </c>
    </row>
    <row r="39" spans="2:13" x14ac:dyDescent="0.35">
      <c r="B39" s="31">
        <v>29</v>
      </c>
      <c r="C39" s="29" t="s">
        <v>97</v>
      </c>
      <c r="E39" s="23">
        <v>0</v>
      </c>
      <c r="F39" s="23">
        <v>0</v>
      </c>
      <c r="G39" s="23">
        <v>0</v>
      </c>
      <c r="I39" s="23">
        <v>0</v>
      </c>
      <c r="J39" s="23">
        <v>0</v>
      </c>
      <c r="K39" s="23">
        <v>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0</v>
      </c>
      <c r="F40" s="25">
        <v>0</v>
      </c>
      <c r="G40" s="25">
        <v>0</v>
      </c>
      <c r="I40" s="25">
        <v>0</v>
      </c>
      <c r="J40" s="25">
        <v>0</v>
      </c>
      <c r="K40" s="25">
        <v>0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638611922</v>
      </c>
      <c r="F42" s="25">
        <v>0</v>
      </c>
      <c r="G42" s="25">
        <v>638611922</v>
      </c>
      <c r="I42" s="25">
        <v>0</v>
      </c>
      <c r="J42" s="25">
        <v>638611922</v>
      </c>
      <c r="K42" s="25">
        <v>638611922</v>
      </c>
      <c r="M42" s="25">
        <v>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1374540</v>
      </c>
      <c r="F44" s="25">
        <v>0</v>
      </c>
      <c r="G44" s="25">
        <v>1374540</v>
      </c>
      <c r="I44" s="25">
        <v>0</v>
      </c>
      <c r="J44" s="25">
        <v>1374540</v>
      </c>
      <c r="K44" s="25">
        <v>1374540</v>
      </c>
      <c r="M44" s="25">
        <v>0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0</v>
      </c>
      <c r="J45" s="23">
        <v>0</v>
      </c>
      <c r="K45" s="23">
        <v>0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0</v>
      </c>
      <c r="F49" s="23">
        <v>0</v>
      </c>
      <c r="G49" s="23">
        <v>0</v>
      </c>
      <c r="I49" s="23">
        <v>0</v>
      </c>
      <c r="J49" s="23">
        <v>0</v>
      </c>
      <c r="K49" s="23">
        <v>0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88809000</v>
      </c>
      <c r="F51" s="23">
        <v>0</v>
      </c>
      <c r="G51" s="23">
        <v>88809000</v>
      </c>
      <c r="I51" s="23">
        <v>0</v>
      </c>
      <c r="J51" s="23">
        <v>88809000</v>
      </c>
      <c r="K51" s="23">
        <v>88809000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3890357</v>
      </c>
      <c r="F53" s="28">
        <v>0</v>
      </c>
      <c r="G53" s="28">
        <v>3890357</v>
      </c>
      <c r="I53" s="28">
        <v>0</v>
      </c>
      <c r="J53" s="28">
        <v>0</v>
      </c>
      <c r="K53" s="28">
        <v>0</v>
      </c>
      <c r="M53" s="28">
        <v>3890357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3890357</v>
      </c>
      <c r="F57" s="25">
        <v>0</v>
      </c>
      <c r="G57" s="25">
        <v>3890357</v>
      </c>
      <c r="I57" s="25">
        <v>0</v>
      </c>
      <c r="J57" s="25">
        <v>0</v>
      </c>
      <c r="K57" s="25">
        <v>0</v>
      </c>
      <c r="M57" s="25">
        <v>3890357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70934785</v>
      </c>
      <c r="F62" s="28">
        <v>0</v>
      </c>
      <c r="G62" s="28">
        <v>70934785</v>
      </c>
      <c r="I62" s="28">
        <v>0</v>
      </c>
      <c r="J62" s="28">
        <v>70426190</v>
      </c>
      <c r="K62" s="28">
        <v>70426190</v>
      </c>
      <c r="M62" s="28">
        <v>508595</v>
      </c>
    </row>
    <row r="63" spans="2:13" x14ac:dyDescent="0.35">
      <c r="B63" s="31">
        <v>51</v>
      </c>
      <c r="C63" s="29" t="s">
        <v>120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508595</v>
      </c>
      <c r="F64" s="25">
        <v>0</v>
      </c>
      <c r="G64" s="25">
        <v>508595</v>
      </c>
      <c r="I64" s="25">
        <v>0</v>
      </c>
      <c r="J64" s="25">
        <v>0</v>
      </c>
      <c r="K64" s="25">
        <v>0</v>
      </c>
      <c r="M64" s="25">
        <v>508595</v>
      </c>
    </row>
    <row r="65" spans="2:13" x14ac:dyDescent="0.35">
      <c r="B65" s="31">
        <v>53</v>
      </c>
      <c r="C65" s="29" t="s">
        <v>122</v>
      </c>
      <c r="E65" s="23">
        <v>70426190</v>
      </c>
      <c r="F65" s="23">
        <v>0</v>
      </c>
      <c r="G65" s="23">
        <v>70426190</v>
      </c>
      <c r="I65" s="23">
        <v>0</v>
      </c>
      <c r="J65" s="23">
        <v>70426190</v>
      </c>
      <c r="K65" s="23">
        <v>70426190</v>
      </c>
      <c r="M65" s="23">
        <v>0</v>
      </c>
    </row>
    <row r="66" spans="2:13" x14ac:dyDescent="0.35">
      <c r="B66" s="26"/>
      <c r="C66" s="27" t="s">
        <v>123</v>
      </c>
      <c r="E66" s="28">
        <v>8717000</v>
      </c>
      <c r="F66" s="28">
        <v>0</v>
      </c>
      <c r="G66" s="28">
        <v>8717000</v>
      </c>
      <c r="I66" s="28">
        <v>8537000</v>
      </c>
      <c r="J66" s="28">
        <v>0</v>
      </c>
      <c r="K66" s="28">
        <v>8537000</v>
      </c>
      <c r="M66" s="28">
        <v>180000</v>
      </c>
    </row>
    <row r="67" spans="2:13" x14ac:dyDescent="0.35">
      <c r="B67" s="31">
        <v>54</v>
      </c>
      <c r="C67" s="29" t="s">
        <v>124</v>
      </c>
      <c r="E67" s="23">
        <v>8022000</v>
      </c>
      <c r="F67" s="23">
        <v>0</v>
      </c>
      <c r="G67" s="23">
        <v>8022000</v>
      </c>
      <c r="I67" s="23">
        <v>8022000</v>
      </c>
      <c r="J67" s="23">
        <v>0</v>
      </c>
      <c r="K67" s="23">
        <v>8022000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695000</v>
      </c>
      <c r="F68" s="25">
        <v>0</v>
      </c>
      <c r="G68" s="25">
        <v>695000</v>
      </c>
      <c r="I68" s="25">
        <v>515000</v>
      </c>
      <c r="J68" s="25">
        <v>0</v>
      </c>
      <c r="K68" s="25">
        <v>515000</v>
      </c>
      <c r="M68" s="25">
        <v>180000</v>
      </c>
    </row>
    <row r="69" spans="2:13" x14ac:dyDescent="0.35">
      <c r="B69" s="26"/>
      <c r="C69" s="27" t="s">
        <v>125</v>
      </c>
      <c r="E69" s="28">
        <v>672840</v>
      </c>
      <c r="F69" s="28">
        <v>0</v>
      </c>
      <c r="G69" s="28">
        <v>672840</v>
      </c>
      <c r="I69" s="28">
        <v>672840</v>
      </c>
      <c r="J69" s="28">
        <v>0</v>
      </c>
      <c r="K69" s="28">
        <v>672840</v>
      </c>
      <c r="M69" s="28">
        <v>0</v>
      </c>
    </row>
    <row r="70" spans="2:13" x14ac:dyDescent="0.35">
      <c r="B70" s="31">
        <v>56</v>
      </c>
      <c r="C70" s="29" t="s">
        <v>126</v>
      </c>
      <c r="E70" s="23">
        <v>672840</v>
      </c>
      <c r="F70" s="23">
        <v>0</v>
      </c>
      <c r="G70" s="23">
        <v>672840</v>
      </c>
      <c r="I70" s="23">
        <v>672840</v>
      </c>
      <c r="J70" s="23">
        <v>0</v>
      </c>
      <c r="K70" s="23">
        <v>672840</v>
      </c>
      <c r="M70" s="23">
        <v>0</v>
      </c>
    </row>
    <row r="71" spans="2:13" x14ac:dyDescent="0.35">
      <c r="B71" s="26"/>
      <c r="C71" s="27" t="s">
        <v>127</v>
      </c>
      <c r="E71" s="28">
        <v>8098377</v>
      </c>
      <c r="F71" s="28">
        <v>0</v>
      </c>
      <c r="G71" s="28">
        <v>8098377</v>
      </c>
      <c r="I71" s="28">
        <v>8098377</v>
      </c>
      <c r="J71" s="28">
        <v>0</v>
      </c>
      <c r="K71" s="28">
        <v>8098377</v>
      </c>
      <c r="M71" s="28">
        <v>0</v>
      </c>
    </row>
    <row r="72" spans="2:13" x14ac:dyDescent="0.35">
      <c r="B72" s="32">
        <v>57</v>
      </c>
      <c r="C72" s="30" t="s">
        <v>128</v>
      </c>
      <c r="E72" s="25">
        <v>8098377</v>
      </c>
      <c r="F72" s="25">
        <v>0</v>
      </c>
      <c r="G72" s="25">
        <v>8098377</v>
      </c>
      <c r="I72" s="25">
        <v>8098377</v>
      </c>
      <c r="J72" s="25">
        <v>0</v>
      </c>
      <c r="K72" s="25">
        <v>8098377</v>
      </c>
      <c r="M72" s="25">
        <v>0</v>
      </c>
    </row>
    <row r="73" spans="2:13" x14ac:dyDescent="0.35">
      <c r="B73" s="26"/>
      <c r="C73" s="27" t="s">
        <v>129</v>
      </c>
      <c r="E73" s="28">
        <v>0</v>
      </c>
      <c r="F73" s="28">
        <v>0</v>
      </c>
      <c r="G73" s="28">
        <v>0</v>
      </c>
      <c r="H73" s="33">
        <v>808920</v>
      </c>
      <c r="I73" s="28">
        <v>0</v>
      </c>
      <c r="J73" s="28">
        <v>0</v>
      </c>
      <c r="K73" s="28">
        <v>0</v>
      </c>
      <c r="M73" s="28">
        <v>0</v>
      </c>
    </row>
    <row r="74" spans="2:13" x14ac:dyDescent="0.35">
      <c r="B74" s="31">
        <v>58</v>
      </c>
      <c r="C74" s="29" t="s">
        <v>130</v>
      </c>
      <c r="E74" s="23">
        <v>0</v>
      </c>
      <c r="F74" s="23">
        <v>0</v>
      </c>
      <c r="G74" s="23">
        <v>0</v>
      </c>
      <c r="I74" s="23"/>
      <c r="J74" s="23">
        <v>0</v>
      </c>
      <c r="K74" s="23">
        <v>0</v>
      </c>
      <c r="M74" s="23">
        <v>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6216BFFB-3D17-4630-9A36-350A8317E5BD}">
      <formula1>Taxes</formula1>
    </dataValidation>
    <dataValidation type="list" allowBlank="1" showInputMessage="1" showErrorMessage="1" sqref="C75:C603" xr:uid="{EBE224D8-D87B-4D8C-B6EE-A906B71009AE}">
      <formula1>Compadjust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5C18-1479-4A21-A732-46EF5971EED7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47.25" customHeight="1" x14ac:dyDescent="0.35">
      <c r="C1" s="7" t="s">
        <v>53</v>
      </c>
      <c r="E1" s="9" t="s">
        <v>24</v>
      </c>
      <c r="F1" s="9" t="s">
        <v>142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415711738</v>
      </c>
      <c r="F8" s="20">
        <v>0</v>
      </c>
      <c r="G8" s="20">
        <v>415711738</v>
      </c>
      <c r="I8" s="20">
        <v>447784942</v>
      </c>
      <c r="J8" s="20">
        <v>11463154</v>
      </c>
      <c r="K8" s="20">
        <v>459248096</v>
      </c>
      <c r="M8" s="20">
        <v>-43536358</v>
      </c>
    </row>
    <row r="9" spans="2:13" x14ac:dyDescent="0.35">
      <c r="B9" s="26"/>
      <c r="C9" s="27" t="s">
        <v>69</v>
      </c>
      <c r="E9" s="28">
        <v>58064454</v>
      </c>
      <c r="F9" s="28">
        <v>0</v>
      </c>
      <c r="G9" s="28">
        <v>58064454</v>
      </c>
      <c r="I9" s="28">
        <v>47000000</v>
      </c>
      <c r="J9" s="28">
        <v>10669454</v>
      </c>
      <c r="K9" s="28">
        <v>57669454</v>
      </c>
      <c r="M9" s="28">
        <v>395000</v>
      </c>
    </row>
    <row r="10" spans="2:13" x14ac:dyDescent="0.35">
      <c r="B10" s="21">
        <v>3</v>
      </c>
      <c r="C10" s="29" t="s">
        <v>70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10669454</v>
      </c>
      <c r="F11" s="25">
        <v>0</v>
      </c>
      <c r="G11" s="25">
        <v>10669454</v>
      </c>
      <c r="I11" s="25">
        <v>0</v>
      </c>
      <c r="J11" s="25">
        <v>10669454</v>
      </c>
      <c r="K11" s="25">
        <v>10669454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10000000</v>
      </c>
      <c r="F12" s="23">
        <v>0</v>
      </c>
      <c r="G12" s="23">
        <v>10000000</v>
      </c>
      <c r="I12" s="23">
        <v>10000000</v>
      </c>
      <c r="J12" s="23">
        <v>0</v>
      </c>
      <c r="K12" s="23">
        <v>10000000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37395000</v>
      </c>
      <c r="F14" s="23">
        <v>0</v>
      </c>
      <c r="G14" s="23">
        <v>37395000</v>
      </c>
      <c r="I14" s="23">
        <v>37000000</v>
      </c>
      <c r="J14" s="23">
        <v>0</v>
      </c>
      <c r="K14" s="23">
        <v>37000000</v>
      </c>
      <c r="M14" s="23">
        <v>395000</v>
      </c>
    </row>
    <row r="15" spans="2:13" x14ac:dyDescent="0.35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307646489</v>
      </c>
      <c r="F36" s="28">
        <v>0</v>
      </c>
      <c r="G36" s="28">
        <v>307646489</v>
      </c>
      <c r="I36" s="28">
        <v>307646489</v>
      </c>
      <c r="J36" s="28">
        <v>0</v>
      </c>
      <c r="K36" s="28">
        <v>307646489</v>
      </c>
      <c r="M36" s="28">
        <v>0</v>
      </c>
    </row>
    <row r="37" spans="2:13" x14ac:dyDescent="0.35">
      <c r="B37" s="31">
        <v>27</v>
      </c>
      <c r="C37" s="29" t="s">
        <v>95</v>
      </c>
      <c r="E37" s="23">
        <v>0</v>
      </c>
      <c r="F37" s="23">
        <v>0</v>
      </c>
      <c r="G37" s="23">
        <v>0</v>
      </c>
      <c r="I37" s="23">
        <v>0</v>
      </c>
      <c r="J37" s="23">
        <v>0</v>
      </c>
      <c r="K37" s="23">
        <v>0</v>
      </c>
      <c r="M37" s="23">
        <v>0</v>
      </c>
    </row>
    <row r="38" spans="2:13" x14ac:dyDescent="0.35">
      <c r="B38" s="32">
        <v>28</v>
      </c>
      <c r="C38" s="30" t="s">
        <v>96</v>
      </c>
      <c r="E38" s="25">
        <v>300259626</v>
      </c>
      <c r="F38" s="25">
        <v>0</v>
      </c>
      <c r="G38" s="25">
        <v>300259626</v>
      </c>
      <c r="I38" s="25">
        <v>300259626</v>
      </c>
      <c r="J38" s="25">
        <v>0</v>
      </c>
      <c r="K38" s="25">
        <v>300259626</v>
      </c>
      <c r="M38" s="25">
        <v>0</v>
      </c>
    </row>
    <row r="39" spans="2:13" x14ac:dyDescent="0.35">
      <c r="B39" s="31">
        <v>29</v>
      </c>
      <c r="C39" s="29" t="s">
        <v>97</v>
      </c>
      <c r="E39" s="23">
        <v>0</v>
      </c>
      <c r="F39" s="23">
        <v>0</v>
      </c>
      <c r="G39" s="23">
        <v>0</v>
      </c>
      <c r="I39" s="23">
        <v>0</v>
      </c>
      <c r="J39" s="23">
        <v>0</v>
      </c>
      <c r="K39" s="23">
        <v>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0</v>
      </c>
      <c r="F40" s="25">
        <v>0</v>
      </c>
      <c r="G40" s="25">
        <v>0</v>
      </c>
      <c r="I40" s="25">
        <v>0</v>
      </c>
      <c r="J40" s="25">
        <v>0</v>
      </c>
      <c r="K40" s="25">
        <v>0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465081</v>
      </c>
      <c r="F42" s="25">
        <v>0</v>
      </c>
      <c r="G42" s="25">
        <v>465081</v>
      </c>
      <c r="I42" s="25">
        <v>465081</v>
      </c>
      <c r="J42" s="25">
        <v>0</v>
      </c>
      <c r="K42" s="25">
        <v>465081</v>
      </c>
      <c r="M42" s="25">
        <v>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1817613</v>
      </c>
      <c r="F44" s="25">
        <v>0</v>
      </c>
      <c r="G44" s="25">
        <v>1817613</v>
      </c>
      <c r="I44" s="25">
        <v>1817613</v>
      </c>
      <c r="J44" s="25">
        <v>0</v>
      </c>
      <c r="K44" s="25">
        <v>1817613</v>
      </c>
      <c r="M44" s="25">
        <v>0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0</v>
      </c>
      <c r="J45" s="23">
        <v>0</v>
      </c>
      <c r="K45" s="23">
        <v>0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5104169</v>
      </c>
      <c r="F49" s="23">
        <v>0</v>
      </c>
      <c r="G49" s="23">
        <v>5104169</v>
      </c>
      <c r="I49" s="23">
        <v>5104169</v>
      </c>
      <c r="J49" s="23">
        <v>0</v>
      </c>
      <c r="K49" s="23">
        <v>5104169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0</v>
      </c>
      <c r="J51" s="23">
        <v>0</v>
      </c>
      <c r="K51" s="23">
        <v>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5421835</v>
      </c>
      <c r="F53" s="28">
        <v>0</v>
      </c>
      <c r="G53" s="28">
        <v>5421835</v>
      </c>
      <c r="I53" s="28">
        <v>14158598</v>
      </c>
      <c r="J53" s="28">
        <v>0</v>
      </c>
      <c r="K53" s="28">
        <v>14158598</v>
      </c>
      <c r="M53" s="28">
        <v>-8736763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5421835</v>
      </c>
      <c r="F57" s="25">
        <v>0</v>
      </c>
      <c r="G57" s="25">
        <v>5421835</v>
      </c>
      <c r="I57" s="25">
        <v>14158598</v>
      </c>
      <c r="J57" s="25">
        <v>0</v>
      </c>
      <c r="K57" s="25">
        <v>14158598</v>
      </c>
      <c r="M57" s="25">
        <v>-8736763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793700</v>
      </c>
      <c r="F62" s="28">
        <v>0</v>
      </c>
      <c r="G62" s="28">
        <v>793700</v>
      </c>
      <c r="I62" s="28">
        <v>0</v>
      </c>
      <c r="J62" s="28">
        <v>793700</v>
      </c>
      <c r="K62" s="28">
        <v>793700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793700</v>
      </c>
      <c r="F65" s="23">
        <v>0</v>
      </c>
      <c r="G65" s="23">
        <v>793700</v>
      </c>
      <c r="I65" s="23">
        <v>0</v>
      </c>
      <c r="J65" s="23">
        <v>793700</v>
      </c>
      <c r="K65" s="23">
        <v>793700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35194595</v>
      </c>
      <c r="J66" s="28">
        <v>0</v>
      </c>
      <c r="K66" s="28">
        <v>35194595</v>
      </c>
      <c r="M66" s="28">
        <v>-35194595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35194595</v>
      </c>
      <c r="J68" s="25">
        <v>0</v>
      </c>
      <c r="K68" s="25">
        <v>35194595</v>
      </c>
      <c r="M68" s="25">
        <v>-35194595</v>
      </c>
    </row>
    <row r="69" spans="2:13" x14ac:dyDescent="0.35">
      <c r="B69" s="26"/>
      <c r="C69" s="27" t="s">
        <v>125</v>
      </c>
      <c r="E69" s="28">
        <v>8029190</v>
      </c>
      <c r="F69" s="28">
        <v>0</v>
      </c>
      <c r="G69" s="28">
        <v>8029190</v>
      </c>
      <c r="I69" s="28">
        <v>8029190</v>
      </c>
      <c r="J69" s="28">
        <v>0</v>
      </c>
      <c r="K69" s="28">
        <v>8029190</v>
      </c>
      <c r="M69" s="28">
        <v>0</v>
      </c>
    </row>
    <row r="70" spans="2:13" x14ac:dyDescent="0.35">
      <c r="B70" s="31">
        <v>56</v>
      </c>
      <c r="C70" s="29" t="s">
        <v>126</v>
      </c>
      <c r="E70" s="23">
        <v>8029190</v>
      </c>
      <c r="F70" s="23">
        <v>0</v>
      </c>
      <c r="G70" s="23">
        <v>8029190</v>
      </c>
      <c r="I70" s="23">
        <v>8029190</v>
      </c>
      <c r="J70" s="23">
        <v>0</v>
      </c>
      <c r="K70" s="23">
        <v>8029190</v>
      </c>
      <c r="M70" s="23">
        <v>0</v>
      </c>
    </row>
    <row r="71" spans="2:13" x14ac:dyDescent="0.35">
      <c r="B71" s="26"/>
      <c r="C71" s="27" t="s">
        <v>127</v>
      </c>
      <c r="E71" s="28">
        <v>35756070</v>
      </c>
      <c r="F71" s="28">
        <v>0</v>
      </c>
      <c r="G71" s="28">
        <v>35756070</v>
      </c>
      <c r="I71" s="28">
        <v>35756070</v>
      </c>
      <c r="J71" s="28">
        <v>0</v>
      </c>
      <c r="K71" s="28">
        <v>35756070</v>
      </c>
      <c r="M71" s="28">
        <v>0</v>
      </c>
    </row>
    <row r="72" spans="2:13" x14ac:dyDescent="0.35">
      <c r="B72" s="32">
        <v>57</v>
      </c>
      <c r="C72" s="30" t="s">
        <v>128</v>
      </c>
      <c r="E72" s="25">
        <v>35756070</v>
      </c>
      <c r="F72" s="25">
        <v>0</v>
      </c>
      <c r="G72" s="25">
        <v>35756070</v>
      </c>
      <c r="I72" s="25">
        <v>35756070</v>
      </c>
      <c r="J72" s="25">
        <v>0</v>
      </c>
      <c r="K72" s="25">
        <v>35756070</v>
      </c>
      <c r="M72" s="25">
        <v>0</v>
      </c>
    </row>
    <row r="73" spans="2:13" x14ac:dyDescent="0.35">
      <c r="B73" s="26"/>
      <c r="C73" s="27" t="s">
        <v>129</v>
      </c>
      <c r="E73" s="28">
        <v>0</v>
      </c>
      <c r="F73" s="28">
        <v>0</v>
      </c>
      <c r="G73" s="28">
        <v>0</v>
      </c>
      <c r="H73" s="33">
        <v>808920</v>
      </c>
      <c r="I73" s="28">
        <v>0</v>
      </c>
      <c r="J73" s="28">
        <v>0</v>
      </c>
      <c r="K73" s="28">
        <v>0</v>
      </c>
      <c r="M73" s="28">
        <v>0</v>
      </c>
    </row>
    <row r="74" spans="2:13" x14ac:dyDescent="0.35">
      <c r="B74" s="31">
        <v>58</v>
      </c>
      <c r="C74" s="29" t="s">
        <v>130</v>
      </c>
      <c r="E74" s="23"/>
      <c r="F74" s="23">
        <v>0</v>
      </c>
      <c r="G74" s="23">
        <v>0</v>
      </c>
      <c r="I74" s="23"/>
      <c r="J74" s="23">
        <v>0</v>
      </c>
      <c r="K74" s="23">
        <v>0</v>
      </c>
      <c r="M74" s="23">
        <v>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66543262-5D4D-46B0-91ED-29705E26E04F}">
      <formula1>Taxes</formula1>
    </dataValidation>
    <dataValidation type="list" allowBlank="1" showInputMessage="1" showErrorMessage="1" sqref="C75:C603" xr:uid="{ED181678-0316-4F41-9614-CF59CB3F762B}">
      <formula1>Compadjust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138C9-E9A6-4D3F-9A16-FAF80157195F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21" x14ac:dyDescent="0.35">
      <c r="C1" s="7" t="s">
        <v>53</v>
      </c>
      <c r="E1" s="9" t="s">
        <v>26</v>
      </c>
      <c r="F1" s="9" t="s">
        <v>143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139878495</v>
      </c>
      <c r="F8" s="20">
        <v>310985688</v>
      </c>
      <c r="G8" s="20">
        <v>450864183</v>
      </c>
      <c r="I8" s="20">
        <v>438026847</v>
      </c>
      <c r="J8" s="20">
        <v>11310906</v>
      </c>
      <c r="K8" s="20">
        <v>449337753</v>
      </c>
      <c r="M8" s="20">
        <v>1526430</v>
      </c>
    </row>
    <row r="9" spans="2:13" x14ac:dyDescent="0.35">
      <c r="B9" s="26"/>
      <c r="C9" s="27" t="s">
        <v>69</v>
      </c>
      <c r="E9" s="28">
        <v>3145000</v>
      </c>
      <c r="F9" s="28">
        <v>64967024</v>
      </c>
      <c r="G9" s="28">
        <v>68112024</v>
      </c>
      <c r="I9" s="28">
        <v>68112024</v>
      </c>
      <c r="J9" s="28">
        <v>0</v>
      </c>
      <c r="K9" s="28">
        <v>68112024</v>
      </c>
      <c r="M9" s="28">
        <v>0</v>
      </c>
    </row>
    <row r="10" spans="2:13" x14ac:dyDescent="0.35">
      <c r="B10" s="21">
        <v>3</v>
      </c>
      <c r="C10" s="29" t="s">
        <v>70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0</v>
      </c>
      <c r="F11" s="25">
        <v>64967024</v>
      </c>
      <c r="G11" s="25">
        <v>64967024</v>
      </c>
      <c r="I11" s="25">
        <v>64967024</v>
      </c>
      <c r="J11" s="25">
        <v>0</v>
      </c>
      <c r="K11" s="25">
        <v>64967024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3145000</v>
      </c>
      <c r="F14" s="23">
        <v>0</v>
      </c>
      <c r="G14" s="23">
        <v>3145000</v>
      </c>
      <c r="I14" s="23">
        <v>3145000</v>
      </c>
      <c r="J14" s="23">
        <v>0</v>
      </c>
      <c r="K14" s="23">
        <v>3145000</v>
      </c>
      <c r="M14" s="23">
        <v>0</v>
      </c>
    </row>
    <row r="15" spans="2:13" x14ac:dyDescent="0.35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120049696</v>
      </c>
      <c r="F36" s="28">
        <v>0</v>
      </c>
      <c r="G36" s="28">
        <v>120049696</v>
      </c>
      <c r="I36" s="28">
        <v>107151880</v>
      </c>
      <c r="J36" s="28">
        <v>11310906</v>
      </c>
      <c r="K36" s="28">
        <v>118462786</v>
      </c>
      <c r="M36" s="28">
        <v>1586910</v>
      </c>
    </row>
    <row r="37" spans="2:13" x14ac:dyDescent="0.35">
      <c r="B37" s="31">
        <v>27</v>
      </c>
      <c r="C37" s="29" t="s">
        <v>95</v>
      </c>
      <c r="E37" s="23">
        <v>0</v>
      </c>
      <c r="F37" s="23">
        <v>0</v>
      </c>
      <c r="G37" s="23">
        <v>0</v>
      </c>
      <c r="I37" s="23">
        <v>0</v>
      </c>
      <c r="J37" s="23">
        <v>0</v>
      </c>
      <c r="K37" s="23">
        <v>0</v>
      </c>
      <c r="M37" s="23">
        <v>0</v>
      </c>
    </row>
    <row r="38" spans="2:13" x14ac:dyDescent="0.35">
      <c r="B38" s="32">
        <v>28</v>
      </c>
      <c r="C38" s="30" t="s">
        <v>96</v>
      </c>
      <c r="E38" s="25">
        <v>118422786</v>
      </c>
      <c r="F38" s="25">
        <v>0</v>
      </c>
      <c r="G38" s="25">
        <v>118422786</v>
      </c>
      <c r="I38" s="25">
        <v>107111880</v>
      </c>
      <c r="J38" s="25">
        <v>11310906</v>
      </c>
      <c r="K38" s="25">
        <v>118422786</v>
      </c>
      <c r="M38" s="25">
        <v>0</v>
      </c>
    </row>
    <row r="39" spans="2:13" x14ac:dyDescent="0.35">
      <c r="B39" s="31">
        <v>29</v>
      </c>
      <c r="C39" s="29" t="s">
        <v>97</v>
      </c>
      <c r="E39" s="23">
        <v>0</v>
      </c>
      <c r="F39" s="23">
        <v>0</v>
      </c>
      <c r="G39" s="23">
        <v>0</v>
      </c>
      <c r="I39" s="23">
        <v>0</v>
      </c>
      <c r="J39" s="23">
        <v>0</v>
      </c>
      <c r="K39" s="23">
        <v>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0</v>
      </c>
      <c r="F40" s="25">
        <v>0</v>
      </c>
      <c r="G40" s="25">
        <v>0</v>
      </c>
      <c r="I40" s="25">
        <v>0</v>
      </c>
      <c r="J40" s="25">
        <v>0</v>
      </c>
      <c r="K40" s="25">
        <v>0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1626910</v>
      </c>
      <c r="F42" s="25">
        <v>0</v>
      </c>
      <c r="G42" s="25">
        <v>1626910</v>
      </c>
      <c r="I42" s="25">
        <v>0</v>
      </c>
      <c r="J42" s="25">
        <v>0</v>
      </c>
      <c r="K42" s="25">
        <v>0</v>
      </c>
      <c r="M42" s="25">
        <v>1626910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0</v>
      </c>
      <c r="F44" s="25">
        <v>0</v>
      </c>
      <c r="G44" s="25">
        <v>0</v>
      </c>
      <c r="I44" s="25">
        <v>0</v>
      </c>
      <c r="J44" s="25">
        <v>0</v>
      </c>
      <c r="K44" s="25">
        <v>0</v>
      </c>
      <c r="M44" s="25">
        <v>0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0</v>
      </c>
      <c r="J45" s="23">
        <v>0</v>
      </c>
      <c r="K45" s="23">
        <v>0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0</v>
      </c>
      <c r="F49" s="23">
        <v>0</v>
      </c>
      <c r="G49" s="23">
        <v>0</v>
      </c>
      <c r="I49" s="23">
        <v>0</v>
      </c>
      <c r="J49" s="23">
        <v>0</v>
      </c>
      <c r="K49" s="23">
        <v>0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40000</v>
      </c>
      <c r="J51" s="23">
        <v>0</v>
      </c>
      <c r="K51" s="23">
        <v>40000</v>
      </c>
      <c r="M51" s="23">
        <v>-40000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0</v>
      </c>
      <c r="F53" s="28">
        <v>0</v>
      </c>
      <c r="G53" s="28">
        <v>0</v>
      </c>
      <c r="I53" s="28">
        <v>0</v>
      </c>
      <c r="J53" s="28">
        <v>0</v>
      </c>
      <c r="K53" s="28">
        <v>0</v>
      </c>
      <c r="M53" s="28">
        <v>0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0</v>
      </c>
      <c r="F57" s="25">
        <v>0</v>
      </c>
      <c r="G57" s="25">
        <v>0</v>
      </c>
      <c r="I57" s="25">
        <v>0</v>
      </c>
      <c r="J57" s="25">
        <v>0</v>
      </c>
      <c r="K57" s="25">
        <v>0</v>
      </c>
      <c r="M57" s="25">
        <v>0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0</v>
      </c>
      <c r="F62" s="28">
        <v>3345000</v>
      </c>
      <c r="G62" s="28">
        <v>3345000</v>
      </c>
      <c r="I62" s="28">
        <v>3345000</v>
      </c>
      <c r="J62" s="28">
        <v>0</v>
      </c>
      <c r="K62" s="28">
        <v>3345000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0</v>
      </c>
      <c r="F63" s="23">
        <v>3345000</v>
      </c>
      <c r="G63" s="23">
        <v>3345000</v>
      </c>
      <c r="I63" s="23">
        <v>3345000</v>
      </c>
      <c r="J63" s="23">
        <v>0</v>
      </c>
      <c r="K63" s="23">
        <v>3345000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242673664</v>
      </c>
      <c r="G66" s="28">
        <v>242673664</v>
      </c>
      <c r="I66" s="28">
        <v>242673664</v>
      </c>
      <c r="J66" s="28">
        <v>0</v>
      </c>
      <c r="K66" s="28">
        <v>242673664</v>
      </c>
      <c r="M66" s="28">
        <v>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242673664</v>
      </c>
      <c r="G67" s="23">
        <v>242673664</v>
      </c>
      <c r="I67" s="23">
        <v>242673664</v>
      </c>
      <c r="J67" s="23">
        <v>0</v>
      </c>
      <c r="K67" s="23">
        <v>242673664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0</v>
      </c>
      <c r="J68" s="25">
        <v>0</v>
      </c>
      <c r="K68" s="25">
        <v>0</v>
      </c>
      <c r="M68" s="25">
        <v>0</v>
      </c>
    </row>
    <row r="69" spans="2:13" x14ac:dyDescent="0.35">
      <c r="B69" s="26"/>
      <c r="C69" s="27" t="s">
        <v>125</v>
      </c>
      <c r="E69" s="28">
        <v>1542200</v>
      </c>
      <c r="F69" s="28">
        <v>0</v>
      </c>
      <c r="G69" s="28">
        <v>1542200</v>
      </c>
      <c r="I69" s="28">
        <v>1602680</v>
      </c>
      <c r="J69" s="28">
        <v>0</v>
      </c>
      <c r="K69" s="28">
        <v>1602680</v>
      </c>
      <c r="M69" s="28">
        <v>-60480</v>
      </c>
    </row>
    <row r="70" spans="2:13" x14ac:dyDescent="0.35">
      <c r="B70" s="31">
        <v>56</v>
      </c>
      <c r="C70" s="29" t="s">
        <v>126</v>
      </c>
      <c r="E70" s="23">
        <v>1542200</v>
      </c>
      <c r="F70" s="23">
        <v>0</v>
      </c>
      <c r="G70" s="23">
        <v>1542200</v>
      </c>
      <c r="I70" s="23">
        <v>1602680</v>
      </c>
      <c r="J70" s="23">
        <v>0</v>
      </c>
      <c r="K70" s="23">
        <v>1602680</v>
      </c>
      <c r="M70" s="23">
        <v>-60480</v>
      </c>
    </row>
    <row r="71" spans="2:13" x14ac:dyDescent="0.35">
      <c r="B71" s="26"/>
      <c r="C71" s="27" t="s">
        <v>127</v>
      </c>
      <c r="E71" s="28">
        <v>15141599</v>
      </c>
      <c r="F71" s="28">
        <v>0</v>
      </c>
      <c r="G71" s="28">
        <v>15141599</v>
      </c>
      <c r="I71" s="28">
        <v>15141599</v>
      </c>
      <c r="J71" s="28">
        <v>0</v>
      </c>
      <c r="K71" s="28">
        <v>15141599</v>
      </c>
      <c r="M71" s="28">
        <v>0</v>
      </c>
    </row>
    <row r="72" spans="2:13" x14ac:dyDescent="0.35">
      <c r="B72" s="32">
        <v>57</v>
      </c>
      <c r="C72" s="30" t="s">
        <v>128</v>
      </c>
      <c r="E72" s="25">
        <v>15141599</v>
      </c>
      <c r="F72" s="25">
        <v>0</v>
      </c>
      <c r="G72" s="25">
        <v>15141599</v>
      </c>
      <c r="I72" s="25">
        <v>15141599</v>
      </c>
      <c r="J72" s="25">
        <v>0</v>
      </c>
      <c r="K72" s="25">
        <v>15141599</v>
      </c>
      <c r="M72" s="25">
        <v>0</v>
      </c>
    </row>
    <row r="73" spans="2:13" x14ac:dyDescent="0.35">
      <c r="B73" s="26"/>
      <c r="C73" s="27" t="s">
        <v>129</v>
      </c>
      <c r="E73" s="28">
        <v>0</v>
      </c>
      <c r="F73" s="28">
        <v>0</v>
      </c>
      <c r="G73" s="28">
        <v>0</v>
      </c>
      <c r="H73" s="33">
        <v>808920</v>
      </c>
      <c r="I73" s="28">
        <v>0</v>
      </c>
      <c r="J73" s="28">
        <v>0</v>
      </c>
      <c r="K73" s="28">
        <v>0</v>
      </c>
      <c r="M73" s="28">
        <v>0</v>
      </c>
    </row>
    <row r="74" spans="2:13" x14ac:dyDescent="0.35">
      <c r="B74" s="31">
        <v>58</v>
      </c>
      <c r="C74" s="29" t="s">
        <v>130</v>
      </c>
      <c r="E74" s="23"/>
      <c r="F74" s="23">
        <v>0</v>
      </c>
      <c r="G74" s="23">
        <v>0</v>
      </c>
      <c r="I74" s="23"/>
      <c r="J74" s="23">
        <v>0</v>
      </c>
      <c r="K74" s="23">
        <v>0</v>
      </c>
      <c r="M74" s="23">
        <v>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6C19A803-A2E6-4400-9316-E55E2CE0FA60}">
      <formula1>Taxes</formula1>
    </dataValidation>
    <dataValidation type="list" allowBlank="1" showInputMessage="1" showErrorMessage="1" sqref="C75:C603" xr:uid="{50E56353-BCB7-4109-90CA-4C521F8BC91C}">
      <formula1>Compadjust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BEDF-513C-45B9-A5AB-26C98E7E24B2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21" x14ac:dyDescent="0.35">
      <c r="C1" s="7" t="s">
        <v>53</v>
      </c>
      <c r="E1" s="9" t="s">
        <v>28</v>
      </c>
      <c r="F1" s="9" t="s">
        <v>144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166426400</v>
      </c>
      <c r="F8" s="20">
        <v>0</v>
      </c>
      <c r="G8" s="20">
        <v>166426400</v>
      </c>
      <c r="I8" s="20">
        <v>156452046</v>
      </c>
      <c r="J8" s="20">
        <v>0</v>
      </c>
      <c r="K8" s="20">
        <v>156452046</v>
      </c>
      <c r="M8" s="20">
        <v>9974354</v>
      </c>
    </row>
    <row r="9" spans="2:13" x14ac:dyDescent="0.35">
      <c r="B9" s="26"/>
      <c r="C9" s="27" t="s">
        <v>69</v>
      </c>
      <c r="E9" s="28">
        <v>34972534</v>
      </c>
      <c r="F9" s="28">
        <v>0</v>
      </c>
      <c r="G9" s="28">
        <v>34972534</v>
      </c>
      <c r="I9" s="28">
        <v>25000000</v>
      </c>
      <c r="J9" s="28">
        <v>0</v>
      </c>
      <c r="K9" s="28">
        <v>25000000</v>
      </c>
      <c r="M9" s="28">
        <v>9972534</v>
      </c>
    </row>
    <row r="10" spans="2:13" x14ac:dyDescent="0.35">
      <c r="B10" s="21">
        <v>3</v>
      </c>
      <c r="C10" s="29" t="s">
        <v>70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9972534</v>
      </c>
      <c r="F11" s="25">
        <v>0</v>
      </c>
      <c r="G11" s="25">
        <v>9972534</v>
      </c>
      <c r="I11" s="25">
        <v>0</v>
      </c>
      <c r="J11" s="25">
        <v>0</v>
      </c>
      <c r="K11" s="25">
        <v>0</v>
      </c>
      <c r="M11" s="25">
        <v>9972534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25000000</v>
      </c>
      <c r="F14" s="23">
        <v>0</v>
      </c>
      <c r="G14" s="23">
        <v>25000000</v>
      </c>
      <c r="I14" s="23">
        <v>25000000</v>
      </c>
      <c r="J14" s="23">
        <v>0</v>
      </c>
      <c r="K14" s="23">
        <v>25000000</v>
      </c>
      <c r="M14" s="23">
        <v>0</v>
      </c>
    </row>
    <row r="15" spans="2:13" x14ac:dyDescent="0.35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83906989</v>
      </c>
      <c r="F36" s="28">
        <v>0</v>
      </c>
      <c r="G36" s="28">
        <v>83906989</v>
      </c>
      <c r="I36" s="28">
        <v>83906989</v>
      </c>
      <c r="J36" s="28">
        <v>0</v>
      </c>
      <c r="K36" s="28">
        <v>83906989</v>
      </c>
      <c r="M36" s="28">
        <v>0</v>
      </c>
    </row>
    <row r="37" spans="2:13" x14ac:dyDescent="0.35">
      <c r="B37" s="31">
        <v>27</v>
      </c>
      <c r="C37" s="29" t="s">
        <v>95</v>
      </c>
      <c r="E37" s="23">
        <v>17700586</v>
      </c>
      <c r="F37" s="23">
        <v>0</v>
      </c>
      <c r="G37" s="23">
        <v>17700586</v>
      </c>
      <c r="I37" s="23">
        <v>17700586</v>
      </c>
      <c r="J37" s="23">
        <v>0</v>
      </c>
      <c r="K37" s="23">
        <v>17700586</v>
      </c>
      <c r="M37" s="23">
        <v>0</v>
      </c>
    </row>
    <row r="38" spans="2:13" x14ac:dyDescent="0.35">
      <c r="B38" s="32">
        <v>28</v>
      </c>
      <c r="C38" s="30" t="s">
        <v>96</v>
      </c>
      <c r="E38" s="25">
        <v>51565110</v>
      </c>
      <c r="F38" s="25">
        <v>0</v>
      </c>
      <c r="G38" s="25">
        <v>51565110</v>
      </c>
      <c r="I38" s="25">
        <v>51565110</v>
      </c>
      <c r="J38" s="25">
        <v>0</v>
      </c>
      <c r="K38" s="25">
        <v>51565110</v>
      </c>
      <c r="M38" s="25">
        <v>0</v>
      </c>
    </row>
    <row r="39" spans="2:13" x14ac:dyDescent="0.35">
      <c r="B39" s="31">
        <v>29</v>
      </c>
      <c r="C39" s="29" t="s">
        <v>97</v>
      </c>
      <c r="E39" s="23">
        <v>0</v>
      </c>
      <c r="F39" s="23">
        <v>0</v>
      </c>
      <c r="G39" s="23">
        <v>0</v>
      </c>
      <c r="I39" s="23">
        <v>0</v>
      </c>
      <c r="J39" s="23">
        <v>0</v>
      </c>
      <c r="K39" s="23">
        <v>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0</v>
      </c>
      <c r="F40" s="25">
        <v>0</v>
      </c>
      <c r="G40" s="25">
        <v>0</v>
      </c>
      <c r="I40" s="25">
        <v>0</v>
      </c>
      <c r="J40" s="25">
        <v>0</v>
      </c>
      <c r="K40" s="25">
        <v>0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90000</v>
      </c>
      <c r="F42" s="25">
        <v>0</v>
      </c>
      <c r="G42" s="25">
        <v>90000</v>
      </c>
      <c r="I42" s="25">
        <v>90000</v>
      </c>
      <c r="J42" s="25">
        <v>0</v>
      </c>
      <c r="K42" s="25">
        <v>90000</v>
      </c>
      <c r="M42" s="25">
        <v>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9726732</v>
      </c>
      <c r="F44" s="25">
        <v>0</v>
      </c>
      <c r="G44" s="25">
        <v>9726732</v>
      </c>
      <c r="I44" s="25">
        <v>9726732</v>
      </c>
      <c r="J44" s="25">
        <v>0</v>
      </c>
      <c r="K44" s="25">
        <v>9726732</v>
      </c>
      <c r="M44" s="25">
        <v>0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0</v>
      </c>
      <c r="J45" s="23">
        <v>0</v>
      </c>
      <c r="K45" s="23">
        <v>0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4824561</v>
      </c>
      <c r="F49" s="23">
        <v>0</v>
      </c>
      <c r="G49" s="23">
        <v>4824561</v>
      </c>
      <c r="I49" s="23">
        <v>4824561</v>
      </c>
      <c r="J49" s="23">
        <v>0</v>
      </c>
      <c r="K49" s="23">
        <v>4824561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0</v>
      </c>
      <c r="J51" s="23">
        <v>0</v>
      </c>
      <c r="K51" s="23">
        <v>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0</v>
      </c>
      <c r="F53" s="28">
        <v>0</v>
      </c>
      <c r="G53" s="28">
        <v>0</v>
      </c>
      <c r="I53" s="28">
        <v>0</v>
      </c>
      <c r="J53" s="28">
        <v>0</v>
      </c>
      <c r="K53" s="28">
        <v>0</v>
      </c>
      <c r="M53" s="28">
        <v>0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0</v>
      </c>
      <c r="F57" s="25">
        <v>0</v>
      </c>
      <c r="G57" s="25">
        <v>0</v>
      </c>
      <c r="I57" s="25">
        <v>0</v>
      </c>
      <c r="J57" s="25">
        <v>0</v>
      </c>
      <c r="K57" s="25">
        <v>0</v>
      </c>
      <c r="M57" s="25">
        <v>0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0</v>
      </c>
      <c r="F62" s="28">
        <v>0</v>
      </c>
      <c r="G62" s="28">
        <v>0</v>
      </c>
      <c r="I62" s="28">
        <v>0</v>
      </c>
      <c r="J62" s="28">
        <v>0</v>
      </c>
      <c r="K62" s="28">
        <v>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0</v>
      </c>
      <c r="J66" s="28">
        <v>0</v>
      </c>
      <c r="K66" s="28">
        <v>0</v>
      </c>
      <c r="M66" s="28">
        <v>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0</v>
      </c>
      <c r="J68" s="25">
        <v>0</v>
      </c>
      <c r="K68" s="25">
        <v>0</v>
      </c>
      <c r="M68" s="25">
        <v>0</v>
      </c>
    </row>
    <row r="69" spans="2:13" x14ac:dyDescent="0.35">
      <c r="B69" s="26"/>
      <c r="C69" s="27" t="s">
        <v>125</v>
      </c>
      <c r="E69" s="28">
        <v>6017760</v>
      </c>
      <c r="F69" s="28">
        <v>0</v>
      </c>
      <c r="G69" s="28">
        <v>6017760</v>
      </c>
      <c r="I69" s="28">
        <v>6015760</v>
      </c>
      <c r="J69" s="28">
        <v>0</v>
      </c>
      <c r="K69" s="28">
        <v>6015760</v>
      </c>
      <c r="M69" s="28">
        <v>2000</v>
      </c>
    </row>
    <row r="70" spans="2:13" x14ac:dyDescent="0.35">
      <c r="B70" s="31">
        <v>56</v>
      </c>
      <c r="C70" s="29" t="s">
        <v>126</v>
      </c>
      <c r="E70" s="23">
        <v>6017760</v>
      </c>
      <c r="F70" s="23">
        <v>0</v>
      </c>
      <c r="G70" s="23">
        <v>6017760</v>
      </c>
      <c r="I70" s="23">
        <v>6015760</v>
      </c>
      <c r="J70" s="23">
        <v>0</v>
      </c>
      <c r="K70" s="23">
        <v>6015760</v>
      </c>
      <c r="M70" s="23">
        <v>2000</v>
      </c>
    </row>
    <row r="71" spans="2:13" x14ac:dyDescent="0.35">
      <c r="B71" s="26"/>
      <c r="C71" s="27" t="s">
        <v>127</v>
      </c>
      <c r="E71" s="28">
        <v>41529117</v>
      </c>
      <c r="F71" s="28">
        <v>0</v>
      </c>
      <c r="G71" s="28">
        <v>41529117</v>
      </c>
      <c r="I71" s="28">
        <v>41529297</v>
      </c>
      <c r="J71" s="28">
        <v>0</v>
      </c>
      <c r="K71" s="28">
        <v>41529297</v>
      </c>
      <c r="M71" s="28">
        <v>-180</v>
      </c>
    </row>
    <row r="72" spans="2:13" x14ac:dyDescent="0.35">
      <c r="B72" s="32">
        <v>57</v>
      </c>
      <c r="C72" s="30" t="s">
        <v>128</v>
      </c>
      <c r="E72" s="25">
        <v>41529117</v>
      </c>
      <c r="F72" s="25">
        <v>0</v>
      </c>
      <c r="G72" s="25">
        <v>41529117</v>
      </c>
      <c r="I72" s="25">
        <v>41529297</v>
      </c>
      <c r="J72" s="25">
        <v>0</v>
      </c>
      <c r="K72" s="25">
        <v>41529297</v>
      </c>
      <c r="M72" s="25">
        <v>-180</v>
      </c>
    </row>
    <row r="73" spans="2:13" x14ac:dyDescent="0.35">
      <c r="B73" s="26"/>
      <c r="C73" s="27" t="s">
        <v>129</v>
      </c>
      <c r="E73" s="28">
        <v>0</v>
      </c>
      <c r="F73" s="28">
        <v>0</v>
      </c>
      <c r="G73" s="28">
        <v>0</v>
      </c>
      <c r="H73" s="33">
        <v>808920</v>
      </c>
      <c r="I73" s="28">
        <v>0</v>
      </c>
      <c r="J73" s="28">
        <v>0</v>
      </c>
      <c r="K73" s="28">
        <v>0</v>
      </c>
      <c r="M73" s="28">
        <v>0</v>
      </c>
    </row>
    <row r="74" spans="2:13" x14ac:dyDescent="0.35">
      <c r="B74" s="31">
        <v>58</v>
      </c>
      <c r="C74" s="29" t="s">
        <v>130</v>
      </c>
      <c r="E74" s="23"/>
      <c r="F74" s="23">
        <v>0</v>
      </c>
      <c r="G74" s="23">
        <v>0</v>
      </c>
      <c r="I74" s="23"/>
      <c r="J74" s="23">
        <v>0</v>
      </c>
      <c r="K74" s="23">
        <v>0</v>
      </c>
      <c r="M74" s="23">
        <v>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7D992843-C205-4835-920A-3861633D91C7}">
      <formula1>Taxes</formula1>
    </dataValidation>
    <dataValidation type="list" allowBlank="1" showInputMessage="1" showErrorMessage="1" sqref="C75:C603" xr:uid="{AC5CB565-9376-4D54-9F03-869F676EEE9B}">
      <formula1>Compadjust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D360-163D-4F58-8C5E-A4D442FCAD15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36.75" customHeight="1" x14ac:dyDescent="0.35">
      <c r="C1" s="7" t="s">
        <v>53</v>
      </c>
      <c r="E1" s="9" t="s">
        <v>30</v>
      </c>
      <c r="F1" s="9" t="s">
        <v>145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635842</v>
      </c>
      <c r="F8" s="20">
        <v>0</v>
      </c>
      <c r="G8" s="20">
        <v>635842</v>
      </c>
      <c r="I8" s="20">
        <v>210818</v>
      </c>
      <c r="J8" s="20">
        <v>0</v>
      </c>
      <c r="K8" s="20">
        <v>210818</v>
      </c>
      <c r="M8" s="20">
        <v>425024</v>
      </c>
    </row>
    <row r="9" spans="2:13" x14ac:dyDescent="0.35">
      <c r="B9" s="26"/>
      <c r="C9" s="27" t="s">
        <v>69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5">
      <c r="B10" s="21">
        <v>3</v>
      </c>
      <c r="C10" s="29" t="s">
        <v>70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635842</v>
      </c>
      <c r="F36" s="28">
        <v>0</v>
      </c>
      <c r="G36" s="28">
        <v>635842</v>
      </c>
      <c r="I36" s="28">
        <v>105409</v>
      </c>
      <c r="J36" s="28">
        <v>0</v>
      </c>
      <c r="K36" s="28">
        <v>105409</v>
      </c>
      <c r="M36" s="28">
        <v>530433</v>
      </c>
    </row>
    <row r="37" spans="2:13" x14ac:dyDescent="0.35">
      <c r="B37" s="31">
        <v>27</v>
      </c>
      <c r="C37" s="29" t="s">
        <v>95</v>
      </c>
      <c r="E37" s="23">
        <v>0</v>
      </c>
      <c r="F37" s="23">
        <v>0</v>
      </c>
      <c r="G37" s="23">
        <v>0</v>
      </c>
      <c r="I37" s="23">
        <v>0</v>
      </c>
      <c r="J37" s="23">
        <v>0</v>
      </c>
      <c r="K37" s="23">
        <v>0</v>
      </c>
      <c r="M37" s="23">
        <v>0</v>
      </c>
    </row>
    <row r="38" spans="2:13" x14ac:dyDescent="0.35">
      <c r="B38" s="32">
        <v>28</v>
      </c>
      <c r="C38" s="30" t="s">
        <v>96</v>
      </c>
      <c r="E38" s="25">
        <v>0</v>
      </c>
      <c r="F38" s="25">
        <v>0</v>
      </c>
      <c r="G38" s="25">
        <v>0</v>
      </c>
      <c r="I38" s="25">
        <v>0</v>
      </c>
      <c r="J38" s="25">
        <v>0</v>
      </c>
      <c r="K38" s="25">
        <v>0</v>
      </c>
      <c r="M38" s="25">
        <v>0</v>
      </c>
    </row>
    <row r="39" spans="2:13" x14ac:dyDescent="0.35">
      <c r="B39" s="31">
        <v>29</v>
      </c>
      <c r="C39" s="29" t="s">
        <v>97</v>
      </c>
      <c r="E39" s="23">
        <v>0</v>
      </c>
      <c r="F39" s="23">
        <v>0</v>
      </c>
      <c r="G39" s="23">
        <v>0</v>
      </c>
      <c r="I39" s="23">
        <v>0</v>
      </c>
      <c r="J39" s="23">
        <v>0</v>
      </c>
      <c r="K39" s="23">
        <v>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0</v>
      </c>
      <c r="F40" s="25">
        <v>0</v>
      </c>
      <c r="G40" s="25">
        <v>0</v>
      </c>
      <c r="I40" s="25">
        <v>0</v>
      </c>
      <c r="J40" s="25">
        <v>0</v>
      </c>
      <c r="K40" s="25">
        <v>0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0</v>
      </c>
      <c r="F42" s="25">
        <v>0</v>
      </c>
      <c r="G42" s="25">
        <v>0</v>
      </c>
      <c r="I42" s="25">
        <v>0</v>
      </c>
      <c r="J42" s="25">
        <v>0</v>
      </c>
      <c r="K42" s="25">
        <v>0</v>
      </c>
      <c r="M42" s="25">
        <v>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635842</v>
      </c>
      <c r="F44" s="25">
        <v>0</v>
      </c>
      <c r="G44" s="25">
        <v>635842</v>
      </c>
      <c r="I44" s="25">
        <v>105409</v>
      </c>
      <c r="J44" s="25">
        <v>0</v>
      </c>
      <c r="K44" s="25">
        <v>105409</v>
      </c>
      <c r="M44" s="25">
        <v>530433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0</v>
      </c>
      <c r="J45" s="23">
        <v>0</v>
      </c>
      <c r="K45" s="23">
        <v>0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0</v>
      </c>
      <c r="F49" s="23">
        <v>0</v>
      </c>
      <c r="G49" s="23">
        <v>0</v>
      </c>
      <c r="I49" s="23">
        <v>0</v>
      </c>
      <c r="J49" s="23">
        <v>0</v>
      </c>
      <c r="K49" s="23">
        <v>0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0</v>
      </c>
      <c r="J51" s="23">
        <v>0</v>
      </c>
      <c r="K51" s="23">
        <v>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0</v>
      </c>
      <c r="F53" s="28">
        <v>0</v>
      </c>
      <c r="G53" s="28">
        <v>0</v>
      </c>
      <c r="I53" s="28">
        <v>105409</v>
      </c>
      <c r="J53" s="28">
        <v>0</v>
      </c>
      <c r="K53" s="28">
        <v>105409</v>
      </c>
      <c r="M53" s="28">
        <v>-105409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0</v>
      </c>
      <c r="F57" s="25">
        <v>0</v>
      </c>
      <c r="G57" s="25">
        <v>0</v>
      </c>
      <c r="I57" s="25">
        <v>105409</v>
      </c>
      <c r="J57" s="25">
        <v>0</v>
      </c>
      <c r="K57" s="25">
        <v>105409</v>
      </c>
      <c r="M57" s="25">
        <v>-105409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0</v>
      </c>
      <c r="F62" s="28">
        <v>0</v>
      </c>
      <c r="G62" s="28">
        <v>0</v>
      </c>
      <c r="I62" s="28">
        <v>0</v>
      </c>
      <c r="J62" s="28">
        <v>0</v>
      </c>
      <c r="K62" s="28">
        <v>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0</v>
      </c>
      <c r="J66" s="28">
        <v>0</v>
      </c>
      <c r="K66" s="28">
        <v>0</v>
      </c>
      <c r="M66" s="28">
        <v>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0</v>
      </c>
      <c r="J68" s="25">
        <v>0</v>
      </c>
      <c r="K68" s="25">
        <v>0</v>
      </c>
      <c r="M68" s="25">
        <v>0</v>
      </c>
    </row>
    <row r="69" spans="2:13" x14ac:dyDescent="0.35">
      <c r="B69" s="26"/>
      <c r="C69" s="27" t="s">
        <v>125</v>
      </c>
      <c r="E69" s="28">
        <v>0</v>
      </c>
      <c r="F69" s="28">
        <v>0</v>
      </c>
      <c r="G69" s="28">
        <v>0</v>
      </c>
      <c r="I69" s="28">
        <v>0</v>
      </c>
      <c r="J69" s="28">
        <v>0</v>
      </c>
      <c r="K69" s="28">
        <v>0</v>
      </c>
      <c r="M69" s="28">
        <v>0</v>
      </c>
    </row>
    <row r="70" spans="2:13" x14ac:dyDescent="0.35">
      <c r="B70" s="31">
        <v>56</v>
      </c>
      <c r="C70" s="29" t="s">
        <v>126</v>
      </c>
      <c r="E70" s="23">
        <v>0</v>
      </c>
      <c r="F70" s="23">
        <v>0</v>
      </c>
      <c r="G70" s="23">
        <v>0</v>
      </c>
      <c r="I70" s="23">
        <v>0</v>
      </c>
      <c r="J70" s="23">
        <v>0</v>
      </c>
      <c r="K70" s="23">
        <v>0</v>
      </c>
      <c r="M70" s="23">
        <v>0</v>
      </c>
    </row>
    <row r="71" spans="2:13" x14ac:dyDescent="0.35">
      <c r="B71" s="26"/>
      <c r="C71" s="27" t="s">
        <v>127</v>
      </c>
      <c r="E71" s="28">
        <v>0</v>
      </c>
      <c r="F71" s="28">
        <v>0</v>
      </c>
      <c r="G71" s="28">
        <v>0</v>
      </c>
      <c r="I71" s="28">
        <v>0</v>
      </c>
      <c r="J71" s="28">
        <v>0</v>
      </c>
      <c r="K71" s="28">
        <v>0</v>
      </c>
      <c r="M71" s="28">
        <v>0</v>
      </c>
    </row>
    <row r="72" spans="2:13" x14ac:dyDescent="0.35">
      <c r="B72" s="32">
        <v>57</v>
      </c>
      <c r="C72" s="30" t="s">
        <v>128</v>
      </c>
      <c r="E72" s="25">
        <v>0</v>
      </c>
      <c r="F72" s="25">
        <v>0</v>
      </c>
      <c r="G72" s="25">
        <v>0</v>
      </c>
      <c r="I72" s="25">
        <v>0</v>
      </c>
      <c r="J72" s="25">
        <v>0</v>
      </c>
      <c r="K72" s="25">
        <v>0</v>
      </c>
      <c r="M72" s="25">
        <v>0</v>
      </c>
    </row>
    <row r="73" spans="2:13" x14ac:dyDescent="0.35">
      <c r="B73" s="26"/>
      <c r="C73" s="27" t="s">
        <v>129</v>
      </c>
      <c r="E73" s="28">
        <v>0</v>
      </c>
      <c r="F73" s="28">
        <v>0</v>
      </c>
      <c r="G73" s="28">
        <v>0</v>
      </c>
      <c r="H73" s="33">
        <v>808920</v>
      </c>
      <c r="I73" s="28">
        <v>0</v>
      </c>
      <c r="J73" s="28">
        <v>0</v>
      </c>
      <c r="K73" s="28">
        <v>0</v>
      </c>
      <c r="M73" s="28">
        <v>0</v>
      </c>
    </row>
    <row r="74" spans="2:13" x14ac:dyDescent="0.35">
      <c r="B74" s="31">
        <v>58</v>
      </c>
      <c r="C74" s="29" t="s">
        <v>130</v>
      </c>
      <c r="E74" s="23">
        <v>0</v>
      </c>
      <c r="F74" s="23">
        <v>0</v>
      </c>
      <c r="G74" s="23">
        <v>0</v>
      </c>
      <c r="I74" s="23"/>
      <c r="J74" s="23">
        <v>0</v>
      </c>
      <c r="K74" s="23">
        <v>0</v>
      </c>
      <c r="M74" s="23">
        <v>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68F4AC48-DCC3-4E5F-BFAB-0BA1C5C84EBF}">
      <formula1>Taxes</formula1>
    </dataValidation>
    <dataValidation type="list" allowBlank="1" showInputMessage="1" showErrorMessage="1" sqref="C75:C603" xr:uid="{AFB4CD7B-AF9C-4FDC-AF8E-0BEDFE641611}">
      <formula1>Compadjust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D0D1-6901-46C5-8AEF-E7EA8D4A369F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21" x14ac:dyDescent="0.35">
      <c r="C1" s="7" t="s">
        <v>53</v>
      </c>
      <c r="E1" s="9" t="s">
        <v>32</v>
      </c>
      <c r="F1" s="9" t="s">
        <v>146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72727095</v>
      </c>
      <c r="F8" s="20">
        <v>0</v>
      </c>
      <c r="G8" s="20">
        <v>72727095</v>
      </c>
      <c r="I8" s="20">
        <v>74189442</v>
      </c>
      <c r="J8" s="20">
        <v>0</v>
      </c>
      <c r="K8" s="20">
        <v>74189442</v>
      </c>
      <c r="M8" s="20">
        <v>-1462347</v>
      </c>
    </row>
    <row r="9" spans="2:13" x14ac:dyDescent="0.35">
      <c r="B9" s="26"/>
      <c r="C9" s="27" t="s">
        <v>69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5">
      <c r="B10" s="21">
        <v>3</v>
      </c>
      <c r="C10" s="29" t="s">
        <v>70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70515880</v>
      </c>
      <c r="F36" s="28">
        <v>0</v>
      </c>
      <c r="G36" s="28">
        <v>70515880</v>
      </c>
      <c r="I36" s="28">
        <v>66890401</v>
      </c>
      <c r="J36" s="28">
        <v>0</v>
      </c>
      <c r="K36" s="28">
        <v>66890401</v>
      </c>
      <c r="M36" s="28">
        <v>3625479</v>
      </c>
    </row>
    <row r="37" spans="2:13" x14ac:dyDescent="0.35">
      <c r="B37" s="31">
        <v>27</v>
      </c>
      <c r="C37" s="29" t="s">
        <v>95</v>
      </c>
      <c r="E37" s="23">
        <v>16077</v>
      </c>
      <c r="F37" s="23">
        <v>0</v>
      </c>
      <c r="G37" s="23">
        <v>16077</v>
      </c>
      <c r="I37" s="23">
        <v>343098</v>
      </c>
      <c r="J37" s="23">
        <v>0</v>
      </c>
      <c r="K37" s="23">
        <v>343098</v>
      </c>
      <c r="M37" s="23">
        <v>-327021</v>
      </c>
    </row>
    <row r="38" spans="2:13" x14ac:dyDescent="0.35">
      <c r="B38" s="32">
        <v>28</v>
      </c>
      <c r="C38" s="30" t="s">
        <v>96</v>
      </c>
      <c r="E38" s="25">
        <v>53475553</v>
      </c>
      <c r="F38" s="25">
        <v>0</v>
      </c>
      <c r="G38" s="25">
        <v>53475553</v>
      </c>
      <c r="I38" s="25">
        <v>53523053</v>
      </c>
      <c r="J38" s="25">
        <v>0</v>
      </c>
      <c r="K38" s="25">
        <v>53523053</v>
      </c>
      <c r="M38" s="25">
        <v>-47500</v>
      </c>
    </row>
    <row r="39" spans="2:13" x14ac:dyDescent="0.35">
      <c r="B39" s="31">
        <v>29</v>
      </c>
      <c r="C39" s="29" t="s">
        <v>97</v>
      </c>
      <c r="E39" s="23">
        <v>4000000</v>
      </c>
      <c r="F39" s="23">
        <v>0</v>
      </c>
      <c r="G39" s="23">
        <v>4000000</v>
      </c>
      <c r="I39" s="23">
        <v>0</v>
      </c>
      <c r="J39" s="23">
        <v>0</v>
      </c>
      <c r="K39" s="23">
        <v>0</v>
      </c>
      <c r="M39" s="23">
        <v>4000000</v>
      </c>
    </row>
    <row r="40" spans="2:13" x14ac:dyDescent="0.35">
      <c r="B40" s="32">
        <v>30</v>
      </c>
      <c r="C40" s="30" t="s">
        <v>98</v>
      </c>
      <c r="E40" s="25">
        <v>500000</v>
      </c>
      <c r="F40" s="25">
        <v>0</v>
      </c>
      <c r="G40" s="25">
        <v>500000</v>
      </c>
      <c r="I40" s="25">
        <v>500000</v>
      </c>
      <c r="J40" s="25">
        <v>0</v>
      </c>
      <c r="K40" s="25">
        <v>500000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0</v>
      </c>
      <c r="F42" s="25">
        <v>0</v>
      </c>
      <c r="G42" s="25">
        <v>0</v>
      </c>
      <c r="I42" s="25">
        <v>0</v>
      </c>
      <c r="J42" s="25">
        <v>0</v>
      </c>
      <c r="K42" s="25">
        <v>0</v>
      </c>
      <c r="M42" s="25">
        <v>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2331725</v>
      </c>
      <c r="F44" s="25">
        <v>0</v>
      </c>
      <c r="G44" s="25">
        <v>2331725</v>
      </c>
      <c r="I44" s="25">
        <v>2331725</v>
      </c>
      <c r="J44" s="25">
        <v>0</v>
      </c>
      <c r="K44" s="25">
        <v>2331725</v>
      </c>
      <c r="M44" s="25">
        <v>0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0</v>
      </c>
      <c r="J45" s="23">
        <v>0</v>
      </c>
      <c r="K45" s="23">
        <v>0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10192525</v>
      </c>
      <c r="F49" s="23">
        <v>0</v>
      </c>
      <c r="G49" s="23">
        <v>10192525</v>
      </c>
      <c r="I49" s="23">
        <v>10192525</v>
      </c>
      <c r="J49" s="23">
        <v>0</v>
      </c>
      <c r="K49" s="23">
        <v>10192525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0</v>
      </c>
      <c r="J51" s="23">
        <v>0</v>
      </c>
      <c r="K51" s="23">
        <v>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426015</v>
      </c>
      <c r="F53" s="28">
        <v>0</v>
      </c>
      <c r="G53" s="28">
        <v>426015</v>
      </c>
      <c r="I53" s="28">
        <v>115561</v>
      </c>
      <c r="J53" s="28">
        <v>0</v>
      </c>
      <c r="K53" s="28">
        <v>115561</v>
      </c>
      <c r="M53" s="28">
        <v>310454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426015</v>
      </c>
      <c r="F57" s="25">
        <v>0</v>
      </c>
      <c r="G57" s="25">
        <v>426015</v>
      </c>
      <c r="I57" s="25">
        <v>115561</v>
      </c>
      <c r="J57" s="25">
        <v>0</v>
      </c>
      <c r="K57" s="25">
        <v>115561</v>
      </c>
      <c r="M57" s="25">
        <v>310454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0</v>
      </c>
      <c r="F62" s="28">
        <v>0</v>
      </c>
      <c r="G62" s="28">
        <v>0</v>
      </c>
      <c r="I62" s="28">
        <v>0</v>
      </c>
      <c r="J62" s="28">
        <v>0</v>
      </c>
      <c r="K62" s="28">
        <v>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3000000</v>
      </c>
      <c r="J66" s="28">
        <v>0</v>
      </c>
      <c r="K66" s="28">
        <v>3000000</v>
      </c>
      <c r="M66" s="28">
        <v>-3000000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3000000</v>
      </c>
      <c r="J68" s="25">
        <v>0</v>
      </c>
      <c r="K68" s="25">
        <v>3000000</v>
      </c>
      <c r="M68" s="25">
        <v>-3000000</v>
      </c>
    </row>
    <row r="69" spans="2:13" x14ac:dyDescent="0.35">
      <c r="B69" s="26"/>
      <c r="C69" s="27" t="s">
        <v>125</v>
      </c>
      <c r="E69" s="28">
        <v>1285200</v>
      </c>
      <c r="F69" s="28">
        <v>0</v>
      </c>
      <c r="G69" s="28">
        <v>1285200</v>
      </c>
      <c r="I69" s="28">
        <v>1383480</v>
      </c>
      <c r="J69" s="28">
        <v>0</v>
      </c>
      <c r="K69" s="28">
        <v>1383480</v>
      </c>
      <c r="M69" s="28">
        <v>-98280</v>
      </c>
    </row>
    <row r="70" spans="2:13" x14ac:dyDescent="0.35">
      <c r="B70" s="31">
        <v>56</v>
      </c>
      <c r="C70" s="29" t="s">
        <v>126</v>
      </c>
      <c r="E70" s="23">
        <v>1285200</v>
      </c>
      <c r="F70" s="23">
        <v>0</v>
      </c>
      <c r="G70" s="23">
        <v>1285200</v>
      </c>
      <c r="I70" s="23">
        <v>1383480</v>
      </c>
      <c r="J70" s="23">
        <v>0</v>
      </c>
      <c r="K70" s="23">
        <v>1383480</v>
      </c>
      <c r="M70" s="23">
        <v>-98280</v>
      </c>
    </row>
    <row r="71" spans="2:13" x14ac:dyDescent="0.35">
      <c r="B71" s="26"/>
      <c r="C71" s="27" t="s">
        <v>127</v>
      </c>
      <c r="E71" s="28">
        <v>500000</v>
      </c>
      <c r="F71" s="28">
        <v>0</v>
      </c>
      <c r="G71" s="28">
        <v>500000</v>
      </c>
      <c r="I71" s="28">
        <v>500000</v>
      </c>
      <c r="J71" s="28">
        <v>0</v>
      </c>
      <c r="K71" s="28">
        <v>500000</v>
      </c>
      <c r="M71" s="28">
        <v>0</v>
      </c>
    </row>
    <row r="72" spans="2:13" x14ac:dyDescent="0.35">
      <c r="B72" s="32">
        <v>57</v>
      </c>
      <c r="C72" s="30" t="s">
        <v>128</v>
      </c>
      <c r="E72" s="25">
        <v>500000</v>
      </c>
      <c r="F72" s="25">
        <v>0</v>
      </c>
      <c r="G72" s="25">
        <v>500000</v>
      </c>
      <c r="I72" s="25">
        <v>500000</v>
      </c>
      <c r="J72" s="25">
        <v>0</v>
      </c>
      <c r="K72" s="25">
        <v>500000</v>
      </c>
      <c r="M72" s="25">
        <v>0</v>
      </c>
    </row>
    <row r="73" spans="2:13" x14ac:dyDescent="0.35">
      <c r="B73" s="26"/>
      <c r="C73" s="27" t="s">
        <v>129</v>
      </c>
      <c r="E73" s="28">
        <v>0</v>
      </c>
      <c r="F73" s="28">
        <v>0</v>
      </c>
      <c r="G73" s="28">
        <v>0</v>
      </c>
      <c r="H73" s="33">
        <v>808920</v>
      </c>
      <c r="I73" s="28">
        <v>2300000</v>
      </c>
      <c r="J73" s="28">
        <v>0</v>
      </c>
      <c r="K73" s="28">
        <v>2300000</v>
      </c>
      <c r="M73" s="28">
        <v>-2300000</v>
      </c>
    </row>
    <row r="74" spans="2:13" x14ac:dyDescent="0.35">
      <c r="B74" s="31">
        <v>58</v>
      </c>
      <c r="C74" s="29" t="s">
        <v>130</v>
      </c>
      <c r="E74" s="23">
        <v>0</v>
      </c>
      <c r="F74" s="23">
        <v>0</v>
      </c>
      <c r="G74" s="23">
        <v>0</v>
      </c>
      <c r="I74" s="23">
        <v>2300000</v>
      </c>
      <c r="J74" s="23">
        <v>0</v>
      </c>
      <c r="K74" s="23">
        <v>2300000</v>
      </c>
      <c r="M74" s="23">
        <v>-2300000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E6349472-5272-4A55-84A4-89317925604A}">
      <formula1>Taxes</formula1>
    </dataValidation>
    <dataValidation type="list" allowBlank="1" showInputMessage="1" showErrorMessage="1" sqref="C75:C603" xr:uid="{FD0A5A0E-397E-4A1C-B2BE-ED7FEE8936C4}">
      <formula1>Compadjust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08F9-5BD8-4A01-AD92-C2F5BBFD41F5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25.5" customHeight="1" x14ac:dyDescent="0.35">
      <c r="C1" s="7" t="s">
        <v>53</v>
      </c>
      <c r="E1" s="9" t="s">
        <v>34</v>
      </c>
      <c r="F1" s="9" t="s">
        <v>147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2373862444</v>
      </c>
      <c r="F8" s="20">
        <v>0</v>
      </c>
      <c r="G8" s="20">
        <v>2373862444</v>
      </c>
      <c r="I8" s="20">
        <v>2864530762</v>
      </c>
      <c r="J8" s="20">
        <v>0</v>
      </c>
      <c r="K8" s="20">
        <v>2864530762</v>
      </c>
      <c r="M8" s="20">
        <v>-490668318</v>
      </c>
    </row>
    <row r="9" spans="2:13" x14ac:dyDescent="0.35">
      <c r="B9" s="26"/>
      <c r="C9" s="27" t="s">
        <v>69</v>
      </c>
      <c r="E9" s="28">
        <v>498407037</v>
      </c>
      <c r="F9" s="28">
        <v>0</v>
      </c>
      <c r="G9" s="28">
        <v>498407037</v>
      </c>
      <c r="I9" s="28">
        <v>498274613</v>
      </c>
      <c r="J9" s="28">
        <v>0</v>
      </c>
      <c r="K9" s="28">
        <v>498274613</v>
      </c>
      <c r="M9" s="28">
        <v>132424</v>
      </c>
    </row>
    <row r="10" spans="2:13" x14ac:dyDescent="0.35">
      <c r="B10" s="21">
        <v>3</v>
      </c>
      <c r="C10" s="29" t="s">
        <v>70</v>
      </c>
      <c r="E10" s="23">
        <v>498407037</v>
      </c>
      <c r="F10" s="23">
        <v>0</v>
      </c>
      <c r="G10" s="23">
        <v>498407037</v>
      </c>
      <c r="I10" s="23">
        <v>498274613</v>
      </c>
      <c r="J10" s="23">
        <v>0</v>
      </c>
      <c r="K10" s="23">
        <v>498274613</v>
      </c>
      <c r="M10" s="23">
        <v>132424</v>
      </c>
    </row>
    <row r="11" spans="2:13" x14ac:dyDescent="0.35">
      <c r="B11" s="6">
        <v>4</v>
      </c>
      <c r="C11" s="30" t="s">
        <v>71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1469893096</v>
      </c>
      <c r="F36" s="28">
        <v>0</v>
      </c>
      <c r="G36" s="28">
        <v>1469893096</v>
      </c>
      <c r="I36" s="28">
        <v>1901348600</v>
      </c>
      <c r="J36" s="28">
        <v>0</v>
      </c>
      <c r="K36" s="28">
        <v>1901348600</v>
      </c>
      <c r="M36" s="28">
        <v>-431455504</v>
      </c>
    </row>
    <row r="37" spans="2:13" x14ac:dyDescent="0.35">
      <c r="B37" s="31">
        <v>27</v>
      </c>
      <c r="C37" s="29" t="s">
        <v>95</v>
      </c>
      <c r="E37" s="23">
        <v>78087118</v>
      </c>
      <c r="F37" s="23">
        <v>0</v>
      </c>
      <c r="G37" s="23">
        <v>78087118</v>
      </c>
      <c r="I37" s="23">
        <v>433472918</v>
      </c>
      <c r="J37" s="23">
        <v>0</v>
      </c>
      <c r="K37" s="23">
        <v>433472918</v>
      </c>
      <c r="M37" s="23">
        <v>-355385800</v>
      </c>
    </row>
    <row r="38" spans="2:13" x14ac:dyDescent="0.35">
      <c r="B38" s="32">
        <v>28</v>
      </c>
      <c r="C38" s="30" t="s">
        <v>96</v>
      </c>
      <c r="E38" s="25">
        <v>211477742</v>
      </c>
      <c r="F38" s="25">
        <v>0</v>
      </c>
      <c r="G38" s="25">
        <v>211477742</v>
      </c>
      <c r="I38" s="25">
        <v>227102076</v>
      </c>
      <c r="J38" s="25">
        <v>0</v>
      </c>
      <c r="K38" s="25">
        <v>227102076</v>
      </c>
      <c r="M38" s="25">
        <v>-15624334</v>
      </c>
    </row>
    <row r="39" spans="2:13" x14ac:dyDescent="0.35">
      <c r="B39" s="31">
        <v>29</v>
      </c>
      <c r="C39" s="29" t="s">
        <v>97</v>
      </c>
      <c r="E39" s="23">
        <v>0</v>
      </c>
      <c r="F39" s="23">
        <v>0</v>
      </c>
      <c r="G39" s="23">
        <v>0</v>
      </c>
      <c r="I39" s="23">
        <v>0</v>
      </c>
      <c r="J39" s="23">
        <v>0</v>
      </c>
      <c r="K39" s="23">
        <v>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776844156</v>
      </c>
      <c r="F40" s="25">
        <v>0</v>
      </c>
      <c r="G40" s="25">
        <v>776844156</v>
      </c>
      <c r="I40" s="25">
        <v>776844156</v>
      </c>
      <c r="J40" s="25">
        <v>0</v>
      </c>
      <c r="K40" s="25">
        <v>776844156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0</v>
      </c>
      <c r="F42" s="25">
        <v>0</v>
      </c>
      <c r="G42" s="25">
        <v>0</v>
      </c>
      <c r="I42" s="25">
        <v>47501946</v>
      </c>
      <c r="J42" s="25">
        <v>0</v>
      </c>
      <c r="K42" s="25">
        <v>47501946</v>
      </c>
      <c r="M42" s="25">
        <v>-47501946</v>
      </c>
    </row>
    <row r="43" spans="2:13" x14ac:dyDescent="0.35">
      <c r="B43" s="31">
        <v>33</v>
      </c>
      <c r="C43" s="29" t="s">
        <v>101</v>
      </c>
      <c r="E43" s="23">
        <v>403484080</v>
      </c>
      <c r="F43" s="23">
        <v>0</v>
      </c>
      <c r="G43" s="23">
        <v>403484080</v>
      </c>
      <c r="I43" s="23">
        <v>371531312</v>
      </c>
      <c r="J43" s="23">
        <v>0</v>
      </c>
      <c r="K43" s="23">
        <v>371531312</v>
      </c>
      <c r="M43" s="23">
        <v>31952768</v>
      </c>
    </row>
    <row r="44" spans="2:13" x14ac:dyDescent="0.35">
      <c r="B44" s="32">
        <v>34</v>
      </c>
      <c r="C44" s="30" t="s">
        <v>102</v>
      </c>
      <c r="E44" s="25">
        <v>0</v>
      </c>
      <c r="F44" s="25">
        <v>0</v>
      </c>
      <c r="G44" s="25">
        <v>0</v>
      </c>
      <c r="I44" s="25">
        <v>10773236</v>
      </c>
      <c r="J44" s="25">
        <v>0</v>
      </c>
      <c r="K44" s="25">
        <v>10773236</v>
      </c>
      <c r="M44" s="25">
        <v>-10773236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21297285</v>
      </c>
      <c r="J45" s="23">
        <v>0</v>
      </c>
      <c r="K45" s="23">
        <v>21297285</v>
      </c>
      <c r="M45" s="23">
        <v>-21297285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0</v>
      </c>
      <c r="F49" s="23">
        <v>0</v>
      </c>
      <c r="G49" s="23">
        <v>0</v>
      </c>
      <c r="I49" s="23">
        <v>12825671</v>
      </c>
      <c r="J49" s="23">
        <v>0</v>
      </c>
      <c r="K49" s="23">
        <v>12825671</v>
      </c>
      <c r="M49" s="23">
        <v>-12825671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0</v>
      </c>
      <c r="J51" s="23">
        <v>0</v>
      </c>
      <c r="K51" s="23">
        <v>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236889573</v>
      </c>
      <c r="F53" s="28">
        <v>0</v>
      </c>
      <c r="G53" s="28">
        <v>236889573</v>
      </c>
      <c r="I53" s="28">
        <v>253492619</v>
      </c>
      <c r="J53" s="28">
        <v>0</v>
      </c>
      <c r="K53" s="28">
        <v>253492619</v>
      </c>
      <c r="M53" s="28">
        <v>-16603046</v>
      </c>
    </row>
    <row r="54" spans="2:13" x14ac:dyDescent="0.35">
      <c r="B54" s="31">
        <v>43</v>
      </c>
      <c r="C54" s="29" t="s">
        <v>111</v>
      </c>
      <c r="E54" s="23">
        <v>144072387</v>
      </c>
      <c r="F54" s="23">
        <v>0</v>
      </c>
      <c r="G54" s="23">
        <v>144072387</v>
      </c>
      <c r="I54" s="23">
        <v>152564206</v>
      </c>
      <c r="J54" s="23">
        <v>0</v>
      </c>
      <c r="K54" s="23">
        <v>152564206</v>
      </c>
      <c r="M54" s="23">
        <v>-8491819</v>
      </c>
    </row>
    <row r="55" spans="2:13" x14ac:dyDescent="0.35">
      <c r="B55" s="32">
        <v>44</v>
      </c>
      <c r="C55" s="30" t="s">
        <v>112</v>
      </c>
      <c r="E55" s="25">
        <v>5810904</v>
      </c>
      <c r="F55" s="25">
        <v>0</v>
      </c>
      <c r="G55" s="25">
        <v>5810904</v>
      </c>
      <c r="I55" s="25">
        <v>6123587</v>
      </c>
      <c r="J55" s="25">
        <v>0</v>
      </c>
      <c r="K55" s="25">
        <v>6123587</v>
      </c>
      <c r="M55" s="25">
        <v>-312683</v>
      </c>
    </row>
    <row r="56" spans="2:13" x14ac:dyDescent="0.35">
      <c r="B56" s="31">
        <v>45</v>
      </c>
      <c r="C56" s="29" t="s">
        <v>113</v>
      </c>
      <c r="E56" s="23">
        <v>7646711</v>
      </c>
      <c r="F56" s="23">
        <v>0</v>
      </c>
      <c r="G56" s="23">
        <v>7646711</v>
      </c>
      <c r="I56" s="23">
        <v>7654485</v>
      </c>
      <c r="J56" s="23">
        <v>0</v>
      </c>
      <c r="K56" s="23">
        <v>7654485</v>
      </c>
      <c r="M56" s="23">
        <v>-7774</v>
      </c>
    </row>
    <row r="57" spans="2:13" x14ac:dyDescent="0.35">
      <c r="B57" s="32">
        <v>46</v>
      </c>
      <c r="C57" s="30" t="s">
        <v>114</v>
      </c>
      <c r="E57" s="25">
        <v>72783335</v>
      </c>
      <c r="F57" s="25">
        <v>0</v>
      </c>
      <c r="G57" s="25">
        <v>72783335</v>
      </c>
      <c r="I57" s="25">
        <v>74475979</v>
      </c>
      <c r="J57" s="25">
        <v>0</v>
      </c>
      <c r="K57" s="25">
        <v>74475979</v>
      </c>
      <c r="M57" s="25">
        <v>-1692644</v>
      </c>
    </row>
    <row r="58" spans="2:13" x14ac:dyDescent="0.35">
      <c r="B58" s="31">
        <v>47</v>
      </c>
      <c r="C58" s="29" t="s">
        <v>115</v>
      </c>
      <c r="E58" s="23">
        <v>4304984</v>
      </c>
      <c r="F58" s="23">
        <v>0</v>
      </c>
      <c r="G58" s="23">
        <v>4304984</v>
      </c>
      <c r="I58" s="23">
        <v>3827234</v>
      </c>
      <c r="J58" s="23">
        <v>0</v>
      </c>
      <c r="K58" s="23">
        <v>3827234</v>
      </c>
      <c r="M58" s="23">
        <v>477750</v>
      </c>
    </row>
    <row r="59" spans="2:13" x14ac:dyDescent="0.35">
      <c r="B59" s="32">
        <v>48</v>
      </c>
      <c r="C59" s="30" t="s">
        <v>116</v>
      </c>
      <c r="E59" s="25">
        <v>2271252</v>
      </c>
      <c r="F59" s="25">
        <v>0</v>
      </c>
      <c r="G59" s="25">
        <v>2271252</v>
      </c>
      <c r="I59" s="25">
        <v>2918378</v>
      </c>
      <c r="J59" s="25">
        <v>0</v>
      </c>
      <c r="K59" s="25">
        <v>2918378</v>
      </c>
      <c r="M59" s="25">
        <v>-647126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5928750</v>
      </c>
      <c r="J60" s="23">
        <v>0</v>
      </c>
      <c r="K60" s="23">
        <v>5928750</v>
      </c>
      <c r="M60" s="23">
        <v>-5928750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2637950</v>
      </c>
      <c r="F62" s="28">
        <v>0</v>
      </c>
      <c r="G62" s="28">
        <v>2637950</v>
      </c>
      <c r="I62" s="28">
        <v>6155000</v>
      </c>
      <c r="J62" s="28">
        <v>0</v>
      </c>
      <c r="K62" s="28">
        <v>6155000</v>
      </c>
      <c r="M62" s="28">
        <v>-3517050</v>
      </c>
    </row>
    <row r="63" spans="2:13" x14ac:dyDescent="0.35">
      <c r="B63" s="31">
        <v>51</v>
      </c>
      <c r="C63" s="29" t="s">
        <v>120</v>
      </c>
      <c r="E63" s="23">
        <v>2637950</v>
      </c>
      <c r="F63" s="23">
        <v>0</v>
      </c>
      <c r="G63" s="23">
        <v>2637950</v>
      </c>
      <c r="I63" s="23">
        <v>6155000</v>
      </c>
      <c r="J63" s="23">
        <v>0</v>
      </c>
      <c r="K63" s="23">
        <v>6155000</v>
      </c>
      <c r="M63" s="23">
        <v>-3517050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27000000</v>
      </c>
      <c r="J66" s="28">
        <v>0</v>
      </c>
      <c r="K66" s="28">
        <v>27000000</v>
      </c>
      <c r="M66" s="28">
        <v>-27000000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27000000</v>
      </c>
      <c r="J68" s="25">
        <v>0</v>
      </c>
      <c r="K68" s="25">
        <v>27000000</v>
      </c>
      <c r="M68" s="25">
        <v>-27000000</v>
      </c>
    </row>
    <row r="69" spans="2:13" x14ac:dyDescent="0.35">
      <c r="B69" s="26"/>
      <c r="C69" s="27" t="s">
        <v>125</v>
      </c>
      <c r="E69" s="28">
        <v>40635872</v>
      </c>
      <c r="F69" s="28">
        <v>0</v>
      </c>
      <c r="G69" s="28">
        <v>40635872</v>
      </c>
      <c r="I69" s="28">
        <v>48897634</v>
      </c>
      <c r="J69" s="28">
        <v>0</v>
      </c>
      <c r="K69" s="28">
        <v>48897634</v>
      </c>
      <c r="M69" s="28">
        <v>-8261762</v>
      </c>
    </row>
    <row r="70" spans="2:13" x14ac:dyDescent="0.35">
      <c r="B70" s="31">
        <v>56</v>
      </c>
      <c r="C70" s="29" t="s">
        <v>126</v>
      </c>
      <c r="E70" s="23">
        <v>40635872</v>
      </c>
      <c r="F70" s="23">
        <v>0</v>
      </c>
      <c r="G70" s="23">
        <v>40635872</v>
      </c>
      <c r="I70" s="23">
        <v>48897634</v>
      </c>
      <c r="J70" s="23">
        <v>0</v>
      </c>
      <c r="K70" s="23">
        <v>48897634</v>
      </c>
      <c r="M70" s="23">
        <v>-8261762</v>
      </c>
    </row>
    <row r="71" spans="2:13" x14ac:dyDescent="0.35">
      <c r="B71" s="26"/>
      <c r="C71" s="27" t="s">
        <v>127</v>
      </c>
      <c r="E71" s="28">
        <v>125398916</v>
      </c>
      <c r="F71" s="28">
        <v>0</v>
      </c>
      <c r="G71" s="28">
        <v>125398916</v>
      </c>
      <c r="I71" s="28">
        <v>129362296</v>
      </c>
      <c r="J71" s="28">
        <v>0</v>
      </c>
      <c r="K71" s="28">
        <v>129362296</v>
      </c>
      <c r="M71" s="28">
        <v>-3963380</v>
      </c>
    </row>
    <row r="72" spans="2:13" x14ac:dyDescent="0.35">
      <c r="B72" s="32">
        <v>57</v>
      </c>
      <c r="C72" s="30" t="s">
        <v>128</v>
      </c>
      <c r="E72" s="25">
        <v>125398916</v>
      </c>
      <c r="F72" s="25">
        <v>0</v>
      </c>
      <c r="G72" s="25">
        <v>125398916</v>
      </c>
      <c r="I72" s="25">
        <v>129362296</v>
      </c>
      <c r="J72" s="25">
        <v>0</v>
      </c>
      <c r="K72" s="25">
        <v>129362296</v>
      </c>
      <c r="M72" s="25">
        <v>-3963380</v>
      </c>
    </row>
    <row r="73" spans="2:13" x14ac:dyDescent="0.35">
      <c r="B73" s="26"/>
      <c r="C73" s="27" t="s">
        <v>129</v>
      </c>
      <c r="E73" s="28">
        <v>0</v>
      </c>
      <c r="F73" s="28">
        <v>0</v>
      </c>
      <c r="G73" s="28">
        <v>0</v>
      </c>
      <c r="H73" s="33">
        <v>808920</v>
      </c>
      <c r="I73" s="28">
        <v>0</v>
      </c>
      <c r="J73" s="28">
        <v>0</v>
      </c>
      <c r="K73" s="28">
        <v>0</v>
      </c>
      <c r="M73" s="28">
        <v>0</v>
      </c>
    </row>
    <row r="74" spans="2:13" x14ac:dyDescent="0.35">
      <c r="B74" s="31">
        <v>58</v>
      </c>
      <c r="C74" s="29" t="s">
        <v>130</v>
      </c>
      <c r="E74" s="23">
        <v>0</v>
      </c>
      <c r="F74" s="23">
        <v>0</v>
      </c>
      <c r="G74" s="23">
        <v>0</v>
      </c>
      <c r="I74" s="23">
        <v>0</v>
      </c>
      <c r="J74" s="23">
        <v>0</v>
      </c>
      <c r="K74" s="23">
        <v>0</v>
      </c>
      <c r="M74" s="23">
        <v>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2CC12831-5B61-47C3-A03F-9D5254C948FB}">
      <formula1>Taxes</formula1>
    </dataValidation>
    <dataValidation type="list" allowBlank="1" showInputMessage="1" showErrorMessage="1" sqref="C75:C603" xr:uid="{BF66E919-DE0F-43E2-B616-95B25A7B83A4}">
      <formula1>Compadjust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CDE4-9EE5-417B-A334-7A757DD68ADB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21" x14ac:dyDescent="0.35">
      <c r="C1" s="7" t="s">
        <v>53</v>
      </c>
      <c r="E1" s="9" t="s">
        <v>36</v>
      </c>
      <c r="F1" s="9" t="s">
        <v>148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4009775938</v>
      </c>
      <c r="F8" s="20">
        <v>603433936</v>
      </c>
      <c r="G8" s="20">
        <v>4613209874</v>
      </c>
      <c r="I8" s="20">
        <v>4498133191</v>
      </c>
      <c r="J8" s="20">
        <v>154070809</v>
      </c>
      <c r="K8" s="20">
        <v>4652204000</v>
      </c>
      <c r="M8" s="20">
        <v>-38994126</v>
      </c>
    </row>
    <row r="9" spans="2:13" x14ac:dyDescent="0.35">
      <c r="B9" s="26"/>
      <c r="C9" s="27" t="s">
        <v>69</v>
      </c>
      <c r="E9" s="28">
        <v>523913090</v>
      </c>
      <c r="F9" s="28">
        <v>0</v>
      </c>
      <c r="G9" s="28">
        <v>523913090</v>
      </c>
      <c r="I9" s="28">
        <v>406910378</v>
      </c>
      <c r="J9" s="28">
        <v>154070809</v>
      </c>
      <c r="K9" s="28">
        <v>560981187</v>
      </c>
      <c r="M9" s="28">
        <v>-37068097</v>
      </c>
    </row>
    <row r="10" spans="2:13" x14ac:dyDescent="0.35">
      <c r="B10" s="21">
        <v>3</v>
      </c>
      <c r="C10" s="29" t="s">
        <v>70</v>
      </c>
      <c r="E10" s="23">
        <v>523913090</v>
      </c>
      <c r="F10" s="23">
        <v>0</v>
      </c>
      <c r="G10" s="23">
        <v>523913090</v>
      </c>
      <c r="I10" s="23">
        <v>406910378</v>
      </c>
      <c r="J10" s="23">
        <v>154070809</v>
      </c>
      <c r="K10" s="23">
        <v>560981187</v>
      </c>
      <c r="M10" s="23">
        <v>-37068097</v>
      </c>
    </row>
    <row r="11" spans="2:13" x14ac:dyDescent="0.35">
      <c r="B11" s="6">
        <v>4</v>
      </c>
      <c r="C11" s="30" t="s">
        <v>71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141830360</v>
      </c>
      <c r="F25" s="28">
        <v>0</v>
      </c>
      <c r="G25" s="28">
        <v>141830360</v>
      </c>
      <c r="I25" s="28">
        <v>141830360</v>
      </c>
      <c r="J25" s="28">
        <v>0</v>
      </c>
      <c r="K25" s="28">
        <v>141830360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141830360</v>
      </c>
      <c r="F35" s="25">
        <v>0</v>
      </c>
      <c r="G35" s="25">
        <v>141830360</v>
      </c>
      <c r="I35" s="25">
        <v>141830360</v>
      </c>
      <c r="J35" s="25">
        <v>0</v>
      </c>
      <c r="K35" s="25">
        <v>141830360</v>
      </c>
      <c r="M35" s="25">
        <v>0</v>
      </c>
    </row>
    <row r="36" spans="2:13" x14ac:dyDescent="0.35">
      <c r="B36" s="26"/>
      <c r="C36" s="27" t="s">
        <v>94</v>
      </c>
      <c r="E36" s="28">
        <v>2984558928</v>
      </c>
      <c r="F36" s="28">
        <v>601189638</v>
      </c>
      <c r="G36" s="28">
        <v>3585748566</v>
      </c>
      <c r="I36" s="28">
        <v>3544810855</v>
      </c>
      <c r="J36" s="28">
        <v>0</v>
      </c>
      <c r="K36" s="28">
        <v>3544810855</v>
      </c>
      <c r="M36" s="28">
        <v>40937711</v>
      </c>
    </row>
    <row r="37" spans="2:13" x14ac:dyDescent="0.35">
      <c r="B37" s="31">
        <v>27</v>
      </c>
      <c r="C37" s="29" t="s">
        <v>95</v>
      </c>
      <c r="E37" s="23">
        <v>30000000</v>
      </c>
      <c r="F37" s="23">
        <v>548242555</v>
      </c>
      <c r="G37" s="23">
        <v>578242555</v>
      </c>
      <c r="I37" s="23">
        <v>536505506</v>
      </c>
      <c r="J37" s="23">
        <v>0</v>
      </c>
      <c r="K37" s="23">
        <v>536505506</v>
      </c>
      <c r="M37" s="23">
        <v>41737049</v>
      </c>
    </row>
    <row r="38" spans="2:13" x14ac:dyDescent="0.35">
      <c r="B38" s="32">
        <v>28</v>
      </c>
      <c r="C38" s="30" t="s">
        <v>96</v>
      </c>
      <c r="E38" s="25">
        <v>179939377</v>
      </c>
      <c r="F38" s="25">
        <v>3518744</v>
      </c>
      <c r="G38" s="25">
        <v>183458121</v>
      </c>
      <c r="I38" s="25">
        <v>184248409</v>
      </c>
      <c r="J38" s="25">
        <v>0</v>
      </c>
      <c r="K38" s="25">
        <v>184248409</v>
      </c>
      <c r="M38" s="25">
        <v>-790288</v>
      </c>
    </row>
    <row r="39" spans="2:13" x14ac:dyDescent="0.35">
      <c r="B39" s="31">
        <v>29</v>
      </c>
      <c r="C39" s="29" t="s">
        <v>97</v>
      </c>
      <c r="E39" s="23">
        <v>0</v>
      </c>
      <c r="F39" s="23">
        <v>0</v>
      </c>
      <c r="G39" s="23">
        <v>0</v>
      </c>
      <c r="I39" s="23">
        <v>0</v>
      </c>
      <c r="J39" s="23">
        <v>0</v>
      </c>
      <c r="K39" s="23">
        <v>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2436713560</v>
      </c>
      <c r="F40" s="25">
        <v>30232464</v>
      </c>
      <c r="G40" s="25">
        <v>2466946024</v>
      </c>
      <c r="I40" s="25">
        <v>2466946024</v>
      </c>
      <c r="J40" s="25">
        <v>0</v>
      </c>
      <c r="K40" s="25">
        <v>2466946024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131293984</v>
      </c>
      <c r="F42" s="25">
        <v>1672690</v>
      </c>
      <c r="G42" s="25">
        <v>132966674</v>
      </c>
      <c r="I42" s="25">
        <v>132966674</v>
      </c>
      <c r="J42" s="25">
        <v>0</v>
      </c>
      <c r="K42" s="25">
        <v>132966674</v>
      </c>
      <c r="M42" s="25">
        <v>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4536852</v>
      </c>
      <c r="F44" s="25">
        <v>0</v>
      </c>
      <c r="G44" s="25">
        <v>4536852</v>
      </c>
      <c r="I44" s="25">
        <v>4545902</v>
      </c>
      <c r="J44" s="25">
        <v>0</v>
      </c>
      <c r="K44" s="25">
        <v>4545902</v>
      </c>
      <c r="M44" s="25">
        <v>-9050</v>
      </c>
    </row>
    <row r="45" spans="2:13" x14ac:dyDescent="0.35">
      <c r="B45" s="31">
        <v>35</v>
      </c>
      <c r="C45" s="29" t="s">
        <v>103</v>
      </c>
      <c r="E45" s="23">
        <v>161794657</v>
      </c>
      <c r="F45" s="23">
        <v>2007228</v>
      </c>
      <c r="G45" s="23">
        <v>163801885</v>
      </c>
      <c r="I45" s="23">
        <v>163801885</v>
      </c>
      <c r="J45" s="23">
        <v>0</v>
      </c>
      <c r="K45" s="23">
        <v>163801885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40280498</v>
      </c>
      <c r="F49" s="23">
        <v>15515957</v>
      </c>
      <c r="G49" s="23">
        <v>55796455</v>
      </c>
      <c r="I49" s="23">
        <v>55796455</v>
      </c>
      <c r="J49" s="23">
        <v>0</v>
      </c>
      <c r="K49" s="23">
        <v>55796455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0</v>
      </c>
      <c r="J51" s="23">
        <v>0</v>
      </c>
      <c r="K51" s="23">
        <v>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176058194</v>
      </c>
      <c r="F53" s="28">
        <v>0</v>
      </c>
      <c r="G53" s="28">
        <v>176058194</v>
      </c>
      <c r="I53" s="28">
        <v>210643478</v>
      </c>
      <c r="J53" s="28">
        <v>0</v>
      </c>
      <c r="K53" s="28">
        <v>210643478</v>
      </c>
      <c r="M53" s="28">
        <v>-34585284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176058194</v>
      </c>
      <c r="F57" s="25">
        <v>0</v>
      </c>
      <c r="G57" s="25">
        <v>176058194</v>
      </c>
      <c r="I57" s="25">
        <v>210643478</v>
      </c>
      <c r="J57" s="25">
        <v>0</v>
      </c>
      <c r="K57" s="25">
        <v>210643478</v>
      </c>
      <c r="M57" s="25">
        <v>-34585284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0</v>
      </c>
      <c r="F62" s="28">
        <v>0</v>
      </c>
      <c r="G62" s="28">
        <v>0</v>
      </c>
      <c r="I62" s="28">
        <v>0</v>
      </c>
      <c r="J62" s="28">
        <v>0</v>
      </c>
      <c r="K62" s="28">
        <v>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12000000</v>
      </c>
      <c r="J66" s="28">
        <v>0</v>
      </c>
      <c r="K66" s="28">
        <v>12000000</v>
      </c>
      <c r="M66" s="28">
        <v>-12000000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12000000</v>
      </c>
      <c r="J68" s="25">
        <v>0</v>
      </c>
      <c r="K68" s="25">
        <v>12000000</v>
      </c>
      <c r="M68" s="25">
        <v>-12000000</v>
      </c>
    </row>
    <row r="69" spans="2:13" x14ac:dyDescent="0.35">
      <c r="B69" s="26"/>
      <c r="C69" s="27" t="s">
        <v>125</v>
      </c>
      <c r="E69" s="28">
        <v>35479520</v>
      </c>
      <c r="F69" s="28">
        <v>2244298</v>
      </c>
      <c r="G69" s="28">
        <v>37723818</v>
      </c>
      <c r="I69" s="28">
        <v>37723818</v>
      </c>
      <c r="J69" s="28">
        <v>0</v>
      </c>
      <c r="K69" s="28">
        <v>37723818</v>
      </c>
      <c r="M69" s="28">
        <v>0</v>
      </c>
    </row>
    <row r="70" spans="2:13" x14ac:dyDescent="0.35">
      <c r="B70" s="31">
        <v>56</v>
      </c>
      <c r="C70" s="29" t="s">
        <v>126</v>
      </c>
      <c r="E70" s="23">
        <v>35479520</v>
      </c>
      <c r="F70" s="23">
        <v>2244298</v>
      </c>
      <c r="G70" s="23">
        <v>37723818</v>
      </c>
      <c r="I70" s="23">
        <v>37723818</v>
      </c>
      <c r="J70" s="23">
        <v>0</v>
      </c>
      <c r="K70" s="23">
        <v>37723818</v>
      </c>
      <c r="M70" s="23">
        <v>0</v>
      </c>
    </row>
    <row r="71" spans="2:13" x14ac:dyDescent="0.35">
      <c r="B71" s="26"/>
      <c r="C71" s="27" t="s">
        <v>127</v>
      </c>
      <c r="E71" s="28">
        <v>146998346</v>
      </c>
      <c r="F71" s="28">
        <v>0</v>
      </c>
      <c r="G71" s="28">
        <v>146998346</v>
      </c>
      <c r="I71" s="28">
        <v>144214302</v>
      </c>
      <c r="J71" s="28">
        <v>0</v>
      </c>
      <c r="K71" s="28">
        <v>144214302</v>
      </c>
      <c r="M71" s="28">
        <v>2784044</v>
      </c>
    </row>
    <row r="72" spans="2:13" x14ac:dyDescent="0.35">
      <c r="B72" s="32">
        <v>57</v>
      </c>
      <c r="C72" s="30" t="s">
        <v>128</v>
      </c>
      <c r="E72" s="25">
        <v>146998346</v>
      </c>
      <c r="F72" s="25">
        <v>0</v>
      </c>
      <c r="G72" s="25">
        <v>146998346</v>
      </c>
      <c r="I72" s="25">
        <v>144214302</v>
      </c>
      <c r="J72" s="25">
        <v>0</v>
      </c>
      <c r="K72" s="25">
        <v>144214302</v>
      </c>
      <c r="M72" s="25">
        <v>2784044</v>
      </c>
    </row>
    <row r="73" spans="2:13" x14ac:dyDescent="0.35">
      <c r="B73" s="26"/>
      <c r="C73" s="27" t="s">
        <v>129</v>
      </c>
      <c r="E73" s="28">
        <v>937500</v>
      </c>
      <c r="F73" s="28">
        <v>0</v>
      </c>
      <c r="G73" s="28">
        <v>937500</v>
      </c>
      <c r="H73" s="33">
        <v>808920</v>
      </c>
      <c r="I73" s="28">
        <v>0</v>
      </c>
      <c r="J73" s="28">
        <v>0</v>
      </c>
      <c r="K73" s="28">
        <v>0</v>
      </c>
      <c r="M73" s="28">
        <v>937500</v>
      </c>
    </row>
    <row r="74" spans="2:13" x14ac:dyDescent="0.35">
      <c r="B74" s="31">
        <v>58</v>
      </c>
      <c r="C74" s="29" t="s">
        <v>130</v>
      </c>
      <c r="E74" s="23">
        <v>937500</v>
      </c>
      <c r="F74" s="23">
        <v>0</v>
      </c>
      <c r="G74" s="23">
        <v>937500</v>
      </c>
      <c r="I74" s="23">
        <v>0</v>
      </c>
      <c r="J74" s="23">
        <v>0</v>
      </c>
      <c r="K74" s="23">
        <v>0</v>
      </c>
      <c r="M74" s="23">
        <v>937500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04160A66-CFF8-4302-ABBC-FD86ED598E50}">
      <formula1>Taxes</formula1>
    </dataValidation>
    <dataValidation type="list" allowBlank="1" showInputMessage="1" showErrorMessage="1" sqref="C75:C603" xr:uid="{A8B40E3A-595B-41E5-983B-3AF440C10E49}">
      <formula1>Compadjust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E422-AB33-496A-B23C-99418E70F57A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21" x14ac:dyDescent="0.35">
      <c r="C1" s="7" t="s">
        <v>53</v>
      </c>
      <c r="E1" s="9" t="s">
        <v>38</v>
      </c>
      <c r="F1" s="9" t="s">
        <v>149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520708489</v>
      </c>
      <c r="F8" s="20">
        <v>0</v>
      </c>
      <c r="G8" s="20">
        <v>520708489</v>
      </c>
      <c r="I8" s="20">
        <v>539549946</v>
      </c>
      <c r="J8" s="20">
        <v>0</v>
      </c>
      <c r="K8" s="20">
        <v>539549946</v>
      </c>
      <c r="M8" s="20">
        <v>-18841457</v>
      </c>
    </row>
    <row r="9" spans="2:13" x14ac:dyDescent="0.35">
      <c r="B9" s="26"/>
      <c r="C9" s="27" t="s">
        <v>69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5">
      <c r="B10" s="21">
        <v>3</v>
      </c>
      <c r="C10" s="29" t="s">
        <v>70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454565365</v>
      </c>
      <c r="F36" s="28">
        <v>0</v>
      </c>
      <c r="G36" s="28">
        <v>454565365</v>
      </c>
      <c r="I36" s="28">
        <v>454565365</v>
      </c>
      <c r="J36" s="28">
        <v>0</v>
      </c>
      <c r="K36" s="28">
        <v>454565365</v>
      </c>
      <c r="M36" s="28">
        <v>0</v>
      </c>
    </row>
    <row r="37" spans="2:13" x14ac:dyDescent="0.35">
      <c r="B37" s="31">
        <v>27</v>
      </c>
      <c r="C37" s="29" t="s">
        <v>95</v>
      </c>
      <c r="E37" s="23">
        <v>91186363</v>
      </c>
      <c r="F37" s="23">
        <v>0</v>
      </c>
      <c r="G37" s="23">
        <v>91186363</v>
      </c>
      <c r="I37" s="23">
        <v>91186363</v>
      </c>
      <c r="J37" s="23">
        <v>0</v>
      </c>
      <c r="K37" s="23">
        <v>91186363</v>
      </c>
      <c r="M37" s="23">
        <v>0</v>
      </c>
    </row>
    <row r="38" spans="2:13" x14ac:dyDescent="0.35">
      <c r="B38" s="32">
        <v>28</v>
      </c>
      <c r="C38" s="30" t="s">
        <v>96</v>
      </c>
      <c r="E38" s="25">
        <v>332292850</v>
      </c>
      <c r="F38" s="25">
        <v>0</v>
      </c>
      <c r="G38" s="25">
        <v>332292850</v>
      </c>
      <c r="I38" s="25">
        <v>332292850</v>
      </c>
      <c r="J38" s="25">
        <v>0</v>
      </c>
      <c r="K38" s="25">
        <v>332292850</v>
      </c>
      <c r="M38" s="25">
        <v>0</v>
      </c>
    </row>
    <row r="39" spans="2:13" x14ac:dyDescent="0.35">
      <c r="B39" s="31">
        <v>29</v>
      </c>
      <c r="C39" s="29" t="s">
        <v>97</v>
      </c>
      <c r="E39" s="23">
        <v>0</v>
      </c>
      <c r="F39" s="23">
        <v>0</v>
      </c>
      <c r="G39" s="23">
        <v>0</v>
      </c>
      <c r="I39" s="23">
        <v>0</v>
      </c>
      <c r="J39" s="23">
        <v>0</v>
      </c>
      <c r="K39" s="23">
        <v>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5000000</v>
      </c>
      <c r="F40" s="25">
        <v>0</v>
      </c>
      <c r="G40" s="25">
        <v>5000000</v>
      </c>
      <c r="I40" s="25">
        <v>5000000</v>
      </c>
      <c r="J40" s="25">
        <v>0</v>
      </c>
      <c r="K40" s="25">
        <v>5000000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6281838</v>
      </c>
      <c r="F42" s="25">
        <v>0</v>
      </c>
      <c r="G42" s="25">
        <v>6281838</v>
      </c>
      <c r="I42" s="25">
        <v>6281838</v>
      </c>
      <c r="J42" s="25">
        <v>0</v>
      </c>
      <c r="K42" s="25">
        <v>6281838</v>
      </c>
      <c r="M42" s="25">
        <v>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1414674</v>
      </c>
      <c r="F44" s="25">
        <v>0</v>
      </c>
      <c r="G44" s="25">
        <v>1414674</v>
      </c>
      <c r="I44" s="25">
        <v>1414674</v>
      </c>
      <c r="J44" s="25">
        <v>0</v>
      </c>
      <c r="K44" s="25">
        <v>1414674</v>
      </c>
      <c r="M44" s="25">
        <v>0</v>
      </c>
    </row>
    <row r="45" spans="2:13" x14ac:dyDescent="0.35">
      <c r="B45" s="31">
        <v>35</v>
      </c>
      <c r="C45" s="29" t="s">
        <v>103</v>
      </c>
      <c r="E45" s="23">
        <v>14503917</v>
      </c>
      <c r="F45" s="23">
        <v>0</v>
      </c>
      <c r="G45" s="23">
        <v>14503917</v>
      </c>
      <c r="I45" s="23">
        <v>14503917</v>
      </c>
      <c r="J45" s="23">
        <v>0</v>
      </c>
      <c r="K45" s="23">
        <v>14503917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3885723</v>
      </c>
      <c r="F49" s="23">
        <v>0</v>
      </c>
      <c r="G49" s="23">
        <v>3885723</v>
      </c>
      <c r="I49" s="23">
        <v>3885723</v>
      </c>
      <c r="J49" s="23">
        <v>0</v>
      </c>
      <c r="K49" s="23">
        <v>3885723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0</v>
      </c>
      <c r="J51" s="23">
        <v>0</v>
      </c>
      <c r="K51" s="23">
        <v>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0</v>
      </c>
      <c r="F53" s="28">
        <v>0</v>
      </c>
      <c r="G53" s="28">
        <v>0</v>
      </c>
      <c r="I53" s="28">
        <v>18841457</v>
      </c>
      <c r="J53" s="28">
        <v>0</v>
      </c>
      <c r="K53" s="28">
        <v>18841457</v>
      </c>
      <c r="M53" s="28">
        <v>-18841457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0</v>
      </c>
      <c r="F57" s="25">
        <v>0</v>
      </c>
      <c r="G57" s="25">
        <v>0</v>
      </c>
      <c r="I57" s="25">
        <v>18841457</v>
      </c>
      <c r="J57" s="25">
        <v>0</v>
      </c>
      <c r="K57" s="25">
        <v>18841457</v>
      </c>
      <c r="M57" s="25">
        <v>-18841457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0</v>
      </c>
      <c r="F62" s="28">
        <v>0</v>
      </c>
      <c r="G62" s="28">
        <v>0</v>
      </c>
      <c r="I62" s="28">
        <v>0</v>
      </c>
      <c r="J62" s="28">
        <v>0</v>
      </c>
      <c r="K62" s="28">
        <v>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0</v>
      </c>
      <c r="J66" s="28">
        <v>0</v>
      </c>
      <c r="K66" s="28">
        <v>0</v>
      </c>
      <c r="M66" s="28">
        <v>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0</v>
      </c>
      <c r="J68" s="25">
        <v>0</v>
      </c>
      <c r="K68" s="25">
        <v>0</v>
      </c>
      <c r="M68" s="25">
        <v>0</v>
      </c>
    </row>
    <row r="69" spans="2:13" x14ac:dyDescent="0.35">
      <c r="B69" s="26"/>
      <c r="C69" s="27" t="s">
        <v>125</v>
      </c>
      <c r="E69" s="28">
        <v>5481000</v>
      </c>
      <c r="F69" s="28">
        <v>0</v>
      </c>
      <c r="G69" s="28">
        <v>5481000</v>
      </c>
      <c r="I69" s="28">
        <v>5481000</v>
      </c>
      <c r="J69" s="28">
        <v>0</v>
      </c>
      <c r="K69" s="28">
        <v>5481000</v>
      </c>
      <c r="M69" s="28">
        <v>0</v>
      </c>
    </row>
    <row r="70" spans="2:13" x14ac:dyDescent="0.35">
      <c r="B70" s="31">
        <v>56</v>
      </c>
      <c r="C70" s="29" t="s">
        <v>126</v>
      </c>
      <c r="E70" s="23">
        <v>5481000</v>
      </c>
      <c r="F70" s="23">
        <v>0</v>
      </c>
      <c r="G70" s="23">
        <v>5481000</v>
      </c>
      <c r="I70" s="23">
        <v>5481000</v>
      </c>
      <c r="J70" s="23">
        <v>0</v>
      </c>
      <c r="K70" s="23">
        <v>5481000</v>
      </c>
      <c r="M70" s="23">
        <v>0</v>
      </c>
    </row>
    <row r="71" spans="2:13" x14ac:dyDescent="0.35">
      <c r="B71" s="26"/>
      <c r="C71" s="27" t="s">
        <v>127</v>
      </c>
      <c r="E71" s="28">
        <v>60662124</v>
      </c>
      <c r="F71" s="28">
        <v>0</v>
      </c>
      <c r="G71" s="28">
        <v>60662124</v>
      </c>
      <c r="I71" s="28">
        <v>60662124</v>
      </c>
      <c r="J71" s="28">
        <v>0</v>
      </c>
      <c r="K71" s="28">
        <v>60662124</v>
      </c>
      <c r="M71" s="28">
        <v>0</v>
      </c>
    </row>
    <row r="72" spans="2:13" x14ac:dyDescent="0.35">
      <c r="B72" s="32">
        <v>57</v>
      </c>
      <c r="C72" s="30" t="s">
        <v>128</v>
      </c>
      <c r="E72" s="25">
        <v>60662124</v>
      </c>
      <c r="F72" s="25">
        <v>0</v>
      </c>
      <c r="G72" s="25">
        <v>60662124</v>
      </c>
      <c r="I72" s="25">
        <v>60662124</v>
      </c>
      <c r="J72" s="25">
        <v>0</v>
      </c>
      <c r="K72" s="25">
        <v>60662124</v>
      </c>
      <c r="M72" s="25">
        <v>0</v>
      </c>
    </row>
    <row r="73" spans="2:13" x14ac:dyDescent="0.35">
      <c r="B73" s="26"/>
      <c r="C73" s="27" t="s">
        <v>129</v>
      </c>
      <c r="E73" s="28">
        <v>0</v>
      </c>
      <c r="F73" s="28">
        <v>0</v>
      </c>
      <c r="G73" s="28">
        <v>0</v>
      </c>
      <c r="H73" s="33">
        <v>808920</v>
      </c>
      <c r="I73" s="28">
        <v>0</v>
      </c>
      <c r="J73" s="28">
        <v>0</v>
      </c>
      <c r="K73" s="28">
        <v>0</v>
      </c>
      <c r="M73" s="28">
        <v>0</v>
      </c>
    </row>
    <row r="74" spans="2:13" x14ac:dyDescent="0.35">
      <c r="B74" s="31">
        <v>58</v>
      </c>
      <c r="C74" s="29" t="s">
        <v>130</v>
      </c>
      <c r="E74" s="23">
        <v>0</v>
      </c>
      <c r="F74" s="23">
        <v>0</v>
      </c>
      <c r="G74" s="23">
        <v>0</v>
      </c>
      <c r="I74" s="23">
        <v>0</v>
      </c>
      <c r="J74" s="23">
        <v>0</v>
      </c>
      <c r="K74" s="23">
        <v>0</v>
      </c>
      <c r="M74" s="23">
        <v>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70D229E9-9238-45F9-BCC7-654AD426F1FB}">
      <formula1>Taxes</formula1>
    </dataValidation>
    <dataValidation type="list" allowBlank="1" showInputMessage="1" showErrorMessage="1" sqref="C75:C603" xr:uid="{6BC66DD6-6A4D-4851-86FC-E59DB24B87EC}">
      <formula1>Compadjust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9751C-BD7B-484F-B8E9-A050FC501356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21" x14ac:dyDescent="0.35">
      <c r="C1" s="7" t="s">
        <v>53</v>
      </c>
      <c r="E1" s="9" t="s">
        <v>40</v>
      </c>
      <c r="F1" s="9" t="s">
        <v>150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845846607</v>
      </c>
      <c r="F8" s="20">
        <v>0</v>
      </c>
      <c r="G8" s="20">
        <v>845846607</v>
      </c>
      <c r="I8" s="20">
        <v>561688263</v>
      </c>
      <c r="J8" s="20">
        <v>206549000</v>
      </c>
      <c r="K8" s="20">
        <v>768237263</v>
      </c>
      <c r="M8" s="20">
        <v>77609344</v>
      </c>
    </row>
    <row r="9" spans="2:13" x14ac:dyDescent="0.35">
      <c r="B9" s="26"/>
      <c r="C9" s="27" t="s">
        <v>69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5">
      <c r="B10" s="21">
        <v>3</v>
      </c>
      <c r="C10" s="29" t="s">
        <v>70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75</v>
      </c>
      <c r="E15" s="28">
        <v>371894738</v>
      </c>
      <c r="F15" s="28">
        <v>-200000000</v>
      </c>
      <c r="G15" s="28">
        <v>171894738</v>
      </c>
      <c r="I15" s="28">
        <v>165345738</v>
      </c>
      <c r="J15" s="28">
        <v>6549000</v>
      </c>
      <c r="K15" s="28">
        <v>171894738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200000000</v>
      </c>
      <c r="F16" s="23">
        <v>-200000000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171894738</v>
      </c>
      <c r="F20" s="23">
        <v>0</v>
      </c>
      <c r="G20" s="23">
        <v>171894738</v>
      </c>
      <c r="I20" s="23">
        <v>165345738</v>
      </c>
      <c r="J20" s="23">
        <v>6549000</v>
      </c>
      <c r="K20" s="23">
        <v>171894738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268665637</v>
      </c>
      <c r="F25" s="28">
        <v>0</v>
      </c>
      <c r="G25" s="28">
        <v>268665637</v>
      </c>
      <c r="I25" s="28">
        <v>243960735</v>
      </c>
      <c r="J25" s="28">
        <v>0</v>
      </c>
      <c r="K25" s="28">
        <v>243960735</v>
      </c>
      <c r="M25" s="28">
        <v>24704902</v>
      </c>
    </row>
    <row r="26" spans="2:13" x14ac:dyDescent="0.35">
      <c r="B26" s="31">
        <v>17</v>
      </c>
      <c r="C26" s="29" t="s">
        <v>79</v>
      </c>
      <c r="E26" s="23">
        <v>268665637</v>
      </c>
      <c r="F26" s="23">
        <v>0</v>
      </c>
      <c r="G26" s="23">
        <v>268665637</v>
      </c>
      <c r="I26" s="23">
        <v>243960735</v>
      </c>
      <c r="J26" s="23">
        <v>0</v>
      </c>
      <c r="K26" s="23">
        <v>243960735</v>
      </c>
      <c r="M26" s="23">
        <v>24704902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102334399</v>
      </c>
      <c r="F36" s="28">
        <v>0</v>
      </c>
      <c r="G36" s="28">
        <v>102334399</v>
      </c>
      <c r="I36" s="28">
        <v>92711398</v>
      </c>
      <c r="J36" s="28">
        <v>0</v>
      </c>
      <c r="K36" s="28">
        <v>92711398</v>
      </c>
      <c r="M36" s="28">
        <v>9623001</v>
      </c>
    </row>
    <row r="37" spans="2:13" x14ac:dyDescent="0.35">
      <c r="B37" s="31">
        <v>27</v>
      </c>
      <c r="C37" s="29" t="s">
        <v>95</v>
      </c>
      <c r="E37" s="23">
        <v>0</v>
      </c>
      <c r="F37" s="23">
        <v>0</v>
      </c>
      <c r="G37" s="23">
        <v>0</v>
      </c>
      <c r="I37" s="23">
        <v>0</v>
      </c>
      <c r="J37" s="23">
        <v>0</v>
      </c>
      <c r="K37" s="23">
        <v>0</v>
      </c>
      <c r="M37" s="23">
        <v>0</v>
      </c>
    </row>
    <row r="38" spans="2:13" x14ac:dyDescent="0.35">
      <c r="B38" s="32">
        <v>28</v>
      </c>
      <c r="C38" s="30" t="s">
        <v>96</v>
      </c>
      <c r="E38" s="25">
        <v>70026623</v>
      </c>
      <c r="F38" s="25">
        <v>0</v>
      </c>
      <c r="G38" s="25">
        <v>70026623</v>
      </c>
      <c r="I38" s="25">
        <v>60203622</v>
      </c>
      <c r="J38" s="25">
        <v>0</v>
      </c>
      <c r="K38" s="25">
        <v>60203622</v>
      </c>
      <c r="M38" s="25">
        <v>9823001</v>
      </c>
    </row>
    <row r="39" spans="2:13" x14ac:dyDescent="0.35">
      <c r="B39" s="31">
        <v>29</v>
      </c>
      <c r="C39" s="29" t="s">
        <v>97</v>
      </c>
      <c r="E39" s="23">
        <v>0</v>
      </c>
      <c r="F39" s="23">
        <v>0</v>
      </c>
      <c r="G39" s="23">
        <v>0</v>
      </c>
      <c r="I39" s="23">
        <v>0</v>
      </c>
      <c r="J39" s="23">
        <v>0</v>
      </c>
      <c r="K39" s="23">
        <v>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0</v>
      </c>
      <c r="F40" s="25">
        <v>0</v>
      </c>
      <c r="G40" s="25">
        <v>0</v>
      </c>
      <c r="I40" s="25">
        <v>200000</v>
      </c>
      <c r="J40" s="25">
        <v>0</v>
      </c>
      <c r="K40" s="25">
        <v>200000</v>
      </c>
      <c r="M40" s="25">
        <v>-200000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0</v>
      </c>
      <c r="F42" s="25">
        <v>0</v>
      </c>
      <c r="G42" s="25">
        <v>0</v>
      </c>
      <c r="I42" s="25">
        <v>0</v>
      </c>
      <c r="J42" s="25">
        <v>0</v>
      </c>
      <c r="K42" s="25">
        <v>0</v>
      </c>
      <c r="M42" s="25">
        <v>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/>
      <c r="F44" s="25">
        <v>0</v>
      </c>
      <c r="G44" s="25">
        <v>0</v>
      </c>
      <c r="I44" s="25">
        <v>0</v>
      </c>
      <c r="J44" s="25">
        <v>0</v>
      </c>
      <c r="K44" s="25">
        <v>0</v>
      </c>
      <c r="M44" s="25">
        <v>0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0</v>
      </c>
      <c r="J45" s="23">
        <v>0</v>
      </c>
      <c r="K45" s="23">
        <v>0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32307776</v>
      </c>
      <c r="F49" s="23">
        <v>0</v>
      </c>
      <c r="G49" s="23">
        <v>32307776</v>
      </c>
      <c r="I49" s="23">
        <v>32307776</v>
      </c>
      <c r="J49" s="23">
        <v>0</v>
      </c>
      <c r="K49" s="23">
        <v>32307776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0</v>
      </c>
      <c r="J51" s="23">
        <v>0</v>
      </c>
      <c r="K51" s="23">
        <v>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50140273</v>
      </c>
      <c r="F53" s="28">
        <v>0</v>
      </c>
      <c r="G53" s="28">
        <v>50140273</v>
      </c>
      <c r="I53" s="28">
        <v>6858832</v>
      </c>
      <c r="J53" s="28">
        <v>0</v>
      </c>
      <c r="K53" s="28">
        <v>6858832</v>
      </c>
      <c r="M53" s="28">
        <v>43281441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646080</v>
      </c>
      <c r="F57" s="25">
        <v>0</v>
      </c>
      <c r="G57" s="25">
        <v>646080</v>
      </c>
      <c r="I57" s="25">
        <v>6858832</v>
      </c>
      <c r="J57" s="25">
        <v>0</v>
      </c>
      <c r="K57" s="25">
        <v>6858832</v>
      </c>
      <c r="M57" s="25">
        <v>-6212752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49494193</v>
      </c>
      <c r="F61" s="25">
        <v>0</v>
      </c>
      <c r="G61" s="25">
        <v>49494193</v>
      </c>
      <c r="I61" s="25">
        <v>0</v>
      </c>
      <c r="J61" s="25">
        <v>0</v>
      </c>
      <c r="K61" s="25">
        <v>0</v>
      </c>
      <c r="M61" s="25">
        <v>49494193</v>
      </c>
    </row>
    <row r="62" spans="2:13" x14ac:dyDescent="0.35">
      <c r="B62" s="26"/>
      <c r="C62" s="27" t="s">
        <v>119</v>
      </c>
      <c r="E62" s="28">
        <v>0</v>
      </c>
      <c r="F62" s="28">
        <v>0</v>
      </c>
      <c r="G62" s="28">
        <v>0</v>
      </c>
      <c r="I62" s="28">
        <v>0</v>
      </c>
      <c r="J62" s="28">
        <v>0</v>
      </c>
      <c r="K62" s="28">
        <v>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0</v>
      </c>
      <c r="J66" s="28">
        <v>0</v>
      </c>
      <c r="K66" s="28">
        <v>0</v>
      </c>
      <c r="M66" s="28">
        <v>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0</v>
      </c>
      <c r="J68" s="25">
        <v>0</v>
      </c>
      <c r="K68" s="25">
        <v>0</v>
      </c>
      <c r="M68" s="25">
        <v>0</v>
      </c>
    </row>
    <row r="69" spans="2:13" x14ac:dyDescent="0.35">
      <c r="B69" s="26"/>
      <c r="C69" s="27" t="s">
        <v>125</v>
      </c>
      <c r="E69" s="28">
        <v>11811560</v>
      </c>
      <c r="F69" s="28">
        <v>0</v>
      </c>
      <c r="G69" s="28">
        <v>11811560</v>
      </c>
      <c r="I69" s="28">
        <v>11811560</v>
      </c>
      <c r="J69" s="28">
        <v>0</v>
      </c>
      <c r="K69" s="28">
        <v>11811560</v>
      </c>
      <c r="M69" s="28">
        <v>0</v>
      </c>
    </row>
    <row r="70" spans="2:13" x14ac:dyDescent="0.35">
      <c r="B70" s="31">
        <v>56</v>
      </c>
      <c r="C70" s="29" t="s">
        <v>126</v>
      </c>
      <c r="E70" s="23">
        <v>11811560</v>
      </c>
      <c r="F70" s="23">
        <v>0</v>
      </c>
      <c r="G70" s="23">
        <v>11811560</v>
      </c>
      <c r="I70" s="23">
        <v>11811560</v>
      </c>
      <c r="J70" s="23">
        <v>0</v>
      </c>
      <c r="K70" s="23">
        <v>11811560</v>
      </c>
      <c r="M70" s="23">
        <v>0</v>
      </c>
    </row>
    <row r="71" spans="2:13" x14ac:dyDescent="0.35">
      <c r="B71" s="26"/>
      <c r="C71" s="27" t="s">
        <v>127</v>
      </c>
      <c r="E71" s="28">
        <v>41000000</v>
      </c>
      <c r="F71" s="28">
        <v>0</v>
      </c>
      <c r="G71" s="28">
        <v>41000000</v>
      </c>
      <c r="I71" s="28">
        <v>41000000</v>
      </c>
      <c r="J71" s="28">
        <v>0</v>
      </c>
      <c r="K71" s="28">
        <v>41000000</v>
      </c>
      <c r="M71" s="28">
        <v>0</v>
      </c>
    </row>
    <row r="72" spans="2:13" x14ac:dyDescent="0.35">
      <c r="B72" s="32">
        <v>57</v>
      </c>
      <c r="C72" s="30" t="s">
        <v>128</v>
      </c>
      <c r="E72" s="25">
        <v>41000000</v>
      </c>
      <c r="F72" s="25">
        <v>0</v>
      </c>
      <c r="G72" s="25">
        <v>41000000</v>
      </c>
      <c r="I72" s="25">
        <v>41000000</v>
      </c>
      <c r="J72" s="25">
        <v>0</v>
      </c>
      <c r="K72" s="25">
        <v>41000000</v>
      </c>
      <c r="M72" s="25">
        <v>0</v>
      </c>
    </row>
    <row r="73" spans="2:13" x14ac:dyDescent="0.35">
      <c r="B73" s="26"/>
      <c r="C73" s="27" t="s">
        <v>129</v>
      </c>
      <c r="E73" s="28">
        <v>0</v>
      </c>
      <c r="F73" s="28">
        <v>200000000</v>
      </c>
      <c r="G73" s="28">
        <v>200000000</v>
      </c>
      <c r="H73" s="33">
        <v>808920</v>
      </c>
      <c r="I73" s="28">
        <v>0</v>
      </c>
      <c r="J73" s="28">
        <v>200000000</v>
      </c>
      <c r="K73" s="28">
        <v>200000000</v>
      </c>
      <c r="M73" s="28">
        <v>0</v>
      </c>
    </row>
    <row r="74" spans="2:13" x14ac:dyDescent="0.35">
      <c r="B74" s="31">
        <v>58</v>
      </c>
      <c r="C74" s="29" t="s">
        <v>130</v>
      </c>
      <c r="E74" s="23"/>
      <c r="F74" s="23">
        <v>200000000</v>
      </c>
      <c r="G74" s="23">
        <v>200000000</v>
      </c>
      <c r="I74" s="23"/>
      <c r="J74" s="23">
        <v>200000000</v>
      </c>
      <c r="K74" s="23">
        <v>200000000</v>
      </c>
      <c r="M74" s="23">
        <v>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A9CA4F62-519A-47C8-BA72-5D078AF62F1B}">
      <formula1>Taxes</formula1>
    </dataValidation>
    <dataValidation type="list" allowBlank="1" showInputMessage="1" showErrorMessage="1" sqref="C75:C603" xr:uid="{341F2677-AF55-45C3-9967-4030EFEE380F}">
      <formula1>Compadjust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AB01-9F85-4046-8E1E-030B0F6934FF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21" x14ac:dyDescent="0.35">
      <c r="C1" s="7" t="s">
        <v>53</v>
      </c>
      <c r="E1" s="9" t="s">
        <v>42</v>
      </c>
      <c r="F1" s="9" t="s">
        <v>151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433103132</v>
      </c>
      <c r="F8" s="20">
        <v>0</v>
      </c>
      <c r="G8" s="20">
        <v>433103132</v>
      </c>
      <c r="I8" s="20">
        <v>62832824</v>
      </c>
      <c r="J8" s="20">
        <v>0</v>
      </c>
      <c r="K8" s="20">
        <v>62832824</v>
      </c>
      <c r="M8" s="20">
        <v>370270308</v>
      </c>
    </row>
    <row r="9" spans="2:13" x14ac:dyDescent="0.35">
      <c r="B9" s="26"/>
      <c r="C9" s="27" t="s">
        <v>69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5">
      <c r="B10" s="21">
        <v>3</v>
      </c>
      <c r="C10" s="29" t="s">
        <v>70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429788612</v>
      </c>
      <c r="F36" s="28">
        <v>0</v>
      </c>
      <c r="G36" s="28">
        <v>429788612</v>
      </c>
      <c r="I36" s="28">
        <v>59531156</v>
      </c>
      <c r="J36" s="28">
        <v>0</v>
      </c>
      <c r="K36" s="28">
        <v>59531156</v>
      </c>
      <c r="M36" s="28">
        <v>370257456</v>
      </c>
    </row>
    <row r="37" spans="2:13" x14ac:dyDescent="0.35">
      <c r="B37" s="31">
        <v>27</v>
      </c>
      <c r="C37" s="29" t="s">
        <v>95</v>
      </c>
      <c r="E37" s="23">
        <v>0</v>
      </c>
      <c r="F37" s="23">
        <v>0</v>
      </c>
      <c r="G37" s="23">
        <v>0</v>
      </c>
      <c r="I37" s="23">
        <v>0</v>
      </c>
      <c r="J37" s="23">
        <v>0</v>
      </c>
      <c r="K37" s="23">
        <v>0</v>
      </c>
      <c r="M37" s="23">
        <v>0</v>
      </c>
    </row>
    <row r="38" spans="2:13" x14ac:dyDescent="0.35">
      <c r="B38" s="32">
        <v>28</v>
      </c>
      <c r="C38" s="30" t="s">
        <v>96</v>
      </c>
      <c r="E38" s="25">
        <v>54991642</v>
      </c>
      <c r="F38" s="25">
        <v>0</v>
      </c>
      <c r="G38" s="25">
        <v>54991642</v>
      </c>
      <c r="I38" s="25">
        <v>55205593</v>
      </c>
      <c r="J38" s="25">
        <v>0</v>
      </c>
      <c r="K38" s="25">
        <v>55205593</v>
      </c>
      <c r="M38" s="25">
        <v>-213951</v>
      </c>
    </row>
    <row r="39" spans="2:13" x14ac:dyDescent="0.35">
      <c r="B39" s="31">
        <v>29</v>
      </c>
      <c r="C39" s="29" t="s">
        <v>97</v>
      </c>
      <c r="E39" s="23">
        <v>371471407</v>
      </c>
      <c r="F39" s="23">
        <v>0</v>
      </c>
      <c r="G39" s="23">
        <v>371471407</v>
      </c>
      <c r="I39" s="23">
        <v>0</v>
      </c>
      <c r="J39" s="23">
        <v>0</v>
      </c>
      <c r="K39" s="23">
        <v>0</v>
      </c>
      <c r="M39" s="23">
        <v>371471407</v>
      </c>
    </row>
    <row r="40" spans="2:13" x14ac:dyDescent="0.35">
      <c r="B40" s="32">
        <v>30</v>
      </c>
      <c r="C40" s="30" t="s">
        <v>98</v>
      </c>
      <c r="E40" s="25">
        <v>0</v>
      </c>
      <c r="F40" s="25">
        <v>0</v>
      </c>
      <c r="G40" s="25">
        <v>0</v>
      </c>
      <c r="I40" s="25">
        <v>0</v>
      </c>
      <c r="J40" s="25">
        <v>0</v>
      </c>
      <c r="K40" s="25">
        <v>0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3325563</v>
      </c>
      <c r="F42" s="25">
        <v>0</v>
      </c>
      <c r="G42" s="25">
        <v>3325563</v>
      </c>
      <c r="I42" s="25">
        <v>4325563</v>
      </c>
      <c r="J42" s="25">
        <v>0</v>
      </c>
      <c r="K42" s="25">
        <v>4325563</v>
      </c>
      <c r="M42" s="25">
        <v>-1000000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0</v>
      </c>
      <c r="F44" s="25">
        <v>0</v>
      </c>
      <c r="G44" s="25">
        <v>0</v>
      </c>
      <c r="I44" s="25">
        <v>0</v>
      </c>
      <c r="J44" s="25">
        <v>0</v>
      </c>
      <c r="K44" s="25">
        <v>0</v>
      </c>
      <c r="M44" s="25">
        <v>0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0</v>
      </c>
      <c r="J45" s="23">
        <v>0</v>
      </c>
      <c r="K45" s="23">
        <v>0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0</v>
      </c>
      <c r="F49" s="23">
        <v>0</v>
      </c>
      <c r="G49" s="23">
        <v>0</v>
      </c>
      <c r="I49" s="23">
        <v>0</v>
      </c>
      <c r="J49" s="23">
        <v>0</v>
      </c>
      <c r="K49" s="23">
        <v>0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0</v>
      </c>
      <c r="J51" s="23">
        <v>0</v>
      </c>
      <c r="K51" s="23">
        <v>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0</v>
      </c>
      <c r="F53" s="28">
        <v>0</v>
      </c>
      <c r="G53" s="28">
        <v>0</v>
      </c>
      <c r="I53" s="28">
        <v>0</v>
      </c>
      <c r="J53" s="28">
        <v>0</v>
      </c>
      <c r="K53" s="28">
        <v>0</v>
      </c>
      <c r="M53" s="28">
        <v>0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0</v>
      </c>
      <c r="F57" s="25">
        <v>0</v>
      </c>
      <c r="G57" s="25">
        <v>0</v>
      </c>
      <c r="I57" s="25">
        <v>0</v>
      </c>
      <c r="J57" s="25">
        <v>0</v>
      </c>
      <c r="K57" s="25">
        <v>0</v>
      </c>
      <c r="M57" s="25">
        <v>0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0</v>
      </c>
      <c r="F62" s="28">
        <v>0</v>
      </c>
      <c r="G62" s="28">
        <v>0</v>
      </c>
      <c r="I62" s="28">
        <v>0</v>
      </c>
      <c r="J62" s="28">
        <v>0</v>
      </c>
      <c r="K62" s="28">
        <v>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0</v>
      </c>
      <c r="J66" s="28">
        <v>0</v>
      </c>
      <c r="K66" s="28">
        <v>0</v>
      </c>
      <c r="M66" s="28">
        <v>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0</v>
      </c>
      <c r="J68" s="25">
        <v>0</v>
      </c>
      <c r="K68" s="25">
        <v>0</v>
      </c>
      <c r="M68" s="25">
        <v>0</v>
      </c>
    </row>
    <row r="69" spans="2:13" x14ac:dyDescent="0.35">
      <c r="B69" s="26"/>
      <c r="C69" s="27" t="s">
        <v>125</v>
      </c>
      <c r="E69" s="28">
        <v>204120</v>
      </c>
      <c r="F69" s="28">
        <v>0</v>
      </c>
      <c r="G69" s="28">
        <v>204120</v>
      </c>
      <c r="I69" s="28">
        <v>191268</v>
      </c>
      <c r="J69" s="28">
        <v>0</v>
      </c>
      <c r="K69" s="28">
        <v>191268</v>
      </c>
      <c r="M69" s="28">
        <v>12852</v>
      </c>
    </row>
    <row r="70" spans="2:13" x14ac:dyDescent="0.35">
      <c r="B70" s="31">
        <v>56</v>
      </c>
      <c r="C70" s="29" t="s">
        <v>126</v>
      </c>
      <c r="E70" s="23">
        <v>204120</v>
      </c>
      <c r="F70" s="23">
        <v>0</v>
      </c>
      <c r="G70" s="23">
        <v>204120</v>
      </c>
      <c r="I70" s="23">
        <v>191268</v>
      </c>
      <c r="J70" s="23">
        <v>0</v>
      </c>
      <c r="K70" s="23">
        <v>191268</v>
      </c>
      <c r="M70" s="23">
        <v>12852</v>
      </c>
    </row>
    <row r="71" spans="2:13" x14ac:dyDescent="0.35">
      <c r="B71" s="26"/>
      <c r="C71" s="27" t="s">
        <v>127</v>
      </c>
      <c r="E71" s="28">
        <v>3110400</v>
      </c>
      <c r="F71" s="28">
        <v>0</v>
      </c>
      <c r="G71" s="28">
        <v>3110400</v>
      </c>
      <c r="I71" s="28">
        <v>3110400</v>
      </c>
      <c r="J71" s="28">
        <v>0</v>
      </c>
      <c r="K71" s="28">
        <v>3110400</v>
      </c>
      <c r="M71" s="28">
        <v>0</v>
      </c>
    </row>
    <row r="72" spans="2:13" x14ac:dyDescent="0.35">
      <c r="B72" s="32">
        <v>57</v>
      </c>
      <c r="C72" s="30" t="s">
        <v>128</v>
      </c>
      <c r="E72" s="25">
        <v>3110400</v>
      </c>
      <c r="F72" s="25">
        <v>0</v>
      </c>
      <c r="G72" s="25">
        <v>3110400</v>
      </c>
      <c r="I72" s="25">
        <v>3110400</v>
      </c>
      <c r="J72" s="25">
        <v>0</v>
      </c>
      <c r="K72" s="25">
        <v>3110400</v>
      </c>
      <c r="M72" s="25">
        <v>0</v>
      </c>
    </row>
    <row r="73" spans="2:13" x14ac:dyDescent="0.35">
      <c r="B73" s="26"/>
      <c r="C73" s="27" t="s">
        <v>129</v>
      </c>
      <c r="E73" s="28">
        <v>0</v>
      </c>
      <c r="F73" s="28">
        <v>0</v>
      </c>
      <c r="G73" s="28">
        <v>0</v>
      </c>
      <c r="H73" s="33">
        <v>808920</v>
      </c>
      <c r="I73" s="28">
        <v>0</v>
      </c>
      <c r="J73" s="28">
        <v>0</v>
      </c>
      <c r="K73" s="28">
        <v>0</v>
      </c>
      <c r="M73" s="28">
        <v>0</v>
      </c>
    </row>
    <row r="74" spans="2:13" x14ac:dyDescent="0.35">
      <c r="B74" s="31">
        <v>58</v>
      </c>
      <c r="C74" s="29" t="s">
        <v>130</v>
      </c>
      <c r="E74" s="23"/>
      <c r="F74" s="23">
        <v>0</v>
      </c>
      <c r="G74" s="23">
        <v>0</v>
      </c>
      <c r="I74" s="23"/>
      <c r="J74" s="23">
        <v>0</v>
      </c>
      <c r="K74" s="23">
        <v>0</v>
      </c>
      <c r="M74" s="23">
        <v>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56AC352B-F77C-4DBF-8507-0F0CF3C5861C}">
      <formula1>Taxes</formula1>
    </dataValidation>
    <dataValidation type="list" allowBlank="1" showInputMessage="1" showErrorMessage="1" sqref="C75:C603" xr:uid="{FF97F58F-DDCF-4CF1-9F96-D5FFE3767A59}">
      <formula1>Compadjust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ABD5-259C-412D-B20C-42DACDD47738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x14ac:dyDescent="0.35">
      <c r="C1" s="7" t="s">
        <v>53</v>
      </c>
      <c r="E1" s="9" t="s">
        <v>44</v>
      </c>
      <c r="F1" s="9" t="s">
        <v>152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184244641</v>
      </c>
      <c r="F8" s="20">
        <v>0</v>
      </c>
      <c r="G8" s="20">
        <v>184244641</v>
      </c>
      <c r="I8" s="20">
        <v>7629040</v>
      </c>
      <c r="J8" s="20">
        <v>0</v>
      </c>
      <c r="K8" s="20">
        <v>7629040</v>
      </c>
      <c r="M8" s="20">
        <v>176615601</v>
      </c>
    </row>
    <row r="9" spans="2:13" x14ac:dyDescent="0.35">
      <c r="B9" s="26"/>
      <c r="C9" s="27" t="s">
        <v>69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5">
      <c r="B10" s="21">
        <v>3</v>
      </c>
      <c r="C10" s="29" t="s">
        <v>70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75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179824971</v>
      </c>
      <c r="F36" s="28">
        <v>0</v>
      </c>
      <c r="G36" s="28">
        <v>179824971</v>
      </c>
      <c r="I36" s="28">
        <v>1000000</v>
      </c>
      <c r="J36" s="28">
        <v>0</v>
      </c>
      <c r="K36" s="28">
        <v>1000000</v>
      </c>
      <c r="M36" s="28">
        <v>178824971</v>
      </c>
    </row>
    <row r="37" spans="2:13" x14ac:dyDescent="0.35">
      <c r="B37" s="31">
        <v>27</v>
      </c>
      <c r="C37" s="29" t="s">
        <v>95</v>
      </c>
      <c r="E37" s="23">
        <v>0</v>
      </c>
      <c r="F37" s="23">
        <v>0</v>
      </c>
      <c r="G37" s="23">
        <v>0</v>
      </c>
      <c r="I37" s="23">
        <v>0</v>
      </c>
      <c r="J37" s="23">
        <v>0</v>
      </c>
      <c r="K37" s="23">
        <v>0</v>
      </c>
      <c r="M37" s="23">
        <v>0</v>
      </c>
    </row>
    <row r="38" spans="2:13" x14ac:dyDescent="0.35">
      <c r="B38" s="32">
        <v>28</v>
      </c>
      <c r="C38" s="30" t="s">
        <v>96</v>
      </c>
      <c r="E38" s="25">
        <v>179424971</v>
      </c>
      <c r="F38" s="25">
        <v>0</v>
      </c>
      <c r="G38" s="25">
        <v>179424971</v>
      </c>
      <c r="I38" s="25">
        <v>0</v>
      </c>
      <c r="J38" s="25">
        <v>0</v>
      </c>
      <c r="K38" s="25">
        <v>0</v>
      </c>
      <c r="M38" s="25">
        <v>179424971</v>
      </c>
    </row>
    <row r="39" spans="2:13" x14ac:dyDescent="0.35">
      <c r="B39" s="31">
        <v>29</v>
      </c>
      <c r="C39" s="29" t="s">
        <v>97</v>
      </c>
      <c r="E39" s="23">
        <v>0</v>
      </c>
      <c r="F39" s="23">
        <v>0</v>
      </c>
      <c r="G39" s="23">
        <v>0</v>
      </c>
      <c r="I39" s="23">
        <v>0</v>
      </c>
      <c r="J39" s="23">
        <v>0</v>
      </c>
      <c r="K39" s="23">
        <v>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400000</v>
      </c>
      <c r="F40" s="25">
        <v>0</v>
      </c>
      <c r="G40" s="25">
        <v>400000</v>
      </c>
      <c r="I40" s="25">
        <v>1000000</v>
      </c>
      <c r="J40" s="25">
        <v>0</v>
      </c>
      <c r="K40" s="25">
        <v>1000000</v>
      </c>
      <c r="M40" s="25">
        <v>-600000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0</v>
      </c>
      <c r="F42" s="25">
        <v>0</v>
      </c>
      <c r="G42" s="25">
        <v>0</v>
      </c>
      <c r="I42" s="25">
        <v>0</v>
      </c>
      <c r="J42" s="25">
        <v>0</v>
      </c>
      <c r="K42" s="25">
        <v>0</v>
      </c>
      <c r="M42" s="25">
        <v>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0</v>
      </c>
      <c r="F44" s="25">
        <v>0</v>
      </c>
      <c r="G44" s="25">
        <v>0</v>
      </c>
      <c r="I44" s="25">
        <v>0</v>
      </c>
      <c r="J44" s="25">
        <v>0</v>
      </c>
      <c r="K44" s="25">
        <v>0</v>
      </c>
      <c r="M44" s="25">
        <v>0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0</v>
      </c>
      <c r="J45" s="23">
        <v>0</v>
      </c>
      <c r="K45" s="23">
        <v>0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0</v>
      </c>
      <c r="F49" s="23">
        <v>0</v>
      </c>
      <c r="G49" s="23">
        <v>0</v>
      </c>
      <c r="I49" s="23">
        <v>0</v>
      </c>
      <c r="J49" s="23">
        <v>0</v>
      </c>
      <c r="K49" s="23">
        <v>0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0</v>
      </c>
      <c r="J51" s="23">
        <v>0</v>
      </c>
      <c r="K51" s="23">
        <v>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0</v>
      </c>
      <c r="F53" s="28">
        <v>0</v>
      </c>
      <c r="G53" s="28">
        <v>0</v>
      </c>
      <c r="I53" s="28">
        <v>0</v>
      </c>
      <c r="J53" s="28">
        <v>0</v>
      </c>
      <c r="K53" s="28">
        <v>0</v>
      </c>
      <c r="M53" s="28">
        <v>0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0</v>
      </c>
      <c r="F57" s="25">
        <v>0</v>
      </c>
      <c r="G57" s="25">
        <v>0</v>
      </c>
      <c r="I57" s="25">
        <v>0</v>
      </c>
      <c r="J57" s="25">
        <v>0</v>
      </c>
      <c r="K57" s="25">
        <v>0</v>
      </c>
      <c r="M57" s="25">
        <v>0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0</v>
      </c>
      <c r="F62" s="28">
        <v>0</v>
      </c>
      <c r="G62" s="28">
        <v>0</v>
      </c>
      <c r="I62" s="28">
        <v>0</v>
      </c>
      <c r="J62" s="28">
        <v>0</v>
      </c>
      <c r="K62" s="28">
        <v>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0</v>
      </c>
      <c r="J66" s="28">
        <v>0</v>
      </c>
      <c r="K66" s="28">
        <v>0</v>
      </c>
      <c r="M66" s="28">
        <v>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0</v>
      </c>
      <c r="J68" s="25">
        <v>0</v>
      </c>
      <c r="K68" s="25">
        <v>0</v>
      </c>
      <c r="M68" s="25">
        <v>0</v>
      </c>
    </row>
    <row r="69" spans="2:13" x14ac:dyDescent="0.35">
      <c r="B69" s="26"/>
      <c r="C69" s="27" t="s">
        <v>125</v>
      </c>
      <c r="E69" s="28">
        <v>272470</v>
      </c>
      <c r="F69" s="28">
        <v>0</v>
      </c>
      <c r="G69" s="28">
        <v>272470</v>
      </c>
      <c r="I69" s="28">
        <v>408240</v>
      </c>
      <c r="J69" s="28">
        <v>0</v>
      </c>
      <c r="K69" s="28">
        <v>408240</v>
      </c>
      <c r="M69" s="28">
        <v>-135770</v>
      </c>
    </row>
    <row r="70" spans="2:13" x14ac:dyDescent="0.35">
      <c r="B70" s="31">
        <v>56</v>
      </c>
      <c r="C70" s="29" t="s">
        <v>126</v>
      </c>
      <c r="E70" s="23">
        <v>272470</v>
      </c>
      <c r="F70" s="23">
        <v>0</v>
      </c>
      <c r="G70" s="23">
        <v>272470</v>
      </c>
      <c r="I70" s="23">
        <v>408240</v>
      </c>
      <c r="J70" s="23">
        <v>0</v>
      </c>
      <c r="K70" s="23">
        <v>408240</v>
      </c>
      <c r="M70" s="23">
        <v>-135770</v>
      </c>
    </row>
    <row r="71" spans="2:13" x14ac:dyDescent="0.35">
      <c r="B71" s="26"/>
      <c r="C71" s="27" t="s">
        <v>127</v>
      </c>
      <c r="E71" s="28">
        <v>4147200</v>
      </c>
      <c r="F71" s="28">
        <v>0</v>
      </c>
      <c r="G71" s="28">
        <v>4147200</v>
      </c>
      <c r="I71" s="28">
        <v>6220800</v>
      </c>
      <c r="J71" s="28">
        <v>0</v>
      </c>
      <c r="K71" s="28">
        <v>6220800</v>
      </c>
      <c r="M71" s="28">
        <v>-2073600</v>
      </c>
    </row>
    <row r="72" spans="2:13" x14ac:dyDescent="0.35">
      <c r="B72" s="32">
        <v>57</v>
      </c>
      <c r="C72" s="30" t="s">
        <v>128</v>
      </c>
      <c r="E72" s="25">
        <v>4147200</v>
      </c>
      <c r="F72" s="25">
        <v>0</v>
      </c>
      <c r="G72" s="25">
        <v>4147200</v>
      </c>
      <c r="I72" s="25">
        <v>6220800</v>
      </c>
      <c r="J72" s="25">
        <v>0</v>
      </c>
      <c r="K72" s="25">
        <v>6220800</v>
      </c>
      <c r="M72" s="25">
        <v>-2073600</v>
      </c>
    </row>
    <row r="73" spans="2:13" x14ac:dyDescent="0.35">
      <c r="B73" s="26"/>
      <c r="C73" s="27" t="s">
        <v>129</v>
      </c>
      <c r="E73" s="28">
        <v>0</v>
      </c>
      <c r="F73" s="28">
        <v>0</v>
      </c>
      <c r="G73" s="28">
        <v>0</v>
      </c>
      <c r="H73" s="33">
        <v>808920</v>
      </c>
      <c r="I73" s="28">
        <v>0</v>
      </c>
      <c r="J73" s="28">
        <v>0</v>
      </c>
      <c r="K73" s="28">
        <v>0</v>
      </c>
      <c r="M73" s="28">
        <v>0</v>
      </c>
    </row>
    <row r="74" spans="2:13" x14ac:dyDescent="0.35">
      <c r="B74" s="31">
        <v>58</v>
      </c>
      <c r="C74" s="29" t="s">
        <v>130</v>
      </c>
      <c r="E74" s="23"/>
      <c r="F74" s="23">
        <v>0</v>
      </c>
      <c r="G74" s="23">
        <v>0</v>
      </c>
      <c r="I74" s="23"/>
      <c r="J74" s="23">
        <v>0</v>
      </c>
      <c r="K74" s="23">
        <v>0</v>
      </c>
      <c r="M74" s="23">
        <v>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EF0DDA34-A6B6-473E-8143-26B3FA0944D9}">
      <formula1>Taxes</formula1>
    </dataValidation>
    <dataValidation type="list" allowBlank="1" showInputMessage="1" showErrorMessage="1" sqref="C75:C603" xr:uid="{192E6447-D9CE-4BEC-B718-64D1EC82F5C5}">
      <formula1>Compadjust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C130-653B-4E55-B783-B20FE28CD23C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9.6328125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x14ac:dyDescent="0.35">
      <c r="C1" s="7" t="s">
        <v>53</v>
      </c>
      <c r="E1" s="9" t="s">
        <v>46</v>
      </c>
      <c r="F1" s="9" t="s">
        <v>153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298658194</v>
      </c>
      <c r="F8" s="20">
        <v>0</v>
      </c>
      <c r="G8" s="20">
        <v>298658194</v>
      </c>
      <c r="I8" s="20">
        <v>382862250</v>
      </c>
      <c r="J8" s="20">
        <v>0</v>
      </c>
      <c r="K8" s="20">
        <v>382862250</v>
      </c>
      <c r="M8" s="20">
        <v>-84204056</v>
      </c>
    </row>
    <row r="9" spans="2:13" x14ac:dyDescent="0.35">
      <c r="B9" s="26"/>
      <c r="C9" s="27" t="s">
        <v>69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5">
      <c r="B10" s="21">
        <v>3</v>
      </c>
      <c r="C10" s="29" t="s">
        <v>70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75</v>
      </c>
      <c r="E15" s="28">
        <v>296589930</v>
      </c>
      <c r="F15" s="28">
        <v>0</v>
      </c>
      <c r="G15" s="28">
        <v>296589930</v>
      </c>
      <c r="I15" s="28">
        <v>291844492</v>
      </c>
      <c r="J15" s="28">
        <v>0</v>
      </c>
      <c r="K15" s="28">
        <v>291844492</v>
      </c>
      <c r="M15" s="28">
        <v>4745438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0</v>
      </c>
      <c r="F17" s="25">
        <v>0</v>
      </c>
      <c r="G17" s="25">
        <v>0</v>
      </c>
      <c r="I17" s="25">
        <v>118635972</v>
      </c>
      <c r="J17" s="25">
        <v>0</v>
      </c>
      <c r="K17" s="25">
        <v>118635972</v>
      </c>
      <c r="M17" s="25">
        <v>-118635972</v>
      </c>
    </row>
    <row r="18" spans="2:13" x14ac:dyDescent="0.35">
      <c r="B18" s="21">
        <v>10</v>
      </c>
      <c r="C18" s="29" t="s">
        <v>78</v>
      </c>
      <c r="E18" s="23">
        <v>296589930</v>
      </c>
      <c r="F18" s="23">
        <v>0</v>
      </c>
      <c r="G18" s="23">
        <v>296589930</v>
      </c>
      <c r="I18" s="23">
        <v>59317986</v>
      </c>
      <c r="J18" s="23">
        <v>0</v>
      </c>
      <c r="K18" s="23">
        <v>59317986</v>
      </c>
      <c r="M18" s="23">
        <v>237271944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88976980</v>
      </c>
      <c r="J19" s="25">
        <v>0</v>
      </c>
      <c r="K19" s="25">
        <v>88976980</v>
      </c>
      <c r="M19" s="25">
        <v>-88976980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0</v>
      </c>
      <c r="F21" s="25">
        <v>0</v>
      </c>
      <c r="G21" s="25">
        <v>0</v>
      </c>
      <c r="I21" s="25">
        <v>24913554</v>
      </c>
      <c r="J21" s="25">
        <v>0</v>
      </c>
      <c r="K21" s="25">
        <v>24913554</v>
      </c>
      <c r="M21" s="25">
        <v>-24913554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900000</v>
      </c>
      <c r="F25" s="28">
        <v>0</v>
      </c>
      <c r="G25" s="28">
        <v>900000</v>
      </c>
      <c r="I25" s="28">
        <v>0</v>
      </c>
      <c r="J25" s="28">
        <v>0</v>
      </c>
      <c r="K25" s="28">
        <v>0</v>
      </c>
      <c r="M25" s="28">
        <v>900000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900000</v>
      </c>
      <c r="F35" s="25">
        <v>0</v>
      </c>
      <c r="G35" s="25">
        <v>900000</v>
      </c>
      <c r="I35" s="25">
        <v>0</v>
      </c>
      <c r="J35" s="25">
        <v>0</v>
      </c>
      <c r="K35" s="25">
        <v>0</v>
      </c>
      <c r="M35" s="25">
        <v>900000</v>
      </c>
    </row>
    <row r="36" spans="2:13" x14ac:dyDescent="0.35">
      <c r="B36" s="26"/>
      <c r="C36" s="27" t="s">
        <v>94</v>
      </c>
      <c r="E36" s="28">
        <v>84664</v>
      </c>
      <c r="F36" s="28">
        <v>0</v>
      </c>
      <c r="G36" s="28">
        <v>84664</v>
      </c>
      <c r="I36" s="28">
        <v>63498</v>
      </c>
      <c r="J36" s="28">
        <v>0</v>
      </c>
      <c r="K36" s="28">
        <v>63498</v>
      </c>
      <c r="M36" s="28">
        <v>21166</v>
      </c>
    </row>
    <row r="37" spans="2:13" x14ac:dyDescent="0.35">
      <c r="B37" s="31">
        <v>27</v>
      </c>
      <c r="C37" s="29" t="s">
        <v>95</v>
      </c>
      <c r="E37" s="23">
        <v>0</v>
      </c>
      <c r="F37" s="23">
        <v>0</v>
      </c>
      <c r="G37" s="23">
        <v>0</v>
      </c>
      <c r="I37" s="23">
        <v>0</v>
      </c>
      <c r="J37" s="23">
        <v>0</v>
      </c>
      <c r="K37" s="23">
        <v>0</v>
      </c>
      <c r="M37" s="23">
        <v>0</v>
      </c>
    </row>
    <row r="38" spans="2:13" x14ac:dyDescent="0.35">
      <c r="B38" s="32">
        <v>28</v>
      </c>
      <c r="C38" s="30" t="s">
        <v>96</v>
      </c>
      <c r="E38" s="25">
        <v>84664</v>
      </c>
      <c r="F38" s="25">
        <v>0</v>
      </c>
      <c r="G38" s="25">
        <v>84664</v>
      </c>
      <c r="I38" s="25">
        <v>63498</v>
      </c>
      <c r="J38" s="25">
        <v>0</v>
      </c>
      <c r="K38" s="25">
        <v>63498</v>
      </c>
      <c r="M38" s="25">
        <v>21166</v>
      </c>
    </row>
    <row r="39" spans="2:13" x14ac:dyDescent="0.35">
      <c r="B39" s="31">
        <v>29</v>
      </c>
      <c r="C39" s="29" t="s">
        <v>97</v>
      </c>
      <c r="E39" s="23">
        <v>0</v>
      </c>
      <c r="F39" s="23">
        <v>0</v>
      </c>
      <c r="G39" s="23">
        <v>0</v>
      </c>
      <c r="I39" s="23">
        <v>0</v>
      </c>
      <c r="J39" s="23">
        <v>0</v>
      </c>
      <c r="K39" s="23">
        <v>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0</v>
      </c>
      <c r="F40" s="25">
        <v>0</v>
      </c>
      <c r="G40" s="25">
        <v>0</v>
      </c>
      <c r="I40" s="25">
        <v>0</v>
      </c>
      <c r="J40" s="25">
        <v>0</v>
      </c>
      <c r="K40" s="25">
        <v>0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0</v>
      </c>
      <c r="F42" s="25">
        <v>0</v>
      </c>
      <c r="G42" s="25">
        <v>0</v>
      </c>
      <c r="I42" s="25">
        <v>0</v>
      </c>
      <c r="J42" s="25">
        <v>0</v>
      </c>
      <c r="K42" s="25">
        <v>0</v>
      </c>
      <c r="M42" s="25">
        <v>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/>
      <c r="F44" s="25">
        <v>0</v>
      </c>
      <c r="G44" s="25">
        <v>0</v>
      </c>
      <c r="I44" s="25">
        <v>0</v>
      </c>
      <c r="J44" s="25">
        <v>0</v>
      </c>
      <c r="K44" s="25">
        <v>0</v>
      </c>
      <c r="M44" s="25">
        <v>0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0</v>
      </c>
      <c r="J45" s="23">
        <v>0</v>
      </c>
      <c r="K45" s="23">
        <v>0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0</v>
      </c>
      <c r="F49" s="23">
        <v>0</v>
      </c>
      <c r="G49" s="23">
        <v>0</v>
      </c>
      <c r="I49" s="23">
        <v>0</v>
      </c>
      <c r="J49" s="23">
        <v>0</v>
      </c>
      <c r="K49" s="23">
        <v>0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0</v>
      </c>
      <c r="J51" s="23">
        <v>0</v>
      </c>
      <c r="K51" s="23">
        <v>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0</v>
      </c>
      <c r="F53" s="28">
        <v>0</v>
      </c>
      <c r="G53" s="28">
        <v>0</v>
      </c>
      <c r="I53" s="28">
        <v>0</v>
      </c>
      <c r="J53" s="28">
        <v>0</v>
      </c>
      <c r="K53" s="28">
        <v>0</v>
      </c>
      <c r="M53" s="28">
        <v>0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0</v>
      </c>
      <c r="F57" s="25">
        <v>0</v>
      </c>
      <c r="G57" s="25">
        <v>0</v>
      </c>
      <c r="I57" s="25">
        <v>0</v>
      </c>
      <c r="J57" s="25">
        <v>0</v>
      </c>
      <c r="K57" s="25">
        <v>0</v>
      </c>
      <c r="M57" s="25">
        <v>0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0</v>
      </c>
      <c r="F62" s="28">
        <v>0</v>
      </c>
      <c r="G62" s="28">
        <v>0</v>
      </c>
      <c r="I62" s="28">
        <v>0</v>
      </c>
      <c r="J62" s="28">
        <v>0</v>
      </c>
      <c r="K62" s="28">
        <v>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0</v>
      </c>
      <c r="J66" s="28">
        <v>0</v>
      </c>
      <c r="K66" s="28">
        <v>0</v>
      </c>
      <c r="M66" s="28">
        <v>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0</v>
      </c>
      <c r="J68" s="25">
        <v>0</v>
      </c>
      <c r="K68" s="25">
        <v>0</v>
      </c>
      <c r="M68" s="25">
        <v>0</v>
      </c>
    </row>
    <row r="69" spans="2:13" x14ac:dyDescent="0.35">
      <c r="B69" s="26"/>
      <c r="C69" s="27" t="s">
        <v>125</v>
      </c>
      <c r="E69" s="28">
        <v>75600</v>
      </c>
      <c r="F69" s="28">
        <v>0</v>
      </c>
      <c r="G69" s="28">
        <v>75600</v>
      </c>
      <c r="I69" s="28">
        <v>249480</v>
      </c>
      <c r="J69" s="28">
        <v>0</v>
      </c>
      <c r="K69" s="28">
        <v>249480</v>
      </c>
      <c r="M69" s="28">
        <v>-173880</v>
      </c>
    </row>
    <row r="70" spans="2:13" x14ac:dyDescent="0.35">
      <c r="B70" s="31">
        <v>56</v>
      </c>
      <c r="C70" s="29" t="s">
        <v>126</v>
      </c>
      <c r="E70" s="23">
        <v>75600</v>
      </c>
      <c r="F70" s="23">
        <v>0</v>
      </c>
      <c r="G70" s="23">
        <v>75600</v>
      </c>
      <c r="I70" s="23">
        <v>249480</v>
      </c>
      <c r="J70" s="23">
        <v>0</v>
      </c>
      <c r="K70" s="23">
        <v>249480</v>
      </c>
      <c r="M70" s="23">
        <v>-173880</v>
      </c>
    </row>
    <row r="71" spans="2:13" x14ac:dyDescent="0.35">
      <c r="B71" s="26"/>
      <c r="C71" s="27" t="s">
        <v>127</v>
      </c>
      <c r="E71" s="28">
        <v>1008000</v>
      </c>
      <c r="F71" s="28">
        <v>0</v>
      </c>
      <c r="G71" s="28">
        <v>1008000</v>
      </c>
      <c r="I71" s="28">
        <v>1727800</v>
      </c>
      <c r="J71" s="28">
        <v>0</v>
      </c>
      <c r="K71" s="28">
        <v>1727800</v>
      </c>
      <c r="M71" s="28">
        <v>-719800</v>
      </c>
    </row>
    <row r="72" spans="2:13" x14ac:dyDescent="0.35">
      <c r="B72" s="32">
        <v>57</v>
      </c>
      <c r="C72" s="30" t="s">
        <v>128</v>
      </c>
      <c r="E72" s="25">
        <v>1008000</v>
      </c>
      <c r="F72" s="25">
        <v>0</v>
      </c>
      <c r="G72" s="25">
        <v>1008000</v>
      </c>
      <c r="I72" s="25">
        <v>1727800</v>
      </c>
      <c r="J72" s="25">
        <v>0</v>
      </c>
      <c r="K72" s="25">
        <v>1727800</v>
      </c>
      <c r="M72" s="25">
        <v>-719800</v>
      </c>
    </row>
    <row r="73" spans="2:13" x14ac:dyDescent="0.35">
      <c r="B73" s="26"/>
      <c r="C73" s="27" t="s">
        <v>129</v>
      </c>
      <c r="E73" s="28">
        <v>0</v>
      </c>
      <c r="F73" s="28">
        <v>0</v>
      </c>
      <c r="G73" s="28">
        <v>0</v>
      </c>
      <c r="H73" s="33">
        <v>808920</v>
      </c>
      <c r="I73" s="28">
        <v>88976980</v>
      </c>
      <c r="J73" s="28">
        <v>0</v>
      </c>
      <c r="K73" s="28">
        <v>88976980</v>
      </c>
      <c r="M73" s="28">
        <v>-88976980</v>
      </c>
    </row>
    <row r="74" spans="2:13" x14ac:dyDescent="0.35">
      <c r="B74" s="31">
        <v>58</v>
      </c>
      <c r="C74" s="29" t="s">
        <v>130</v>
      </c>
      <c r="E74" s="23">
        <v>0</v>
      </c>
      <c r="F74" s="23">
        <v>0</v>
      </c>
      <c r="G74" s="23">
        <v>0</v>
      </c>
      <c r="I74" s="23">
        <v>88976980</v>
      </c>
      <c r="J74" s="23">
        <v>0</v>
      </c>
      <c r="K74" s="23">
        <v>88976980</v>
      </c>
      <c r="M74" s="23">
        <v>-88976980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F5CD925B-A785-4BCF-8CC0-C855EAB30421}">
      <formula1>Taxes</formula1>
    </dataValidation>
    <dataValidation type="list" allowBlank="1" showInputMessage="1" showErrorMessage="1" sqref="C75:C603" xr:uid="{5055F84C-10CC-4912-90B0-14440D0528D2}">
      <formula1>Compadjust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DB47-D412-478A-8E8C-8793F90E6C36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x14ac:dyDescent="0.35">
      <c r="C1" s="7" t="s">
        <v>53</v>
      </c>
      <c r="E1" s="9" t="s">
        <v>48</v>
      </c>
      <c r="F1" s="9">
        <v>6501383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2523718942.5862069</v>
      </c>
      <c r="F8" s="20">
        <v>922795160</v>
      </c>
      <c r="G8" s="20">
        <v>3446514102.5862069</v>
      </c>
      <c r="I8" s="20">
        <v>2408550526</v>
      </c>
      <c r="J8" s="20">
        <v>1038351611</v>
      </c>
      <c r="K8" s="20">
        <v>3446902137</v>
      </c>
      <c r="M8" s="20">
        <v>-388034.41379312426</v>
      </c>
    </row>
    <row r="9" spans="2:13" x14ac:dyDescent="0.35">
      <c r="B9" s="26"/>
      <c r="C9" s="27" t="s">
        <v>69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5">
      <c r="B10" s="21">
        <v>3</v>
      </c>
      <c r="C10" s="29" t="s">
        <v>70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75</v>
      </c>
      <c r="E15" s="28">
        <v>863094827.58620691</v>
      </c>
      <c r="F15" s="28">
        <v>0</v>
      </c>
      <c r="G15" s="28">
        <v>863094827.58620691</v>
      </c>
      <c r="I15" s="28">
        <v>869210635</v>
      </c>
      <c r="J15" s="28">
        <v>0</v>
      </c>
      <c r="K15" s="28">
        <v>869210635</v>
      </c>
      <c r="M15" s="28">
        <v>-6115807.4137931243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804597701.14942527</v>
      </c>
      <c r="F17" s="25">
        <v>0</v>
      </c>
      <c r="G17" s="25">
        <v>804597701.14942527</v>
      </c>
      <c r="I17" s="25">
        <v>810886346</v>
      </c>
      <c r="J17" s="25">
        <v>0</v>
      </c>
      <c r="K17" s="25">
        <v>810886346</v>
      </c>
      <c r="M17" s="25">
        <v>-6288644.8505747318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58497126.436781608</v>
      </c>
      <c r="F21" s="25">
        <v>0</v>
      </c>
      <c r="G21" s="25">
        <v>58497126.436781608</v>
      </c>
      <c r="I21" s="25">
        <v>58324289</v>
      </c>
      <c r="J21" s="25">
        <v>0</v>
      </c>
      <c r="K21" s="25">
        <v>58324289</v>
      </c>
      <c r="M21" s="25">
        <v>172837.43678160757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1647739473</v>
      </c>
      <c r="F36" s="28">
        <v>650844908</v>
      </c>
      <c r="G36" s="28">
        <v>2298584381</v>
      </c>
      <c r="I36" s="28">
        <v>1260139170</v>
      </c>
      <c r="J36" s="28">
        <v>1038351611</v>
      </c>
      <c r="K36" s="28">
        <v>2298490781</v>
      </c>
      <c r="M36" s="28">
        <v>93600</v>
      </c>
    </row>
    <row r="37" spans="2:13" x14ac:dyDescent="0.35">
      <c r="B37" s="31">
        <v>27</v>
      </c>
      <c r="C37" s="29" t="s">
        <v>95</v>
      </c>
      <c r="E37" s="23">
        <v>0</v>
      </c>
      <c r="F37" s="23">
        <v>0</v>
      </c>
      <c r="G37" s="23">
        <v>0</v>
      </c>
      <c r="I37" s="23">
        <v>0</v>
      </c>
      <c r="J37" s="23">
        <v>0</v>
      </c>
      <c r="K37" s="23">
        <v>0</v>
      </c>
      <c r="M37" s="23">
        <v>0</v>
      </c>
    </row>
    <row r="38" spans="2:13" x14ac:dyDescent="0.35">
      <c r="B38" s="32">
        <v>28</v>
      </c>
      <c r="C38" s="30" t="s">
        <v>96</v>
      </c>
      <c r="E38" s="25">
        <v>146284321</v>
      </c>
      <c r="F38" s="25">
        <v>0</v>
      </c>
      <c r="G38" s="25">
        <v>146284321</v>
      </c>
      <c r="I38" s="25">
        <v>146284321</v>
      </c>
      <c r="J38" s="25">
        <v>0</v>
      </c>
      <c r="K38" s="25">
        <v>146284321</v>
      </c>
      <c r="M38" s="25">
        <v>0</v>
      </c>
    </row>
    <row r="39" spans="2:13" x14ac:dyDescent="0.35">
      <c r="B39" s="31">
        <v>29</v>
      </c>
      <c r="C39" s="29" t="s">
        <v>97</v>
      </c>
      <c r="E39" s="23">
        <v>1163040761</v>
      </c>
      <c r="F39" s="23">
        <v>-124595550</v>
      </c>
      <c r="G39" s="23">
        <v>1038445211</v>
      </c>
      <c r="I39" s="23">
        <v>0</v>
      </c>
      <c r="J39" s="23">
        <v>1038351611</v>
      </c>
      <c r="K39" s="23">
        <v>1038351611</v>
      </c>
      <c r="M39" s="23">
        <v>93600</v>
      </c>
    </row>
    <row r="40" spans="2:13" x14ac:dyDescent="0.35">
      <c r="B40" s="32">
        <v>30</v>
      </c>
      <c r="C40" s="30" t="s">
        <v>98</v>
      </c>
      <c r="E40" s="25">
        <v>0</v>
      </c>
      <c r="F40" s="25">
        <v>0</v>
      </c>
      <c r="G40" s="25">
        <v>0</v>
      </c>
      <c r="I40" s="25">
        <v>0</v>
      </c>
      <c r="J40" s="25">
        <v>0</v>
      </c>
      <c r="K40" s="25">
        <v>0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338134391</v>
      </c>
      <c r="F42" s="25">
        <v>774540458</v>
      </c>
      <c r="G42" s="25">
        <v>1112674849</v>
      </c>
      <c r="I42" s="25">
        <v>1112674849</v>
      </c>
      <c r="J42" s="25">
        <v>0</v>
      </c>
      <c r="K42" s="25">
        <v>1112674849</v>
      </c>
      <c r="M42" s="25">
        <v>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280000</v>
      </c>
      <c r="F44" s="25">
        <v>900000</v>
      </c>
      <c r="G44" s="25">
        <v>1180000</v>
      </c>
      <c r="I44" s="25">
        <v>1180000</v>
      </c>
      <c r="J44" s="25">
        <v>0</v>
      </c>
      <c r="K44" s="25">
        <v>1180000</v>
      </c>
      <c r="M44" s="25">
        <v>0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0</v>
      </c>
      <c r="J45" s="23">
        <v>0</v>
      </c>
      <c r="K45" s="23">
        <v>0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0</v>
      </c>
      <c r="F49" s="23">
        <v>0</v>
      </c>
      <c r="G49" s="23">
        <v>0</v>
      </c>
      <c r="I49" s="23">
        <v>0</v>
      </c>
      <c r="J49" s="23">
        <v>0</v>
      </c>
      <c r="K49" s="23">
        <v>0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0</v>
      </c>
      <c r="J51" s="23">
        <v>0</v>
      </c>
      <c r="K51" s="23">
        <v>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5634173</v>
      </c>
      <c r="F53" s="28">
        <v>980248</v>
      </c>
      <c r="G53" s="28">
        <v>6614421</v>
      </c>
      <c r="I53" s="28">
        <v>980248</v>
      </c>
      <c r="J53" s="28">
        <v>0</v>
      </c>
      <c r="K53" s="28">
        <v>980248</v>
      </c>
      <c r="M53" s="28">
        <v>5634173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5634173</v>
      </c>
      <c r="F57" s="25">
        <v>980248</v>
      </c>
      <c r="G57" s="25">
        <v>6614421</v>
      </c>
      <c r="I57" s="25">
        <v>980248</v>
      </c>
      <c r="J57" s="25">
        <v>0</v>
      </c>
      <c r="K57" s="25">
        <v>980248</v>
      </c>
      <c r="M57" s="25">
        <v>5634173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0</v>
      </c>
      <c r="F62" s="28">
        <v>0</v>
      </c>
      <c r="G62" s="28">
        <v>0</v>
      </c>
      <c r="I62" s="28">
        <v>0</v>
      </c>
      <c r="J62" s="28">
        <v>0</v>
      </c>
      <c r="K62" s="28">
        <v>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0</v>
      </c>
      <c r="J66" s="28">
        <v>0</v>
      </c>
      <c r="K66" s="28">
        <v>0</v>
      </c>
      <c r="M66" s="28">
        <v>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0</v>
      </c>
      <c r="J68" s="25">
        <v>0</v>
      </c>
      <c r="K68" s="25">
        <v>0</v>
      </c>
      <c r="M68" s="25">
        <v>0</v>
      </c>
    </row>
    <row r="69" spans="2:13" x14ac:dyDescent="0.35">
      <c r="B69" s="26"/>
      <c r="C69" s="27" t="s">
        <v>125</v>
      </c>
      <c r="E69" s="28">
        <v>340200</v>
      </c>
      <c r="F69" s="28">
        <v>0</v>
      </c>
      <c r="G69" s="28">
        <v>340200</v>
      </c>
      <c r="I69" s="28">
        <v>340200</v>
      </c>
      <c r="J69" s="28">
        <v>0</v>
      </c>
      <c r="K69" s="28">
        <v>340200</v>
      </c>
      <c r="M69" s="28">
        <v>0</v>
      </c>
    </row>
    <row r="70" spans="2:13" x14ac:dyDescent="0.35">
      <c r="B70" s="31">
        <v>56</v>
      </c>
      <c r="C70" s="29" t="s">
        <v>126</v>
      </c>
      <c r="E70" s="23">
        <v>340200</v>
      </c>
      <c r="F70" s="23">
        <v>0</v>
      </c>
      <c r="G70" s="23">
        <v>340200</v>
      </c>
      <c r="I70" s="23">
        <v>340200</v>
      </c>
      <c r="J70" s="23">
        <v>0</v>
      </c>
      <c r="K70" s="23">
        <v>340200</v>
      </c>
      <c r="M70" s="23">
        <v>0</v>
      </c>
    </row>
    <row r="71" spans="2:13" x14ac:dyDescent="0.35">
      <c r="B71" s="26"/>
      <c r="C71" s="27" t="s">
        <v>127</v>
      </c>
      <c r="E71" s="28">
        <v>5110269</v>
      </c>
      <c r="F71" s="28">
        <v>0</v>
      </c>
      <c r="G71" s="28">
        <v>5110269</v>
      </c>
      <c r="I71" s="28">
        <v>5110269</v>
      </c>
      <c r="J71" s="28">
        <v>0</v>
      </c>
      <c r="K71" s="28">
        <v>5110269</v>
      </c>
      <c r="M71" s="28">
        <v>0</v>
      </c>
    </row>
    <row r="72" spans="2:13" x14ac:dyDescent="0.35">
      <c r="B72" s="32">
        <v>57</v>
      </c>
      <c r="C72" s="30" t="s">
        <v>128</v>
      </c>
      <c r="E72" s="25">
        <v>5110269</v>
      </c>
      <c r="F72" s="25">
        <v>0</v>
      </c>
      <c r="G72" s="25">
        <v>5110269</v>
      </c>
      <c r="I72" s="25">
        <v>5110269</v>
      </c>
      <c r="J72" s="25">
        <v>0</v>
      </c>
      <c r="K72" s="25">
        <v>5110269</v>
      </c>
      <c r="M72" s="25">
        <v>0</v>
      </c>
    </row>
    <row r="73" spans="2:13" x14ac:dyDescent="0.35">
      <c r="B73" s="26"/>
      <c r="C73" s="27" t="s">
        <v>129</v>
      </c>
      <c r="E73" s="28">
        <v>1800000</v>
      </c>
      <c r="F73" s="28">
        <v>270970004</v>
      </c>
      <c r="G73" s="28">
        <v>272770004</v>
      </c>
      <c r="H73" s="33">
        <v>808920</v>
      </c>
      <c r="I73" s="28">
        <v>272770004</v>
      </c>
      <c r="J73" s="28">
        <v>0</v>
      </c>
      <c r="K73" s="28">
        <v>272770004</v>
      </c>
      <c r="M73" s="28">
        <v>0</v>
      </c>
    </row>
    <row r="74" spans="2:13" x14ac:dyDescent="0.35">
      <c r="B74" s="31">
        <v>58</v>
      </c>
      <c r="C74" s="29" t="s">
        <v>130</v>
      </c>
      <c r="E74" s="23">
        <v>1800000</v>
      </c>
      <c r="F74" s="23">
        <v>270970004</v>
      </c>
      <c r="G74" s="23">
        <v>272770004</v>
      </c>
      <c r="I74" s="23">
        <v>272770004</v>
      </c>
      <c r="J74" s="23">
        <v>0</v>
      </c>
      <c r="K74" s="23">
        <v>272770004</v>
      </c>
      <c r="M74" s="23">
        <v>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C2BA2C32-86C6-4403-B814-15BD1E5175C9}">
      <formula1>Taxes</formula1>
    </dataValidation>
    <dataValidation type="list" allowBlank="1" showInputMessage="1" showErrorMessage="1" sqref="C75:C603" xr:uid="{D8C7F41A-22E5-45F0-9C33-26DF6D73DFF9}">
      <formula1>Compadjust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F00E-1490-458C-8AEB-50876220868E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21" x14ac:dyDescent="0.35">
      <c r="C1" s="7" t="s">
        <v>53</v>
      </c>
      <c r="E1" s="9" t="s">
        <v>50</v>
      </c>
      <c r="F1" s="9" t="s">
        <v>154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7729898434.7049999</v>
      </c>
      <c r="F8" s="20">
        <v>-42978882</v>
      </c>
      <c r="G8" s="20">
        <v>7686919552.7049999</v>
      </c>
      <c r="I8" s="20">
        <v>7967579711</v>
      </c>
      <c r="J8" s="20">
        <v>-297362781</v>
      </c>
      <c r="K8" s="20">
        <v>7670216930</v>
      </c>
      <c r="M8" s="20">
        <v>16702622.70500005</v>
      </c>
    </row>
    <row r="9" spans="2:13" x14ac:dyDescent="0.35">
      <c r="B9" s="26"/>
      <c r="C9" s="27" t="s">
        <v>69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5">
      <c r="B10" s="21">
        <v>3</v>
      </c>
      <c r="C10" s="29" t="s">
        <v>70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75</v>
      </c>
      <c r="E15" s="28">
        <v>423650988.00000018</v>
      </c>
      <c r="F15" s="28">
        <v>0</v>
      </c>
      <c r="G15" s="28">
        <v>423650988.00000018</v>
      </c>
      <c r="I15" s="28">
        <v>421861331</v>
      </c>
      <c r="J15" s="28">
        <v>0</v>
      </c>
      <c r="K15" s="28">
        <v>421861331</v>
      </c>
      <c r="M15" s="28">
        <v>1789657.0000001267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258262413.8573063</v>
      </c>
      <c r="F17" s="25">
        <v>0</v>
      </c>
      <c r="G17" s="25">
        <v>258262413.8573063</v>
      </c>
      <c r="I17" s="25">
        <v>257171419</v>
      </c>
      <c r="J17" s="25">
        <v>0</v>
      </c>
      <c r="K17" s="25">
        <v>257171419</v>
      </c>
      <c r="M17" s="25">
        <v>1090994.8573063016</v>
      </c>
    </row>
    <row r="18" spans="2:13" x14ac:dyDescent="0.35">
      <c r="B18" s="21">
        <v>10</v>
      </c>
      <c r="C18" s="29" t="s">
        <v>78</v>
      </c>
      <c r="E18" s="23">
        <v>100020575.70101431</v>
      </c>
      <c r="F18" s="23">
        <v>0</v>
      </c>
      <c r="G18" s="23">
        <v>100020575.70101431</v>
      </c>
      <c r="I18" s="23">
        <v>99598052</v>
      </c>
      <c r="J18" s="23">
        <v>0</v>
      </c>
      <c r="K18" s="23">
        <v>99598052</v>
      </c>
      <c r="M18" s="23">
        <v>422523.70101431012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65367998.441679515</v>
      </c>
      <c r="F21" s="25">
        <v>0</v>
      </c>
      <c r="G21" s="25">
        <v>65367998.441679515</v>
      </c>
      <c r="I21" s="25">
        <v>65091860</v>
      </c>
      <c r="J21" s="25">
        <v>0</v>
      </c>
      <c r="K21" s="25">
        <v>65091860</v>
      </c>
      <c r="M21" s="25">
        <v>276138.44167951494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0</v>
      </c>
      <c r="F25" s="28">
        <v>0</v>
      </c>
      <c r="G25" s="28">
        <v>0</v>
      </c>
      <c r="I25" s="28">
        <v>400000</v>
      </c>
      <c r="J25" s="28">
        <v>0</v>
      </c>
      <c r="K25" s="28">
        <v>400000</v>
      </c>
      <c r="M25" s="28">
        <v>-400000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400000</v>
      </c>
      <c r="J35" s="25">
        <v>0</v>
      </c>
      <c r="K35" s="25">
        <v>400000</v>
      </c>
      <c r="M35" s="25">
        <v>-400000</v>
      </c>
    </row>
    <row r="36" spans="2:13" x14ac:dyDescent="0.35">
      <c r="B36" s="26"/>
      <c r="C36" s="27" t="s">
        <v>94</v>
      </c>
      <c r="E36" s="28">
        <v>7211739701.7049999</v>
      </c>
      <c r="F36" s="28">
        <v>-42978882</v>
      </c>
      <c r="G36" s="28">
        <v>7168760819.7049999</v>
      </c>
      <c r="I36" s="28">
        <v>7472012027</v>
      </c>
      <c r="J36" s="28">
        <v>-297362781</v>
      </c>
      <c r="K36" s="28">
        <v>7174649246</v>
      </c>
      <c r="M36" s="28">
        <v>-5888426.2950000763</v>
      </c>
    </row>
    <row r="37" spans="2:13" x14ac:dyDescent="0.35">
      <c r="B37" s="31">
        <v>27</v>
      </c>
      <c r="C37" s="29" t="s">
        <v>95</v>
      </c>
      <c r="E37" s="23">
        <v>0</v>
      </c>
      <c r="F37" s="23">
        <v>0</v>
      </c>
      <c r="G37" s="23">
        <v>0</v>
      </c>
      <c r="I37" s="23">
        <v>0</v>
      </c>
      <c r="J37" s="23">
        <v>0</v>
      </c>
      <c r="K37" s="23">
        <v>0</v>
      </c>
      <c r="M37" s="23">
        <v>0</v>
      </c>
    </row>
    <row r="38" spans="2:13" x14ac:dyDescent="0.35">
      <c r="B38" s="32">
        <v>28</v>
      </c>
      <c r="C38" s="30" t="s">
        <v>96</v>
      </c>
      <c r="E38" s="25">
        <v>1664475581</v>
      </c>
      <c r="F38" s="25">
        <v>0</v>
      </c>
      <c r="G38" s="25">
        <v>1664475581</v>
      </c>
      <c r="I38" s="25">
        <v>1771960572</v>
      </c>
      <c r="J38" s="25">
        <v>-107484991</v>
      </c>
      <c r="K38" s="25">
        <v>1664475581</v>
      </c>
      <c r="M38" s="25">
        <v>0</v>
      </c>
    </row>
    <row r="39" spans="2:13" x14ac:dyDescent="0.35">
      <c r="B39" s="31">
        <v>29</v>
      </c>
      <c r="C39" s="29" t="s">
        <v>97</v>
      </c>
      <c r="E39" s="23">
        <v>2431242457</v>
      </c>
      <c r="F39" s="23">
        <v>2104729374</v>
      </c>
      <c r="G39" s="23">
        <v>4535971831</v>
      </c>
      <c r="I39" s="23">
        <v>0</v>
      </c>
      <c r="J39" s="23">
        <v>4535971831</v>
      </c>
      <c r="K39" s="23">
        <v>4535971831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0</v>
      </c>
      <c r="F40" s="25">
        <v>0</v>
      </c>
      <c r="G40" s="25">
        <v>0</v>
      </c>
      <c r="I40" s="25">
        <v>0</v>
      </c>
      <c r="J40" s="25">
        <v>0</v>
      </c>
      <c r="K40" s="25">
        <v>0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943797114</v>
      </c>
      <c r="F42" s="25">
        <v>0</v>
      </c>
      <c r="G42" s="25">
        <v>943797114</v>
      </c>
      <c r="I42" s="25">
        <v>5669646735</v>
      </c>
      <c r="J42" s="25">
        <v>-4725849621</v>
      </c>
      <c r="K42" s="25">
        <v>943797114</v>
      </c>
      <c r="M42" s="25">
        <v>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2172224549.7049999</v>
      </c>
      <c r="F44" s="25">
        <v>-2147708256</v>
      </c>
      <c r="G44" s="25">
        <v>24516293.704999924</v>
      </c>
      <c r="I44" s="25">
        <v>30404720</v>
      </c>
      <c r="J44" s="25">
        <v>0</v>
      </c>
      <c r="K44" s="25">
        <v>30404720</v>
      </c>
      <c r="M44" s="25">
        <v>-5888426.2950000763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0</v>
      </c>
      <c r="J45" s="23">
        <v>0</v>
      </c>
      <c r="K45" s="23">
        <v>0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0</v>
      </c>
      <c r="F49" s="23">
        <v>0</v>
      </c>
      <c r="G49" s="23">
        <v>0</v>
      </c>
      <c r="I49" s="23">
        <v>0</v>
      </c>
      <c r="J49" s="23">
        <v>0</v>
      </c>
      <c r="K49" s="23">
        <v>0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0</v>
      </c>
      <c r="J51" s="23">
        <v>0</v>
      </c>
      <c r="K51" s="23">
        <v>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21445826</v>
      </c>
      <c r="F53" s="28">
        <v>0</v>
      </c>
      <c r="G53" s="28">
        <v>21445826</v>
      </c>
      <c r="I53" s="28">
        <v>244434</v>
      </c>
      <c r="J53" s="28">
        <v>0</v>
      </c>
      <c r="K53" s="28">
        <v>244434</v>
      </c>
      <c r="M53" s="28">
        <v>21201392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21445826</v>
      </c>
      <c r="F57" s="25">
        <v>0</v>
      </c>
      <c r="G57" s="25">
        <v>21445826</v>
      </c>
      <c r="I57" s="25">
        <v>244434</v>
      </c>
      <c r="J57" s="25">
        <v>0</v>
      </c>
      <c r="K57" s="25">
        <v>244434</v>
      </c>
      <c r="M57" s="25">
        <v>21201392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0</v>
      </c>
      <c r="F62" s="28">
        <v>0</v>
      </c>
      <c r="G62" s="28">
        <v>0</v>
      </c>
      <c r="I62" s="28">
        <v>0</v>
      </c>
      <c r="J62" s="28">
        <v>0</v>
      </c>
      <c r="K62" s="28">
        <v>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0</v>
      </c>
      <c r="J66" s="28">
        <v>0</v>
      </c>
      <c r="K66" s="28">
        <v>0</v>
      </c>
      <c r="M66" s="28">
        <v>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0</v>
      </c>
      <c r="J68" s="25">
        <v>0</v>
      </c>
      <c r="K68" s="25">
        <v>0</v>
      </c>
      <c r="M68" s="25">
        <v>0</v>
      </c>
    </row>
    <row r="69" spans="2:13" x14ac:dyDescent="0.35">
      <c r="B69" s="26"/>
      <c r="C69" s="27" t="s">
        <v>125</v>
      </c>
      <c r="E69" s="28">
        <v>4588920</v>
      </c>
      <c r="F69" s="28">
        <v>0</v>
      </c>
      <c r="G69" s="28">
        <v>4588920</v>
      </c>
      <c r="I69" s="28">
        <v>4588920</v>
      </c>
      <c r="J69" s="28">
        <v>0</v>
      </c>
      <c r="K69" s="28">
        <v>4588920</v>
      </c>
      <c r="M69" s="28">
        <v>0</v>
      </c>
    </row>
    <row r="70" spans="2:13" x14ac:dyDescent="0.35">
      <c r="B70" s="31">
        <v>56</v>
      </c>
      <c r="C70" s="29" t="s">
        <v>126</v>
      </c>
      <c r="E70" s="23">
        <v>4588920</v>
      </c>
      <c r="F70" s="23">
        <v>0</v>
      </c>
      <c r="G70" s="23">
        <v>4588920</v>
      </c>
      <c r="I70" s="23">
        <v>4588920</v>
      </c>
      <c r="J70" s="23">
        <v>0</v>
      </c>
      <c r="K70" s="23">
        <v>4588920</v>
      </c>
      <c r="M70" s="23">
        <v>0</v>
      </c>
    </row>
    <row r="71" spans="2:13" x14ac:dyDescent="0.35">
      <c r="B71" s="26"/>
      <c r="C71" s="27" t="s">
        <v>127</v>
      </c>
      <c r="E71" s="28">
        <v>68472999</v>
      </c>
      <c r="F71" s="28">
        <v>0</v>
      </c>
      <c r="G71" s="28">
        <v>68472999</v>
      </c>
      <c r="I71" s="28">
        <v>68472999</v>
      </c>
      <c r="J71" s="28">
        <v>0</v>
      </c>
      <c r="K71" s="28">
        <v>68472999</v>
      </c>
      <c r="M71" s="28">
        <v>0</v>
      </c>
    </row>
    <row r="72" spans="2:13" x14ac:dyDescent="0.35">
      <c r="B72" s="32">
        <v>57</v>
      </c>
      <c r="C72" s="30" t="s">
        <v>128</v>
      </c>
      <c r="E72" s="25">
        <v>68472999</v>
      </c>
      <c r="F72" s="25">
        <v>0</v>
      </c>
      <c r="G72" s="25">
        <v>68472999</v>
      </c>
      <c r="I72" s="25">
        <v>68472999</v>
      </c>
      <c r="J72" s="25">
        <v>0</v>
      </c>
      <c r="K72" s="25">
        <v>68472999</v>
      </c>
      <c r="M72" s="25">
        <v>0</v>
      </c>
    </row>
    <row r="73" spans="2:13" x14ac:dyDescent="0.35">
      <c r="B73" s="26"/>
      <c r="C73" s="27" t="s">
        <v>129</v>
      </c>
      <c r="E73" s="28">
        <v>0</v>
      </c>
      <c r="F73" s="28">
        <v>0</v>
      </c>
      <c r="G73" s="28">
        <v>0</v>
      </c>
      <c r="H73" s="33">
        <v>808920</v>
      </c>
      <c r="I73" s="28">
        <v>0</v>
      </c>
      <c r="J73" s="28">
        <v>0</v>
      </c>
      <c r="K73" s="28">
        <v>0</v>
      </c>
      <c r="M73" s="28">
        <v>0</v>
      </c>
    </row>
    <row r="74" spans="2:13" x14ac:dyDescent="0.35">
      <c r="B74" s="31">
        <v>58</v>
      </c>
      <c r="C74" s="29" t="s">
        <v>130</v>
      </c>
      <c r="E74" s="23"/>
      <c r="F74" s="23">
        <v>0</v>
      </c>
      <c r="G74" s="23">
        <v>0</v>
      </c>
      <c r="I74" s="23">
        <v>0</v>
      </c>
      <c r="J74" s="23">
        <v>0</v>
      </c>
      <c r="K74" s="23">
        <v>0</v>
      </c>
      <c r="M74" s="23">
        <v>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81250981-44FE-47F9-A417-36ED52473A89}">
      <formula1>Taxes</formula1>
    </dataValidation>
    <dataValidation type="list" allowBlank="1" showInputMessage="1" showErrorMessage="1" sqref="C75:C603" xr:uid="{834C62DE-88E1-4421-A7DA-6A5A6847B74E}">
      <formula1>Compadjust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D60F-6A65-40FB-A9C4-FAA21E626610}">
  <dimension ref="B1:M605"/>
  <sheetViews>
    <sheetView showGridLines="0" zoomScale="80" zoomScaleNormal="80" workbookViewId="0">
      <selection activeCell="C14" sqref="C14"/>
    </sheetView>
  </sheetViews>
  <sheetFormatPr baseColWidth="10" defaultColWidth="12.6328125" defaultRowHeight="14.5" x14ac:dyDescent="0.35"/>
  <cols>
    <col min="2" max="2" width="6.6328125" style="6" customWidth="1"/>
    <col min="3" max="3" width="64.453125" style="38" customWidth="1"/>
    <col min="4" max="4" width="1" style="8" customWidth="1"/>
    <col min="5" max="5" width="17" style="8" customWidth="1"/>
    <col min="6" max="6" width="16.7265625" style="6" customWidth="1"/>
    <col min="7" max="7" width="16.7265625" style="8" customWidth="1"/>
    <col min="8" max="8" width="1" style="8" customWidth="1"/>
    <col min="9" max="9" width="16.7265625" style="8" customWidth="1"/>
    <col min="10" max="10" width="15.7265625" style="8" customWidth="1"/>
    <col min="11" max="11" width="16.7265625" style="8" customWidth="1"/>
    <col min="12" max="12" width="1" style="8" customWidth="1"/>
    <col min="13" max="13" width="16.26953125" style="8" customWidth="1"/>
  </cols>
  <sheetData>
    <row r="1" spans="2:13" ht="21" x14ac:dyDescent="0.35">
      <c r="C1" s="7" t="s">
        <v>53</v>
      </c>
      <c r="E1" s="9" t="s">
        <v>52</v>
      </c>
      <c r="F1" s="9">
        <v>6011291</v>
      </c>
      <c r="G1" s="10"/>
      <c r="J1" s="10" t="s">
        <v>55</v>
      </c>
      <c r="K1" s="10">
        <v>2020</v>
      </c>
    </row>
    <row r="2" spans="2:13" x14ac:dyDescent="0.35">
      <c r="C2" s="11"/>
      <c r="F2" s="8"/>
      <c r="I2" s="12" t="s">
        <v>56</v>
      </c>
      <c r="J2" s="12">
        <f>[1]Cours!$E$4</f>
        <v>585.96749999999997</v>
      </c>
    </row>
    <row r="3" spans="2:13" x14ac:dyDescent="0.35">
      <c r="B3" s="13" t="s">
        <v>57</v>
      </c>
      <c r="C3" s="14" t="s">
        <v>58</v>
      </c>
      <c r="E3" s="15" t="s">
        <v>59</v>
      </c>
      <c r="F3" s="15"/>
      <c r="G3" s="15"/>
      <c r="I3" s="15" t="s">
        <v>60</v>
      </c>
      <c r="J3" s="15"/>
      <c r="K3" s="15"/>
      <c r="M3" s="16" t="s">
        <v>61</v>
      </c>
    </row>
    <row r="4" spans="2:13" x14ac:dyDescent="0.35">
      <c r="B4" s="13"/>
      <c r="C4" s="14"/>
      <c r="E4" s="17" t="s">
        <v>62</v>
      </c>
      <c r="F4" s="17" t="s">
        <v>63</v>
      </c>
      <c r="G4" s="17" t="s">
        <v>64</v>
      </c>
      <c r="I4" s="17" t="s">
        <v>62</v>
      </c>
      <c r="J4" s="17" t="s">
        <v>63</v>
      </c>
      <c r="K4" s="17" t="s">
        <v>64</v>
      </c>
      <c r="M4" s="16"/>
    </row>
    <row r="5" spans="2:13" x14ac:dyDescent="0.35">
      <c r="B5" s="18" t="s">
        <v>65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66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67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68</v>
      </c>
      <c r="C8" s="19"/>
      <c r="E8" s="20">
        <v>2085854563.8850574</v>
      </c>
      <c r="F8" s="20">
        <v>0</v>
      </c>
      <c r="G8" s="20">
        <v>2085854563.8850574</v>
      </c>
      <c r="I8" s="20">
        <v>333544752.88505751</v>
      </c>
      <c r="J8" s="20">
        <v>1752340181</v>
      </c>
      <c r="K8" s="20">
        <v>2085884933.8850574</v>
      </c>
      <c r="M8" s="20">
        <v>-30370</v>
      </c>
    </row>
    <row r="9" spans="2:13" x14ac:dyDescent="0.35">
      <c r="B9" s="26"/>
      <c r="C9" s="27" t="s">
        <v>69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5">
      <c r="B10" s="21">
        <v>3</v>
      </c>
      <c r="C10" s="29" t="s">
        <v>70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71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72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73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74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75</v>
      </c>
      <c r="E15" s="28">
        <v>292290229.88505751</v>
      </c>
      <c r="F15" s="28">
        <v>0</v>
      </c>
      <c r="G15" s="28">
        <v>292290229.88505751</v>
      </c>
      <c r="I15" s="28">
        <v>292290229.88505751</v>
      </c>
      <c r="J15" s="28">
        <v>0</v>
      </c>
      <c r="K15" s="28">
        <v>292290229.88505751</v>
      </c>
      <c r="M15" s="28">
        <v>0</v>
      </c>
    </row>
    <row r="16" spans="2:13" x14ac:dyDescent="0.35">
      <c r="B16" s="21">
        <v>8</v>
      </c>
      <c r="C16" s="29" t="s">
        <v>76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77</v>
      </c>
      <c r="E17" s="25">
        <v>272988505.74712646</v>
      </c>
      <c r="F17" s="25">
        <v>0</v>
      </c>
      <c r="G17" s="25">
        <v>272988505.74712646</v>
      </c>
      <c r="I17" s="25">
        <v>272988505.74712646</v>
      </c>
      <c r="J17" s="25">
        <v>0</v>
      </c>
      <c r="K17" s="25">
        <v>272988505.74712646</v>
      </c>
      <c r="M17" s="25">
        <v>0</v>
      </c>
    </row>
    <row r="18" spans="2:13" x14ac:dyDescent="0.35">
      <c r="B18" s="21">
        <v>10</v>
      </c>
      <c r="C18" s="29" t="s">
        <v>78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79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80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81</v>
      </c>
      <c r="E21" s="25">
        <v>19301724.137931034</v>
      </c>
      <c r="F21" s="25">
        <v>0</v>
      </c>
      <c r="G21" s="25">
        <v>19301724.137931034</v>
      </c>
      <c r="I21" s="25">
        <v>19301724.137931034</v>
      </c>
      <c r="J21" s="25">
        <v>0</v>
      </c>
      <c r="K21" s="25">
        <v>19301724.137931034</v>
      </c>
      <c r="M21" s="25">
        <v>0</v>
      </c>
    </row>
    <row r="22" spans="2:13" x14ac:dyDescent="0.35">
      <c r="B22" s="21">
        <v>14</v>
      </c>
      <c r="C22" s="29" t="s">
        <v>82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83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1">
        <f>+[2]Taxes!A19</f>
        <v>16</v>
      </c>
      <c r="C24" s="29" t="str">
        <f>+[2]Taxes!B19</f>
        <v>Achat de données sismiques</v>
      </c>
      <c r="E24" s="23">
        <v>0</v>
      </c>
      <c r="F24" s="23">
        <v>0</v>
      </c>
      <c r="G24" s="23">
        <v>0</v>
      </c>
      <c r="I24" s="23">
        <v>0</v>
      </c>
      <c r="J24" s="23">
        <v>0</v>
      </c>
      <c r="K24" s="23">
        <v>0</v>
      </c>
      <c r="M24" s="23">
        <v>0</v>
      </c>
    </row>
    <row r="25" spans="2:13" x14ac:dyDescent="0.35">
      <c r="B25" s="26"/>
      <c r="C25" s="27" t="s">
        <v>84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</row>
    <row r="26" spans="2:13" x14ac:dyDescent="0.35">
      <c r="B26" s="31">
        <v>17</v>
      </c>
      <c r="C26" s="29" t="s">
        <v>79</v>
      </c>
      <c r="E26" s="23">
        <v>0</v>
      </c>
      <c r="F26" s="23">
        <v>0</v>
      </c>
      <c r="G26" s="23">
        <v>0</v>
      </c>
      <c r="I26" s="23">
        <v>0</v>
      </c>
      <c r="J26" s="23">
        <v>0</v>
      </c>
      <c r="K26" s="23">
        <v>0</v>
      </c>
      <c r="M26" s="23">
        <v>0</v>
      </c>
    </row>
    <row r="27" spans="2:13" x14ac:dyDescent="0.35">
      <c r="B27" s="32">
        <v>18</v>
      </c>
      <c r="C27" s="30" t="s">
        <v>85</v>
      </c>
      <c r="E27" s="25">
        <v>0</v>
      </c>
      <c r="F27" s="25">
        <v>0</v>
      </c>
      <c r="G27" s="25">
        <v>0</v>
      </c>
      <c r="I27" s="25">
        <v>0</v>
      </c>
      <c r="J27" s="25">
        <v>0</v>
      </c>
      <c r="K27" s="25">
        <v>0</v>
      </c>
      <c r="M27" s="25">
        <v>0</v>
      </c>
    </row>
    <row r="28" spans="2:13" x14ac:dyDescent="0.35">
      <c r="B28" s="31">
        <v>19</v>
      </c>
      <c r="C28" s="29" t="s">
        <v>86</v>
      </c>
      <c r="E28" s="23">
        <v>0</v>
      </c>
      <c r="F28" s="23">
        <v>0</v>
      </c>
      <c r="G28" s="23">
        <v>0</v>
      </c>
      <c r="I28" s="23">
        <v>0</v>
      </c>
      <c r="J28" s="23">
        <v>0</v>
      </c>
      <c r="K28" s="23">
        <v>0</v>
      </c>
      <c r="M28" s="23">
        <v>0</v>
      </c>
    </row>
    <row r="29" spans="2:13" x14ac:dyDescent="0.35">
      <c r="B29" s="32">
        <v>20</v>
      </c>
      <c r="C29" s="30" t="s">
        <v>87</v>
      </c>
      <c r="E29" s="25">
        <v>0</v>
      </c>
      <c r="F29" s="25">
        <v>0</v>
      </c>
      <c r="G29" s="25">
        <v>0</v>
      </c>
      <c r="I29" s="25">
        <v>0</v>
      </c>
      <c r="J29" s="25">
        <v>0</v>
      </c>
      <c r="K29" s="25">
        <v>0</v>
      </c>
      <c r="M29" s="25">
        <v>0</v>
      </c>
    </row>
    <row r="30" spans="2:13" x14ac:dyDescent="0.35">
      <c r="B30" s="31">
        <v>21</v>
      </c>
      <c r="C30" s="29" t="s">
        <v>88</v>
      </c>
      <c r="E30" s="23">
        <v>0</v>
      </c>
      <c r="F30" s="23">
        <v>0</v>
      </c>
      <c r="G30" s="23">
        <v>0</v>
      </c>
      <c r="I30" s="23">
        <v>0</v>
      </c>
      <c r="J30" s="23">
        <v>0</v>
      </c>
      <c r="K30" s="23">
        <v>0</v>
      </c>
      <c r="M30" s="23">
        <v>0</v>
      </c>
    </row>
    <row r="31" spans="2:13" x14ac:dyDescent="0.35">
      <c r="B31" s="32">
        <v>22</v>
      </c>
      <c r="C31" s="30" t="s">
        <v>89</v>
      </c>
      <c r="E31" s="25">
        <v>0</v>
      </c>
      <c r="F31" s="25">
        <v>0</v>
      </c>
      <c r="G31" s="25">
        <v>0</v>
      </c>
      <c r="I31" s="25">
        <v>0</v>
      </c>
      <c r="J31" s="25">
        <v>0</v>
      </c>
      <c r="K31" s="25">
        <v>0</v>
      </c>
      <c r="M31" s="25">
        <v>0</v>
      </c>
    </row>
    <row r="32" spans="2:13" x14ac:dyDescent="0.35">
      <c r="B32" s="31">
        <v>23</v>
      </c>
      <c r="C32" s="29" t="s">
        <v>90</v>
      </c>
      <c r="E32" s="23">
        <v>0</v>
      </c>
      <c r="F32" s="23">
        <v>0</v>
      </c>
      <c r="G32" s="23">
        <v>0</v>
      </c>
      <c r="I32" s="23">
        <v>0</v>
      </c>
      <c r="J32" s="23">
        <v>0</v>
      </c>
      <c r="K32" s="23">
        <v>0</v>
      </c>
      <c r="M32" s="23">
        <v>0</v>
      </c>
    </row>
    <row r="33" spans="2:13" x14ac:dyDescent="0.35">
      <c r="B33" s="32">
        <v>24</v>
      </c>
      <c r="C33" s="30" t="s">
        <v>91</v>
      </c>
      <c r="E33" s="25">
        <v>0</v>
      </c>
      <c r="F33" s="25">
        <v>0</v>
      </c>
      <c r="G33" s="25">
        <v>0</v>
      </c>
      <c r="I33" s="25">
        <v>0</v>
      </c>
      <c r="J33" s="25">
        <v>0</v>
      </c>
      <c r="K33" s="25">
        <v>0</v>
      </c>
      <c r="M33" s="25">
        <v>0</v>
      </c>
    </row>
    <row r="34" spans="2:13" x14ac:dyDescent="0.35">
      <c r="B34" s="31">
        <v>25</v>
      </c>
      <c r="C34" s="29" t="s">
        <v>92</v>
      </c>
      <c r="E34" s="23">
        <v>0</v>
      </c>
      <c r="F34" s="23">
        <v>0</v>
      </c>
      <c r="G34" s="23">
        <v>0</v>
      </c>
      <c r="I34" s="23">
        <v>0</v>
      </c>
      <c r="J34" s="23">
        <v>0</v>
      </c>
      <c r="K34" s="23">
        <v>0</v>
      </c>
      <c r="M34" s="23">
        <v>0</v>
      </c>
    </row>
    <row r="35" spans="2:13" x14ac:dyDescent="0.35">
      <c r="B35" s="32">
        <v>26</v>
      </c>
      <c r="C35" s="30" t="s">
        <v>93</v>
      </c>
      <c r="E35" s="25">
        <v>0</v>
      </c>
      <c r="F35" s="25">
        <v>0</v>
      </c>
      <c r="G35" s="25">
        <v>0</v>
      </c>
      <c r="I35" s="25">
        <v>0</v>
      </c>
      <c r="J35" s="25">
        <v>0</v>
      </c>
      <c r="K35" s="25">
        <v>0</v>
      </c>
      <c r="M35" s="25">
        <v>0</v>
      </c>
    </row>
    <row r="36" spans="2:13" x14ac:dyDescent="0.35">
      <c r="B36" s="26"/>
      <c r="C36" s="27" t="s">
        <v>94</v>
      </c>
      <c r="E36" s="28">
        <v>1752430771</v>
      </c>
      <c r="F36" s="28">
        <v>0</v>
      </c>
      <c r="G36" s="28">
        <v>1752430771</v>
      </c>
      <c r="I36" s="28">
        <v>0</v>
      </c>
      <c r="J36" s="28">
        <v>1752340181</v>
      </c>
      <c r="K36" s="28">
        <v>1752340181</v>
      </c>
      <c r="M36" s="28">
        <v>90590</v>
      </c>
    </row>
    <row r="37" spans="2:13" x14ac:dyDescent="0.35">
      <c r="B37" s="31">
        <v>27</v>
      </c>
      <c r="C37" s="29" t="s">
        <v>95</v>
      </c>
      <c r="E37" s="23">
        <v>0</v>
      </c>
      <c r="F37" s="23">
        <v>0</v>
      </c>
      <c r="G37" s="23">
        <v>0</v>
      </c>
      <c r="I37" s="23">
        <v>0</v>
      </c>
      <c r="J37" s="23">
        <v>0</v>
      </c>
      <c r="K37" s="23">
        <v>0</v>
      </c>
      <c r="M37" s="23">
        <v>0</v>
      </c>
    </row>
    <row r="38" spans="2:13" x14ac:dyDescent="0.35">
      <c r="B38" s="32">
        <v>28</v>
      </c>
      <c r="C38" s="30" t="s">
        <v>96</v>
      </c>
      <c r="E38" s="25">
        <v>398368860</v>
      </c>
      <c r="F38" s="25">
        <v>0</v>
      </c>
      <c r="G38" s="25">
        <v>398368860</v>
      </c>
      <c r="I38" s="25">
        <v>0</v>
      </c>
      <c r="J38" s="25">
        <v>398368860</v>
      </c>
      <c r="K38" s="25">
        <v>398368860</v>
      </c>
      <c r="M38" s="25">
        <v>0</v>
      </c>
    </row>
    <row r="39" spans="2:13" x14ac:dyDescent="0.35">
      <c r="B39" s="31">
        <v>29</v>
      </c>
      <c r="C39" s="29" t="s">
        <v>97</v>
      </c>
      <c r="E39" s="23">
        <v>0</v>
      </c>
      <c r="F39" s="23">
        <v>0</v>
      </c>
      <c r="G39" s="23">
        <v>0</v>
      </c>
      <c r="I39" s="23">
        <v>0</v>
      </c>
      <c r="J39" s="23">
        <v>0</v>
      </c>
      <c r="K39" s="23">
        <v>0</v>
      </c>
      <c r="M39" s="23">
        <v>0</v>
      </c>
    </row>
    <row r="40" spans="2:13" x14ac:dyDescent="0.35">
      <c r="B40" s="32">
        <v>30</v>
      </c>
      <c r="C40" s="30" t="s">
        <v>98</v>
      </c>
      <c r="E40" s="25">
        <v>0</v>
      </c>
      <c r="F40" s="25">
        <v>0</v>
      </c>
      <c r="G40" s="25">
        <v>0</v>
      </c>
      <c r="I40" s="25">
        <v>0</v>
      </c>
      <c r="J40" s="25">
        <v>0</v>
      </c>
      <c r="K40" s="25">
        <v>0</v>
      </c>
      <c r="M40" s="25">
        <v>0</v>
      </c>
    </row>
    <row r="41" spans="2:13" x14ac:dyDescent="0.35">
      <c r="B41" s="31">
        <v>31</v>
      </c>
      <c r="C41" s="29" t="s">
        <v>99</v>
      </c>
      <c r="E41" s="23">
        <v>0</v>
      </c>
      <c r="F41" s="23">
        <v>0</v>
      </c>
      <c r="G41" s="23">
        <v>0</v>
      </c>
      <c r="I41" s="23">
        <v>0</v>
      </c>
      <c r="J41" s="23">
        <v>0</v>
      </c>
      <c r="K41" s="23">
        <v>0</v>
      </c>
      <c r="M41" s="23">
        <v>0</v>
      </c>
    </row>
    <row r="42" spans="2:13" x14ac:dyDescent="0.35">
      <c r="B42" s="32">
        <v>32</v>
      </c>
      <c r="C42" s="30" t="s">
        <v>100</v>
      </c>
      <c r="E42" s="25">
        <v>1353971321</v>
      </c>
      <c r="F42" s="25">
        <v>0</v>
      </c>
      <c r="G42" s="25">
        <v>1353971321</v>
      </c>
      <c r="I42" s="25">
        <v>0</v>
      </c>
      <c r="J42" s="25">
        <v>1353971321</v>
      </c>
      <c r="K42" s="25">
        <v>1353971321</v>
      </c>
      <c r="M42" s="25">
        <v>0</v>
      </c>
    </row>
    <row r="43" spans="2:13" x14ac:dyDescent="0.35">
      <c r="B43" s="31">
        <v>33</v>
      </c>
      <c r="C43" s="29" t="s">
        <v>101</v>
      </c>
      <c r="E43" s="23">
        <v>0</v>
      </c>
      <c r="F43" s="23">
        <v>0</v>
      </c>
      <c r="G43" s="23">
        <v>0</v>
      </c>
      <c r="I43" s="23">
        <v>0</v>
      </c>
      <c r="J43" s="23">
        <v>0</v>
      </c>
      <c r="K43" s="23">
        <v>0</v>
      </c>
      <c r="M43" s="23">
        <v>0</v>
      </c>
    </row>
    <row r="44" spans="2:13" x14ac:dyDescent="0.35">
      <c r="B44" s="32">
        <v>34</v>
      </c>
      <c r="C44" s="30" t="s">
        <v>102</v>
      </c>
      <c r="E44" s="25">
        <v>90590</v>
      </c>
      <c r="F44" s="25">
        <v>0</v>
      </c>
      <c r="G44" s="25">
        <v>90590</v>
      </c>
      <c r="I44" s="25">
        <v>0</v>
      </c>
      <c r="J44" s="25">
        <v>0</v>
      </c>
      <c r="K44" s="25">
        <v>0</v>
      </c>
      <c r="M44" s="25">
        <v>90590</v>
      </c>
    </row>
    <row r="45" spans="2:13" x14ac:dyDescent="0.35">
      <c r="B45" s="31">
        <v>35</v>
      </c>
      <c r="C45" s="29" t="s">
        <v>103</v>
      </c>
      <c r="E45" s="23">
        <v>0</v>
      </c>
      <c r="F45" s="23">
        <v>0</v>
      </c>
      <c r="G45" s="23">
        <v>0</v>
      </c>
      <c r="I45" s="23">
        <v>0</v>
      </c>
      <c r="J45" s="23">
        <v>0</v>
      </c>
      <c r="K45" s="23">
        <v>0</v>
      </c>
      <c r="M45" s="23">
        <v>0</v>
      </c>
    </row>
    <row r="46" spans="2:13" x14ac:dyDescent="0.35">
      <c r="B46" s="32">
        <v>36</v>
      </c>
      <c r="C46" s="30" t="s">
        <v>104</v>
      </c>
      <c r="E46" s="25">
        <v>0</v>
      </c>
      <c r="F46" s="25">
        <v>0</v>
      </c>
      <c r="G46" s="25">
        <v>0</v>
      </c>
      <c r="I46" s="25">
        <v>0</v>
      </c>
      <c r="J46" s="25">
        <v>0</v>
      </c>
      <c r="K46" s="25">
        <v>0</v>
      </c>
      <c r="M46" s="25">
        <v>0</v>
      </c>
    </row>
    <row r="47" spans="2:13" x14ac:dyDescent="0.35">
      <c r="B47" s="31">
        <v>37</v>
      </c>
      <c r="C47" s="29" t="s">
        <v>105</v>
      </c>
      <c r="E47" s="23">
        <v>0</v>
      </c>
      <c r="F47" s="23">
        <v>0</v>
      </c>
      <c r="G47" s="23">
        <v>0</v>
      </c>
      <c r="I47" s="23">
        <v>0</v>
      </c>
      <c r="J47" s="23">
        <v>0</v>
      </c>
      <c r="K47" s="23">
        <v>0</v>
      </c>
      <c r="M47" s="23">
        <v>0</v>
      </c>
    </row>
    <row r="48" spans="2:13" x14ac:dyDescent="0.35">
      <c r="B48" s="32">
        <v>38</v>
      </c>
      <c r="C48" s="30" t="s">
        <v>106</v>
      </c>
      <c r="E48" s="25">
        <v>0</v>
      </c>
      <c r="F48" s="25">
        <v>0</v>
      </c>
      <c r="G48" s="25">
        <v>0</v>
      </c>
      <c r="I48" s="25">
        <v>0</v>
      </c>
      <c r="J48" s="25">
        <v>0</v>
      </c>
      <c r="K48" s="25">
        <v>0</v>
      </c>
      <c r="M48" s="25">
        <v>0</v>
      </c>
    </row>
    <row r="49" spans="2:13" x14ac:dyDescent="0.35">
      <c r="B49" s="31">
        <v>39</v>
      </c>
      <c r="C49" s="29" t="s">
        <v>107</v>
      </c>
      <c r="E49" s="23">
        <v>0</v>
      </c>
      <c r="F49" s="23">
        <v>0</v>
      </c>
      <c r="G49" s="23">
        <v>0</v>
      </c>
      <c r="I49" s="23">
        <v>0</v>
      </c>
      <c r="J49" s="23">
        <v>0</v>
      </c>
      <c r="K49" s="23">
        <v>0</v>
      </c>
      <c r="M49" s="23">
        <v>0</v>
      </c>
    </row>
    <row r="50" spans="2:13" x14ac:dyDescent="0.35">
      <c r="B50" s="32">
        <v>40</v>
      </c>
      <c r="C50" s="30" t="s">
        <v>108</v>
      </c>
      <c r="E50" s="25">
        <v>0</v>
      </c>
      <c r="F50" s="25">
        <v>0</v>
      </c>
      <c r="G50" s="25">
        <v>0</v>
      </c>
      <c r="I50" s="25">
        <v>0</v>
      </c>
      <c r="J50" s="25">
        <v>0</v>
      </c>
      <c r="K50" s="25">
        <v>0</v>
      </c>
      <c r="M50" s="25">
        <v>0</v>
      </c>
    </row>
    <row r="51" spans="2:13" x14ac:dyDescent="0.35">
      <c r="B51" s="31">
        <v>41</v>
      </c>
      <c r="C51" s="29" t="s">
        <v>109</v>
      </c>
      <c r="E51" s="23">
        <v>0</v>
      </c>
      <c r="F51" s="23">
        <v>0</v>
      </c>
      <c r="G51" s="23">
        <v>0</v>
      </c>
      <c r="I51" s="23">
        <v>0</v>
      </c>
      <c r="J51" s="23">
        <v>0</v>
      </c>
      <c r="K51" s="23">
        <v>0</v>
      </c>
      <c r="M51" s="23">
        <v>0</v>
      </c>
    </row>
    <row r="52" spans="2:13" x14ac:dyDescent="0.35">
      <c r="B52" s="32">
        <f>+[2]Taxes!A47</f>
        <v>42</v>
      </c>
      <c r="C52" s="30" t="str">
        <f>+[2]Taxes!B47</f>
        <v>Taxe sur le ciment</v>
      </c>
      <c r="E52" s="25">
        <v>0</v>
      </c>
      <c r="F52" s="25">
        <v>0</v>
      </c>
      <c r="G52" s="25">
        <v>0</v>
      </c>
      <c r="I52" s="25">
        <v>0</v>
      </c>
      <c r="J52" s="25">
        <v>0</v>
      </c>
      <c r="K52" s="25">
        <v>0</v>
      </c>
      <c r="M52" s="25">
        <v>0</v>
      </c>
    </row>
    <row r="53" spans="2:13" x14ac:dyDescent="0.35">
      <c r="B53" s="26"/>
      <c r="C53" s="27" t="s">
        <v>110</v>
      </c>
      <c r="E53" s="28">
        <v>29223575</v>
      </c>
      <c r="F53" s="28">
        <v>0</v>
      </c>
      <c r="G53" s="28">
        <v>29223575</v>
      </c>
      <c r="I53" s="28">
        <v>29223575</v>
      </c>
      <c r="J53" s="28">
        <v>0</v>
      </c>
      <c r="K53" s="28">
        <v>29223575</v>
      </c>
      <c r="M53" s="28">
        <v>0</v>
      </c>
    </row>
    <row r="54" spans="2:13" x14ac:dyDescent="0.35">
      <c r="B54" s="31">
        <v>43</v>
      </c>
      <c r="C54" s="29" t="s">
        <v>111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44</v>
      </c>
      <c r="C55" s="30" t="s">
        <v>112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45</v>
      </c>
      <c r="C56" s="29" t="s">
        <v>113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46</v>
      </c>
      <c r="C57" s="30" t="s">
        <v>114</v>
      </c>
      <c r="E57" s="25">
        <v>29223575</v>
      </c>
      <c r="F57" s="25">
        <v>0</v>
      </c>
      <c r="G57" s="25">
        <v>29223575</v>
      </c>
      <c r="I57" s="25">
        <v>29223575</v>
      </c>
      <c r="J57" s="25">
        <v>0</v>
      </c>
      <c r="K57" s="25">
        <v>29223575</v>
      </c>
      <c r="M57" s="25">
        <v>0</v>
      </c>
    </row>
    <row r="58" spans="2:13" x14ac:dyDescent="0.35">
      <c r="B58" s="31">
        <v>47</v>
      </c>
      <c r="C58" s="29" t="s">
        <v>115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48</v>
      </c>
      <c r="C59" s="30" t="s">
        <v>116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31">
        <v>49</v>
      </c>
      <c r="C60" s="29" t="s">
        <v>117</v>
      </c>
      <c r="E60" s="23">
        <v>0</v>
      </c>
      <c r="F60" s="23">
        <v>0</v>
      </c>
      <c r="G60" s="23">
        <v>0</v>
      </c>
      <c r="I60" s="23">
        <v>0</v>
      </c>
      <c r="J60" s="23">
        <v>0</v>
      </c>
      <c r="K60" s="23">
        <v>0</v>
      </c>
      <c r="M60" s="23">
        <v>0</v>
      </c>
    </row>
    <row r="61" spans="2:13" x14ac:dyDescent="0.35">
      <c r="B61" s="32">
        <v>50</v>
      </c>
      <c r="C61" s="30" t="s">
        <v>118</v>
      </c>
      <c r="E61" s="25">
        <v>0</v>
      </c>
      <c r="F61" s="25">
        <v>0</v>
      </c>
      <c r="G61" s="25">
        <v>0</v>
      </c>
      <c r="I61" s="25">
        <v>0</v>
      </c>
      <c r="J61" s="25">
        <v>0</v>
      </c>
      <c r="K61" s="25">
        <v>0</v>
      </c>
      <c r="M61" s="25">
        <v>0</v>
      </c>
    </row>
    <row r="62" spans="2:13" x14ac:dyDescent="0.35">
      <c r="B62" s="26"/>
      <c r="C62" s="27" t="s">
        <v>119</v>
      </c>
      <c r="E62" s="28">
        <v>0</v>
      </c>
      <c r="F62" s="28">
        <v>0</v>
      </c>
      <c r="G62" s="28">
        <v>0</v>
      </c>
      <c r="I62" s="28">
        <v>0</v>
      </c>
      <c r="J62" s="28">
        <v>0</v>
      </c>
      <c r="K62" s="28">
        <v>0</v>
      </c>
      <c r="M62" s="28">
        <v>0</v>
      </c>
    </row>
    <row r="63" spans="2:13" x14ac:dyDescent="0.35">
      <c r="B63" s="31">
        <v>51</v>
      </c>
      <c r="C63" s="29" t="s">
        <v>120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32">
        <v>52</v>
      </c>
      <c r="C64" s="30" t="s">
        <v>121</v>
      </c>
      <c r="E64" s="25">
        <v>0</v>
      </c>
      <c r="F64" s="25">
        <v>0</v>
      </c>
      <c r="G64" s="25">
        <v>0</v>
      </c>
      <c r="I64" s="25">
        <v>0</v>
      </c>
      <c r="J64" s="25">
        <v>0</v>
      </c>
      <c r="K64" s="25">
        <v>0</v>
      </c>
      <c r="M64" s="25">
        <v>0</v>
      </c>
    </row>
    <row r="65" spans="2:13" x14ac:dyDescent="0.35">
      <c r="B65" s="31">
        <v>53</v>
      </c>
      <c r="C65" s="29" t="s">
        <v>122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26"/>
      <c r="C66" s="27" t="s">
        <v>123</v>
      </c>
      <c r="E66" s="28">
        <v>0</v>
      </c>
      <c r="F66" s="28">
        <v>0</v>
      </c>
      <c r="G66" s="28">
        <v>0</v>
      </c>
      <c r="I66" s="28">
        <v>0</v>
      </c>
      <c r="J66" s="28">
        <v>0</v>
      </c>
      <c r="K66" s="28">
        <v>0</v>
      </c>
      <c r="M66" s="28">
        <v>0</v>
      </c>
    </row>
    <row r="67" spans="2:13" x14ac:dyDescent="0.35">
      <c r="B67" s="31">
        <v>54</v>
      </c>
      <c r="C67" s="29" t="s">
        <v>124</v>
      </c>
      <c r="E67" s="23">
        <v>0</v>
      </c>
      <c r="F67" s="23">
        <v>0</v>
      </c>
      <c r="G67" s="23">
        <v>0</v>
      </c>
      <c r="I67" s="23">
        <v>0</v>
      </c>
      <c r="J67" s="23">
        <v>0</v>
      </c>
      <c r="K67" s="23">
        <v>0</v>
      </c>
      <c r="M67" s="23">
        <v>0</v>
      </c>
    </row>
    <row r="68" spans="2:13" x14ac:dyDescent="0.35">
      <c r="B68" s="32">
        <v>55</v>
      </c>
      <c r="C68" s="30" t="s">
        <v>122</v>
      </c>
      <c r="E68" s="25">
        <v>0</v>
      </c>
      <c r="F68" s="25">
        <v>0</v>
      </c>
      <c r="G68" s="25">
        <v>0</v>
      </c>
      <c r="I68" s="25">
        <v>0</v>
      </c>
      <c r="J68" s="25">
        <v>0</v>
      </c>
      <c r="K68" s="25">
        <v>0</v>
      </c>
      <c r="M68" s="25">
        <v>0</v>
      </c>
    </row>
    <row r="69" spans="2:13" x14ac:dyDescent="0.35">
      <c r="B69" s="26"/>
      <c r="C69" s="27" t="s">
        <v>125</v>
      </c>
      <c r="E69" s="28">
        <v>735588</v>
      </c>
      <c r="F69" s="28">
        <v>0</v>
      </c>
      <c r="G69" s="28">
        <v>735588</v>
      </c>
      <c r="I69" s="28">
        <v>856548</v>
      </c>
      <c r="J69" s="28">
        <v>0</v>
      </c>
      <c r="K69" s="28">
        <v>856548</v>
      </c>
      <c r="M69" s="28">
        <v>-120960</v>
      </c>
    </row>
    <row r="70" spans="2:13" x14ac:dyDescent="0.35">
      <c r="B70" s="31">
        <v>56</v>
      </c>
      <c r="C70" s="29" t="s">
        <v>126</v>
      </c>
      <c r="E70" s="23">
        <v>735588</v>
      </c>
      <c r="F70" s="23">
        <v>0</v>
      </c>
      <c r="G70" s="23">
        <v>735588</v>
      </c>
      <c r="I70" s="23">
        <v>856548</v>
      </c>
      <c r="J70" s="23">
        <v>0</v>
      </c>
      <c r="K70" s="23">
        <v>856548</v>
      </c>
      <c r="M70" s="23">
        <v>-120960</v>
      </c>
    </row>
    <row r="71" spans="2:13" x14ac:dyDescent="0.35">
      <c r="B71" s="26"/>
      <c r="C71" s="27" t="s">
        <v>127</v>
      </c>
      <c r="E71" s="28">
        <v>11174400</v>
      </c>
      <c r="F71" s="28">
        <v>0</v>
      </c>
      <c r="G71" s="28">
        <v>11174400</v>
      </c>
      <c r="I71" s="28">
        <v>11174400</v>
      </c>
      <c r="J71" s="28">
        <v>0</v>
      </c>
      <c r="K71" s="28">
        <v>11174400</v>
      </c>
      <c r="M71" s="28">
        <v>0</v>
      </c>
    </row>
    <row r="72" spans="2:13" x14ac:dyDescent="0.35">
      <c r="B72" s="32">
        <v>57</v>
      </c>
      <c r="C72" s="30" t="s">
        <v>128</v>
      </c>
      <c r="E72" s="25">
        <v>11174400</v>
      </c>
      <c r="F72" s="25">
        <v>0</v>
      </c>
      <c r="G72" s="25">
        <v>11174400</v>
      </c>
      <c r="I72" s="25">
        <v>11174400</v>
      </c>
      <c r="J72" s="25">
        <v>0</v>
      </c>
      <c r="K72" s="25">
        <v>11174400</v>
      </c>
      <c r="M72" s="25">
        <v>0</v>
      </c>
    </row>
    <row r="73" spans="2:13" x14ac:dyDescent="0.35">
      <c r="B73" s="26"/>
      <c r="C73" s="27" t="s">
        <v>129</v>
      </c>
      <c r="E73" s="28">
        <v>0</v>
      </c>
      <c r="F73" s="28">
        <v>0</v>
      </c>
      <c r="G73" s="28">
        <v>0</v>
      </c>
      <c r="H73" s="33">
        <v>808920</v>
      </c>
      <c r="I73" s="28">
        <v>0</v>
      </c>
      <c r="J73" s="28">
        <v>0</v>
      </c>
      <c r="K73" s="28">
        <v>0</v>
      </c>
      <c r="M73" s="28">
        <v>0</v>
      </c>
    </row>
    <row r="74" spans="2:13" x14ac:dyDescent="0.35">
      <c r="B74" s="31">
        <v>58</v>
      </c>
      <c r="C74" s="29" t="s">
        <v>130</v>
      </c>
      <c r="E74" s="23"/>
      <c r="F74" s="23">
        <v>0</v>
      </c>
      <c r="G74" s="23">
        <v>0</v>
      </c>
      <c r="I74" s="23">
        <v>0</v>
      </c>
      <c r="J74" s="23">
        <v>0</v>
      </c>
      <c r="K74" s="23">
        <v>0</v>
      </c>
      <c r="M74" s="23">
        <v>0</v>
      </c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  <c r="J601" s="24"/>
      <c r="K601" s="24"/>
      <c r="L601" s="38"/>
    </row>
    <row r="602" spans="2:12" x14ac:dyDescent="0.35">
      <c r="B602" s="24"/>
      <c r="E602" s="39"/>
      <c r="F602" s="40"/>
      <c r="G602" s="39"/>
      <c r="J602" s="24"/>
      <c r="K602" s="24"/>
      <c r="L602" s="38"/>
    </row>
    <row r="603" spans="2:12" x14ac:dyDescent="0.35">
      <c r="B603" s="24"/>
      <c r="E603" s="39"/>
      <c r="F603" s="40"/>
      <c r="G603" s="39"/>
    </row>
    <row r="604" spans="2:12" x14ac:dyDescent="0.35">
      <c r="B604" s="24"/>
      <c r="E604" s="39"/>
      <c r="F604" s="40"/>
      <c r="G604" s="39"/>
    </row>
    <row r="605" spans="2:12" x14ac:dyDescent="0.35">
      <c r="E605" s="41"/>
      <c r="F605" s="42"/>
      <c r="G605" s="43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02171C23-675E-4B8D-9626-EFDE651932D7}">
      <formula1>Taxes</formula1>
    </dataValidation>
    <dataValidation type="list" allowBlank="1" showInputMessage="1" showErrorMessage="1" sqref="C75:C603" xr:uid="{EF3D137B-55F1-4267-B286-605A37DBC7EE}">
      <formula1>Compadjust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B8277-8547-459A-9F50-A28369816F68}">
  <sheetPr>
    <tabColor rgb="FF92D050"/>
  </sheetPr>
  <dimension ref="A1:D124"/>
  <sheetViews>
    <sheetView showGridLines="0" workbookViewId="0">
      <selection activeCell="C14" sqref="C14"/>
    </sheetView>
  </sheetViews>
  <sheetFormatPr baseColWidth="10" defaultColWidth="12.6328125" defaultRowHeight="14.5" x14ac:dyDescent="0.35"/>
  <cols>
    <col min="1" max="1" width="13.08984375" bestFit="1" customWidth="1"/>
    <col min="2" max="2" width="58.1796875" bestFit="1" customWidth="1"/>
    <col min="3" max="3" width="11.36328125" bestFit="1" customWidth="1"/>
    <col min="4" max="4" width="19.26953125" bestFit="1" customWidth="1"/>
  </cols>
  <sheetData>
    <row r="1" spans="1:4" ht="19" x14ac:dyDescent="0.35">
      <c r="A1" s="44" t="s">
        <v>155</v>
      </c>
    </row>
    <row r="4" spans="1:4" ht="15" thickBot="1" x14ac:dyDescent="0.4">
      <c r="A4" s="45" t="s">
        <v>156</v>
      </c>
      <c r="B4" s="45" t="s">
        <v>157</v>
      </c>
      <c r="C4" s="46" t="s">
        <v>158</v>
      </c>
      <c r="D4" s="46" t="s">
        <v>159</v>
      </c>
    </row>
    <row r="5" spans="1:4" x14ac:dyDescent="0.35">
      <c r="A5" s="47" t="s">
        <v>156</v>
      </c>
      <c r="B5" s="47" t="s">
        <v>160</v>
      </c>
      <c r="C5" s="47" t="s">
        <v>161</v>
      </c>
      <c r="D5" s="48">
        <v>34102495338</v>
      </c>
    </row>
    <row r="6" spans="1:4" x14ac:dyDescent="0.35">
      <c r="A6" s="49" t="s">
        <v>156</v>
      </c>
      <c r="B6" s="50" t="s">
        <v>162</v>
      </c>
      <c r="C6" s="50" t="s">
        <v>161</v>
      </c>
      <c r="D6" s="51">
        <v>33716868317</v>
      </c>
    </row>
    <row r="7" spans="1:4" x14ac:dyDescent="0.35">
      <c r="A7" s="47" t="s">
        <v>156</v>
      </c>
      <c r="B7" s="47" t="s">
        <v>163</v>
      </c>
      <c r="C7" s="47" t="s">
        <v>161</v>
      </c>
      <c r="D7" s="48">
        <v>21817167920</v>
      </c>
    </row>
    <row r="8" spans="1:4" x14ac:dyDescent="0.35">
      <c r="A8" s="49" t="s">
        <v>156</v>
      </c>
      <c r="B8" s="50" t="s">
        <v>164</v>
      </c>
      <c r="C8" s="50" t="s">
        <v>161</v>
      </c>
      <c r="D8" s="51">
        <v>21261138366</v>
      </c>
    </row>
    <row r="9" spans="1:4" x14ac:dyDescent="0.35">
      <c r="A9" s="47" t="s">
        <v>156</v>
      </c>
      <c r="B9" s="47" t="s">
        <v>165</v>
      </c>
      <c r="C9" s="47" t="s">
        <v>161</v>
      </c>
      <c r="D9" s="48">
        <v>17404717499</v>
      </c>
    </row>
    <row r="10" spans="1:4" x14ac:dyDescent="0.35">
      <c r="A10" s="49" t="s">
        <v>156</v>
      </c>
      <c r="B10" s="50" t="s">
        <v>166</v>
      </c>
      <c r="C10" s="50" t="s">
        <v>161</v>
      </c>
      <c r="D10" s="51">
        <v>11836996143</v>
      </c>
    </row>
    <row r="11" spans="1:4" x14ac:dyDescent="0.35">
      <c r="A11" s="47" t="s">
        <v>156</v>
      </c>
      <c r="B11" s="47" t="s">
        <v>167</v>
      </c>
      <c r="C11" s="47" t="s">
        <v>168</v>
      </c>
      <c r="D11" s="48">
        <v>7175049246</v>
      </c>
    </row>
    <row r="12" spans="1:4" x14ac:dyDescent="0.35">
      <c r="A12" s="49" t="s">
        <v>156</v>
      </c>
      <c r="B12" s="50" t="s">
        <v>169</v>
      </c>
      <c r="C12" s="50" t="s">
        <v>161</v>
      </c>
      <c r="D12" s="51">
        <v>4438906350</v>
      </c>
    </row>
    <row r="13" spans="1:4" x14ac:dyDescent="0.35">
      <c r="A13" s="47" t="s">
        <v>156</v>
      </c>
      <c r="B13" s="47" t="s">
        <v>170</v>
      </c>
      <c r="C13" s="47" t="s">
        <v>161</v>
      </c>
      <c r="D13" s="48">
        <v>3664364586</v>
      </c>
    </row>
    <row r="14" spans="1:4" x14ac:dyDescent="0.35">
      <c r="A14" s="49" t="s">
        <v>156</v>
      </c>
      <c r="B14" s="50" t="s">
        <v>171</v>
      </c>
      <c r="C14" s="50" t="s">
        <v>161</v>
      </c>
      <c r="D14" s="51">
        <v>2638747148</v>
      </c>
    </row>
    <row r="15" spans="1:4" x14ac:dyDescent="0.35">
      <c r="A15" s="47" t="s">
        <v>156</v>
      </c>
      <c r="B15" s="47" t="s">
        <v>172</v>
      </c>
      <c r="C15" s="47" t="s">
        <v>168</v>
      </c>
      <c r="D15" s="48">
        <v>2571260785</v>
      </c>
    </row>
    <row r="16" spans="1:4" x14ac:dyDescent="0.35">
      <c r="A16" s="49" t="s">
        <v>156</v>
      </c>
      <c r="B16" s="50" t="s">
        <v>173</v>
      </c>
      <c r="C16" s="50" t="s">
        <v>168</v>
      </c>
      <c r="D16" s="51">
        <v>1752340181</v>
      </c>
    </row>
    <row r="17" spans="1:4" x14ac:dyDescent="0.35">
      <c r="A17" s="47" t="s">
        <v>156</v>
      </c>
      <c r="B17" s="47" t="s">
        <v>174</v>
      </c>
      <c r="C17" s="47" t="s">
        <v>161</v>
      </c>
      <c r="D17" s="48">
        <v>799617210</v>
      </c>
    </row>
    <row r="18" spans="1:4" x14ac:dyDescent="0.35">
      <c r="A18" s="49" t="s">
        <v>156</v>
      </c>
      <c r="B18" s="50" t="s">
        <v>175</v>
      </c>
      <c r="C18" s="50" t="s">
        <v>161</v>
      </c>
      <c r="D18" s="51">
        <v>680794234</v>
      </c>
    </row>
    <row r="19" spans="1:4" x14ac:dyDescent="0.35">
      <c r="A19" s="47" t="s">
        <v>156</v>
      </c>
      <c r="B19" s="47" t="s">
        <v>176</v>
      </c>
      <c r="C19" s="47" t="s">
        <v>168</v>
      </c>
      <c r="D19" s="48">
        <v>538585050</v>
      </c>
    </row>
    <row r="20" spans="1:4" x14ac:dyDescent="0.35">
      <c r="A20" s="49" t="s">
        <v>156</v>
      </c>
      <c r="B20" s="50" t="s">
        <v>177</v>
      </c>
      <c r="C20" s="50" t="s">
        <v>161</v>
      </c>
      <c r="D20" s="51">
        <v>498799735</v>
      </c>
    </row>
    <row r="21" spans="1:4" x14ac:dyDescent="0.35">
      <c r="A21" s="47" t="s">
        <v>156</v>
      </c>
      <c r="B21" s="47" t="s">
        <v>75</v>
      </c>
      <c r="C21" s="47" t="s">
        <v>168</v>
      </c>
      <c r="D21" s="48">
        <v>472197116</v>
      </c>
    </row>
    <row r="22" spans="1:4" x14ac:dyDescent="0.35">
      <c r="A22" s="49" t="s">
        <v>156</v>
      </c>
      <c r="B22" s="50" t="s">
        <v>178</v>
      </c>
      <c r="C22" s="50" t="s">
        <v>161</v>
      </c>
      <c r="D22" s="51">
        <v>367626450</v>
      </c>
    </row>
    <row r="23" spans="1:4" x14ac:dyDescent="0.35">
      <c r="A23" s="47" t="s">
        <v>156</v>
      </c>
      <c r="B23" s="47" t="s">
        <v>179</v>
      </c>
      <c r="C23" s="47" t="s">
        <v>161</v>
      </c>
      <c r="D23" s="48">
        <v>359871169</v>
      </c>
    </row>
    <row r="24" spans="1:4" x14ac:dyDescent="0.35">
      <c r="A24" s="49" t="s">
        <v>180</v>
      </c>
      <c r="B24" s="50" t="s">
        <v>181</v>
      </c>
      <c r="C24" s="50" t="s">
        <v>161</v>
      </c>
      <c r="D24" s="51">
        <v>174473430</v>
      </c>
    </row>
    <row r="25" spans="1:4" x14ac:dyDescent="0.35">
      <c r="A25" s="47" t="s">
        <v>180</v>
      </c>
      <c r="B25" s="47" t="s">
        <v>182</v>
      </c>
      <c r="C25" s="47" t="s">
        <v>161</v>
      </c>
      <c r="D25" s="48">
        <v>167788776</v>
      </c>
    </row>
    <row r="26" spans="1:4" x14ac:dyDescent="0.35">
      <c r="A26" s="49" t="s">
        <v>180</v>
      </c>
      <c r="B26" s="50" t="s">
        <v>183</v>
      </c>
      <c r="C26" s="50" t="s">
        <v>161</v>
      </c>
      <c r="D26" s="51">
        <v>116843757</v>
      </c>
    </row>
    <row r="27" spans="1:4" x14ac:dyDescent="0.35">
      <c r="A27" s="47" t="s">
        <v>156</v>
      </c>
      <c r="B27" s="47" t="s">
        <v>184</v>
      </c>
      <c r="C27" s="47" t="s">
        <v>161</v>
      </c>
      <c r="D27" s="48">
        <v>108906989</v>
      </c>
    </row>
    <row r="28" spans="1:4" x14ac:dyDescent="0.35">
      <c r="A28" s="49" t="s">
        <v>180</v>
      </c>
      <c r="B28" s="50" t="s">
        <v>185</v>
      </c>
      <c r="C28" s="50" t="s">
        <v>161</v>
      </c>
      <c r="D28" s="51">
        <v>107544628</v>
      </c>
    </row>
    <row r="29" spans="1:4" x14ac:dyDescent="0.35">
      <c r="A29" s="47" t="s">
        <v>180</v>
      </c>
      <c r="B29" s="47" t="s">
        <v>186</v>
      </c>
      <c r="C29" s="47" t="s">
        <v>161</v>
      </c>
      <c r="D29" s="48">
        <v>90000000</v>
      </c>
    </row>
    <row r="30" spans="1:4" x14ac:dyDescent="0.35">
      <c r="A30" s="49" t="s">
        <v>180</v>
      </c>
      <c r="B30" s="50" t="s">
        <v>187</v>
      </c>
      <c r="C30" s="50" t="s">
        <v>161</v>
      </c>
      <c r="D30" s="51">
        <v>82276587</v>
      </c>
    </row>
    <row r="31" spans="1:4" x14ac:dyDescent="0.35">
      <c r="A31" s="47" t="s">
        <v>180</v>
      </c>
      <c r="B31" s="47" t="s">
        <v>188</v>
      </c>
      <c r="C31" s="47" t="s">
        <v>161</v>
      </c>
      <c r="D31" s="48">
        <v>74321736</v>
      </c>
    </row>
    <row r="32" spans="1:4" x14ac:dyDescent="0.35">
      <c r="A32" s="49" t="s">
        <v>156</v>
      </c>
      <c r="B32" s="50" t="s">
        <v>189</v>
      </c>
      <c r="C32" s="50" t="s">
        <v>161</v>
      </c>
      <c r="D32" s="51">
        <v>69190401</v>
      </c>
    </row>
    <row r="33" spans="1:4" x14ac:dyDescent="0.35">
      <c r="A33" s="47" t="s">
        <v>180</v>
      </c>
      <c r="B33" s="47" t="s">
        <v>190</v>
      </c>
      <c r="C33" s="47" t="s">
        <v>161</v>
      </c>
      <c r="D33" s="48">
        <v>62282986</v>
      </c>
    </row>
    <row r="34" spans="1:4" x14ac:dyDescent="0.35">
      <c r="A34" s="49" t="s">
        <v>156</v>
      </c>
      <c r="B34" s="50" t="s">
        <v>191</v>
      </c>
      <c r="C34" s="50" t="s">
        <v>168</v>
      </c>
      <c r="D34" s="51">
        <v>59531156</v>
      </c>
    </row>
    <row r="35" spans="1:4" x14ac:dyDescent="0.35">
      <c r="A35" s="47" t="s">
        <v>180</v>
      </c>
      <c r="B35" s="47" t="s">
        <v>192</v>
      </c>
      <c r="C35" s="47" t="s">
        <v>161</v>
      </c>
      <c r="D35" s="48">
        <v>58001148</v>
      </c>
    </row>
    <row r="36" spans="1:4" x14ac:dyDescent="0.35">
      <c r="A36" s="49" t="s">
        <v>180</v>
      </c>
      <c r="B36" s="50" t="s">
        <v>193</v>
      </c>
      <c r="C36" s="50" t="s">
        <v>161</v>
      </c>
      <c r="D36" s="51">
        <v>48005168</v>
      </c>
    </row>
    <row r="37" spans="1:4" x14ac:dyDescent="0.35">
      <c r="A37" s="47" t="s">
        <v>180</v>
      </c>
      <c r="B37" s="47" t="s">
        <v>194</v>
      </c>
      <c r="C37" s="47" t="s">
        <v>161</v>
      </c>
      <c r="D37" s="48">
        <v>38063855</v>
      </c>
    </row>
    <row r="38" spans="1:4" x14ac:dyDescent="0.35">
      <c r="A38" s="49" t="s">
        <v>180</v>
      </c>
      <c r="B38" s="50" t="s">
        <v>195</v>
      </c>
      <c r="C38" s="50" t="s">
        <v>161</v>
      </c>
      <c r="D38" s="51">
        <v>37231747</v>
      </c>
    </row>
    <row r="39" spans="1:4" x14ac:dyDescent="0.35">
      <c r="A39" s="47" t="s">
        <v>180</v>
      </c>
      <c r="B39" s="47" t="s">
        <v>196</v>
      </c>
      <c r="C39" s="47" t="s">
        <v>161</v>
      </c>
      <c r="D39" s="48">
        <v>36754451</v>
      </c>
    </row>
    <row r="40" spans="1:4" x14ac:dyDescent="0.35">
      <c r="A40" s="49" t="s">
        <v>180</v>
      </c>
      <c r="B40" s="50" t="s">
        <v>197</v>
      </c>
      <c r="C40" s="50" t="s">
        <v>161</v>
      </c>
      <c r="D40" s="51">
        <v>32590223</v>
      </c>
    </row>
    <row r="41" spans="1:4" x14ac:dyDescent="0.35">
      <c r="A41" s="47" t="s">
        <v>180</v>
      </c>
      <c r="B41" s="47" t="s">
        <v>198</v>
      </c>
      <c r="C41" s="47" t="s">
        <v>161</v>
      </c>
      <c r="D41" s="48">
        <v>30452161</v>
      </c>
    </row>
    <row r="42" spans="1:4" x14ac:dyDescent="0.35">
      <c r="A42" s="49" t="s">
        <v>180</v>
      </c>
      <c r="B42" s="50" t="s">
        <v>199</v>
      </c>
      <c r="C42" s="50" t="s">
        <v>161</v>
      </c>
      <c r="D42" s="51">
        <v>21913900</v>
      </c>
    </row>
    <row r="43" spans="1:4" x14ac:dyDescent="0.35">
      <c r="A43" s="47" t="s">
        <v>180</v>
      </c>
      <c r="B43" s="47" t="s">
        <v>200</v>
      </c>
      <c r="C43" s="47" t="s">
        <v>161</v>
      </c>
      <c r="D43" s="48">
        <v>18575654</v>
      </c>
    </row>
    <row r="44" spans="1:4" x14ac:dyDescent="0.35">
      <c r="A44" s="49" t="s">
        <v>156</v>
      </c>
      <c r="B44" s="50" t="s">
        <v>201</v>
      </c>
      <c r="C44" s="50" t="s">
        <v>161</v>
      </c>
      <c r="D44" s="51">
        <v>15221712</v>
      </c>
    </row>
    <row r="45" spans="1:4" x14ac:dyDescent="0.35">
      <c r="A45" s="47" t="s">
        <v>180</v>
      </c>
      <c r="B45" s="47" t="s">
        <v>202</v>
      </c>
      <c r="C45" s="47" t="s">
        <v>161</v>
      </c>
      <c r="D45" s="48">
        <v>14299151</v>
      </c>
    </row>
    <row r="46" spans="1:4" x14ac:dyDescent="0.35">
      <c r="A46" s="49" t="s">
        <v>180</v>
      </c>
      <c r="B46" s="50" t="s">
        <v>203</v>
      </c>
      <c r="C46" s="50" t="s">
        <v>161</v>
      </c>
      <c r="D46" s="51">
        <v>14168704</v>
      </c>
    </row>
    <row r="47" spans="1:4" x14ac:dyDescent="0.35">
      <c r="A47" s="47" t="s">
        <v>180</v>
      </c>
      <c r="B47" s="47" t="s">
        <v>204</v>
      </c>
      <c r="C47" s="47" t="s">
        <v>161</v>
      </c>
      <c r="D47" s="48">
        <v>13059911</v>
      </c>
    </row>
    <row r="48" spans="1:4" x14ac:dyDescent="0.35">
      <c r="A48" s="49" t="s">
        <v>180</v>
      </c>
      <c r="B48" s="50" t="s">
        <v>205</v>
      </c>
      <c r="C48" s="50" t="s">
        <v>161</v>
      </c>
      <c r="D48" s="51">
        <v>12811295</v>
      </c>
    </row>
    <row r="49" spans="1:4" x14ac:dyDescent="0.35">
      <c r="A49" s="47" t="s">
        <v>180</v>
      </c>
      <c r="B49" s="47" t="s">
        <v>206</v>
      </c>
      <c r="C49" s="47" t="s">
        <v>161</v>
      </c>
      <c r="D49" s="48">
        <v>9970812</v>
      </c>
    </row>
    <row r="50" spans="1:4" x14ac:dyDescent="0.35">
      <c r="A50" s="49" t="s">
        <v>180</v>
      </c>
      <c r="B50" s="50" t="s">
        <v>207</v>
      </c>
      <c r="C50" s="50" t="s">
        <v>161</v>
      </c>
      <c r="D50" s="51">
        <v>9416327</v>
      </c>
    </row>
    <row r="51" spans="1:4" x14ac:dyDescent="0.35">
      <c r="A51" s="47" t="s">
        <v>180</v>
      </c>
      <c r="B51" s="47" t="s">
        <v>208</v>
      </c>
      <c r="C51" s="47" t="s">
        <v>161</v>
      </c>
      <c r="D51" s="48">
        <v>9000000</v>
      </c>
    </row>
    <row r="52" spans="1:4" x14ac:dyDescent="0.35">
      <c r="A52" s="49" t="s">
        <v>180</v>
      </c>
      <c r="B52" s="50" t="s">
        <v>209</v>
      </c>
      <c r="C52" s="50" t="s">
        <v>161</v>
      </c>
      <c r="D52" s="51">
        <v>9000000</v>
      </c>
    </row>
    <row r="53" spans="1:4" x14ac:dyDescent="0.35">
      <c r="A53" s="47" t="s">
        <v>180</v>
      </c>
      <c r="B53" s="47" t="s">
        <v>210</v>
      </c>
      <c r="C53" s="47" t="s">
        <v>168</v>
      </c>
      <c r="D53" s="48">
        <v>7196609</v>
      </c>
    </row>
    <row r="54" spans="1:4" x14ac:dyDescent="0.35">
      <c r="A54" s="49" t="s">
        <v>180</v>
      </c>
      <c r="B54" s="50" t="s">
        <v>211</v>
      </c>
      <c r="C54" s="50" t="s">
        <v>161</v>
      </c>
      <c r="D54" s="51">
        <v>6565000</v>
      </c>
    </row>
    <row r="55" spans="1:4" x14ac:dyDescent="0.35">
      <c r="A55" s="47" t="s">
        <v>180</v>
      </c>
      <c r="B55" s="47" t="s">
        <v>212</v>
      </c>
      <c r="C55" s="47" t="s">
        <v>161</v>
      </c>
      <c r="D55" s="48">
        <v>6445500</v>
      </c>
    </row>
    <row r="56" spans="1:4" x14ac:dyDescent="0.35">
      <c r="A56" s="49" t="s">
        <v>180</v>
      </c>
      <c r="B56" s="50" t="s">
        <v>213</v>
      </c>
      <c r="C56" s="50" t="s">
        <v>161</v>
      </c>
      <c r="D56" s="51">
        <v>5570011</v>
      </c>
    </row>
    <row r="57" spans="1:4" x14ac:dyDescent="0.35">
      <c r="A57" s="47" t="s">
        <v>180</v>
      </c>
      <c r="B57" s="47" t="s">
        <v>214</v>
      </c>
      <c r="C57" s="47" t="s">
        <v>161</v>
      </c>
      <c r="D57" s="48">
        <v>4862500</v>
      </c>
    </row>
    <row r="58" spans="1:4" x14ac:dyDescent="0.35">
      <c r="A58" s="49" t="s">
        <v>180</v>
      </c>
      <c r="B58" s="50" t="s">
        <v>215</v>
      </c>
      <c r="C58" s="50" t="s">
        <v>161</v>
      </c>
      <c r="D58" s="51">
        <v>4000000</v>
      </c>
    </row>
    <row r="59" spans="1:4" x14ac:dyDescent="0.35">
      <c r="A59" s="47" t="s">
        <v>180</v>
      </c>
      <c r="B59" s="47" t="s">
        <v>216</v>
      </c>
      <c r="C59" s="47" t="s">
        <v>161</v>
      </c>
      <c r="D59" s="48">
        <v>3762000</v>
      </c>
    </row>
    <row r="60" spans="1:4" x14ac:dyDescent="0.35">
      <c r="A60" s="49" t="s">
        <v>180</v>
      </c>
      <c r="B60" s="50" t="s">
        <v>217</v>
      </c>
      <c r="C60" s="50" t="s">
        <v>161</v>
      </c>
      <c r="D60" s="51">
        <v>3000000</v>
      </c>
    </row>
    <row r="61" spans="1:4" x14ac:dyDescent="0.35">
      <c r="A61" s="47" t="s">
        <v>180</v>
      </c>
      <c r="B61" s="47" t="s">
        <v>218</v>
      </c>
      <c r="C61" s="47" t="s">
        <v>161</v>
      </c>
      <c r="D61" s="48">
        <v>2961000</v>
      </c>
    </row>
    <row r="62" spans="1:4" x14ac:dyDescent="0.35">
      <c r="A62" s="49" t="s">
        <v>180</v>
      </c>
      <c r="B62" s="50" t="s">
        <v>219</v>
      </c>
      <c r="C62" s="50" t="s">
        <v>161</v>
      </c>
      <c r="D62" s="51">
        <v>2884550</v>
      </c>
    </row>
    <row r="63" spans="1:4" x14ac:dyDescent="0.35">
      <c r="A63" s="47" t="s">
        <v>180</v>
      </c>
      <c r="B63" s="47" t="s">
        <v>220</v>
      </c>
      <c r="C63" s="47" t="s">
        <v>161</v>
      </c>
      <c r="D63" s="48">
        <v>2844000</v>
      </c>
    </row>
    <row r="64" spans="1:4" x14ac:dyDescent="0.35">
      <c r="A64" s="49" t="s">
        <v>180</v>
      </c>
      <c r="B64" s="50" t="s">
        <v>221</v>
      </c>
      <c r="C64" s="50" t="s">
        <v>161</v>
      </c>
      <c r="D64" s="51">
        <v>2750000</v>
      </c>
    </row>
    <row r="65" spans="1:4" x14ac:dyDescent="0.35">
      <c r="A65" s="47" t="s">
        <v>180</v>
      </c>
      <c r="B65" s="47" t="s">
        <v>222</v>
      </c>
      <c r="C65" s="47" t="s">
        <v>161</v>
      </c>
      <c r="D65" s="48">
        <v>2590000</v>
      </c>
    </row>
    <row r="66" spans="1:4" x14ac:dyDescent="0.35">
      <c r="A66" s="49" t="s">
        <v>180</v>
      </c>
      <c r="B66" s="50" t="s">
        <v>223</v>
      </c>
      <c r="C66" s="50" t="s">
        <v>161</v>
      </c>
      <c r="D66" s="51">
        <v>2500000</v>
      </c>
    </row>
    <row r="67" spans="1:4" x14ac:dyDescent="0.35">
      <c r="A67" s="47" t="s">
        <v>180</v>
      </c>
      <c r="B67" s="47" t="s">
        <v>224</v>
      </c>
      <c r="C67" s="47" t="s">
        <v>161</v>
      </c>
      <c r="D67" s="48">
        <v>2500000</v>
      </c>
    </row>
    <row r="68" spans="1:4" x14ac:dyDescent="0.35">
      <c r="A68" s="49" t="s">
        <v>180</v>
      </c>
      <c r="B68" s="50" t="s">
        <v>225</v>
      </c>
      <c r="C68" s="50" t="s">
        <v>161</v>
      </c>
      <c r="D68" s="51">
        <v>2200000</v>
      </c>
    </row>
    <row r="69" spans="1:4" x14ac:dyDescent="0.35">
      <c r="A69" s="47" t="s">
        <v>180</v>
      </c>
      <c r="B69" s="47" t="s">
        <v>226</v>
      </c>
      <c r="C69" s="47" t="s">
        <v>161</v>
      </c>
      <c r="D69" s="48">
        <v>2109500</v>
      </c>
    </row>
    <row r="70" spans="1:4" x14ac:dyDescent="0.35">
      <c r="A70" s="49" t="s">
        <v>180</v>
      </c>
      <c r="B70" s="50" t="s">
        <v>227</v>
      </c>
      <c r="C70" s="50" t="s">
        <v>161</v>
      </c>
      <c r="D70" s="51">
        <v>2060176</v>
      </c>
    </row>
    <row r="71" spans="1:4" x14ac:dyDescent="0.35">
      <c r="A71" s="47" t="s">
        <v>180</v>
      </c>
      <c r="B71" s="47" t="s">
        <v>228</v>
      </c>
      <c r="C71" s="47" t="s">
        <v>161</v>
      </c>
      <c r="D71" s="48">
        <v>1941387</v>
      </c>
    </row>
    <row r="72" spans="1:4" x14ac:dyDescent="0.35">
      <c r="A72" s="49" t="s">
        <v>180</v>
      </c>
      <c r="B72" s="50" t="s">
        <v>229</v>
      </c>
      <c r="C72" s="50" t="s">
        <v>161</v>
      </c>
      <c r="D72" s="51">
        <v>1792864</v>
      </c>
    </row>
    <row r="73" spans="1:4" x14ac:dyDescent="0.35">
      <c r="A73" s="47" t="s">
        <v>180</v>
      </c>
      <c r="B73" s="47" t="s">
        <v>230</v>
      </c>
      <c r="C73" s="47" t="s">
        <v>161</v>
      </c>
      <c r="D73" s="48">
        <v>1331259</v>
      </c>
    </row>
    <row r="74" spans="1:4" x14ac:dyDescent="0.35">
      <c r="A74" s="49" t="s">
        <v>180</v>
      </c>
      <c r="B74" s="50" t="s">
        <v>231</v>
      </c>
      <c r="C74" s="50" t="s">
        <v>161</v>
      </c>
      <c r="D74" s="51">
        <v>1305601</v>
      </c>
    </row>
    <row r="75" spans="1:4" x14ac:dyDescent="0.35">
      <c r="A75" s="47" t="s">
        <v>180</v>
      </c>
      <c r="B75" s="47" t="s">
        <v>232</v>
      </c>
      <c r="C75" s="47" t="s">
        <v>161</v>
      </c>
      <c r="D75" s="48">
        <v>1154593</v>
      </c>
    </row>
    <row r="76" spans="1:4" x14ac:dyDescent="0.35">
      <c r="A76" s="49" t="s">
        <v>180</v>
      </c>
      <c r="B76" s="50" t="s">
        <v>233</v>
      </c>
      <c r="C76" s="50" t="s">
        <v>161</v>
      </c>
      <c r="D76" s="51">
        <v>1000000</v>
      </c>
    </row>
    <row r="77" spans="1:4" x14ac:dyDescent="0.35">
      <c r="A77" s="47" t="s">
        <v>180</v>
      </c>
      <c r="B77" s="47" t="s">
        <v>234</v>
      </c>
      <c r="C77" s="47" t="s">
        <v>161</v>
      </c>
      <c r="D77" s="48">
        <v>1000000</v>
      </c>
    </row>
    <row r="78" spans="1:4" x14ac:dyDescent="0.35">
      <c r="A78" s="49" t="s">
        <v>180</v>
      </c>
      <c r="B78" s="50" t="s">
        <v>235</v>
      </c>
      <c r="C78" s="50" t="s">
        <v>161</v>
      </c>
      <c r="D78" s="51">
        <v>1000000</v>
      </c>
    </row>
    <row r="79" spans="1:4" x14ac:dyDescent="0.35">
      <c r="A79" s="47" t="s">
        <v>180</v>
      </c>
      <c r="B79" s="47" t="s">
        <v>236</v>
      </c>
      <c r="C79" s="47" t="s">
        <v>161</v>
      </c>
      <c r="D79" s="48">
        <v>1000000</v>
      </c>
    </row>
    <row r="80" spans="1:4" x14ac:dyDescent="0.35">
      <c r="A80" s="49" t="s">
        <v>180</v>
      </c>
      <c r="B80" s="50" t="s">
        <v>237</v>
      </c>
      <c r="C80" s="50" t="s">
        <v>161</v>
      </c>
      <c r="D80" s="51">
        <v>1000000</v>
      </c>
    </row>
    <row r="81" spans="1:4" x14ac:dyDescent="0.35">
      <c r="A81" s="47" t="s">
        <v>180</v>
      </c>
      <c r="B81" s="47" t="s">
        <v>238</v>
      </c>
      <c r="C81" s="47" t="s">
        <v>161</v>
      </c>
      <c r="D81" s="48">
        <v>1000000</v>
      </c>
    </row>
    <row r="82" spans="1:4" x14ac:dyDescent="0.35">
      <c r="A82" s="49" t="s">
        <v>180</v>
      </c>
      <c r="B82" s="50" t="s">
        <v>239</v>
      </c>
      <c r="C82" s="50" t="s">
        <v>161</v>
      </c>
      <c r="D82" s="51">
        <v>1000000</v>
      </c>
    </row>
    <row r="83" spans="1:4" x14ac:dyDescent="0.35">
      <c r="A83" s="47" t="s">
        <v>180</v>
      </c>
      <c r="B83" s="47" t="s">
        <v>240</v>
      </c>
      <c r="C83" s="47" t="s">
        <v>161</v>
      </c>
      <c r="D83" s="48">
        <v>1000000</v>
      </c>
    </row>
    <row r="84" spans="1:4" x14ac:dyDescent="0.35">
      <c r="A84" s="49" t="s">
        <v>180</v>
      </c>
      <c r="B84" s="50" t="s">
        <v>241</v>
      </c>
      <c r="C84" s="50" t="s">
        <v>161</v>
      </c>
      <c r="D84" s="51">
        <v>1000000</v>
      </c>
    </row>
    <row r="85" spans="1:4" x14ac:dyDescent="0.35">
      <c r="A85" s="47" t="s">
        <v>180</v>
      </c>
      <c r="B85" s="47" t="s">
        <v>242</v>
      </c>
      <c r="C85" s="47" t="s">
        <v>161</v>
      </c>
      <c r="D85" s="48">
        <v>1000000</v>
      </c>
    </row>
    <row r="86" spans="1:4" x14ac:dyDescent="0.35">
      <c r="A86" s="49" t="s">
        <v>180</v>
      </c>
      <c r="B86" s="50" t="s">
        <v>243</v>
      </c>
      <c r="C86" s="50" t="s">
        <v>161</v>
      </c>
      <c r="D86" s="51">
        <v>1000000</v>
      </c>
    </row>
    <row r="87" spans="1:4" x14ac:dyDescent="0.35">
      <c r="A87" s="47" t="s">
        <v>180</v>
      </c>
      <c r="B87" s="47" t="s">
        <v>244</v>
      </c>
      <c r="C87" s="47" t="s">
        <v>161</v>
      </c>
      <c r="D87" s="48">
        <v>1000000</v>
      </c>
    </row>
    <row r="88" spans="1:4" x14ac:dyDescent="0.35">
      <c r="A88" s="49" t="s">
        <v>180</v>
      </c>
      <c r="B88" s="50" t="s">
        <v>245</v>
      </c>
      <c r="C88" s="50" t="s">
        <v>161</v>
      </c>
      <c r="D88" s="51">
        <v>1000000</v>
      </c>
    </row>
    <row r="89" spans="1:4" x14ac:dyDescent="0.35">
      <c r="A89" s="47" t="s">
        <v>180</v>
      </c>
      <c r="B89" s="47" t="s">
        <v>246</v>
      </c>
      <c r="C89" s="47" t="s">
        <v>161</v>
      </c>
      <c r="D89" s="48">
        <v>1000000</v>
      </c>
    </row>
    <row r="90" spans="1:4" x14ac:dyDescent="0.35">
      <c r="A90" s="49" t="s">
        <v>180</v>
      </c>
      <c r="B90" s="50" t="s">
        <v>247</v>
      </c>
      <c r="C90" s="50" t="s">
        <v>161</v>
      </c>
      <c r="D90" s="51">
        <v>1000000</v>
      </c>
    </row>
    <row r="91" spans="1:4" x14ac:dyDescent="0.35">
      <c r="A91" s="47" t="s">
        <v>180</v>
      </c>
      <c r="B91" s="47" t="s">
        <v>248</v>
      </c>
      <c r="C91" s="47" t="s">
        <v>161</v>
      </c>
      <c r="D91" s="48">
        <v>1000000</v>
      </c>
    </row>
    <row r="92" spans="1:4" x14ac:dyDescent="0.35">
      <c r="A92" s="49" t="s">
        <v>180</v>
      </c>
      <c r="B92" s="50" t="s">
        <v>249</v>
      </c>
      <c r="C92" s="50" t="s">
        <v>161</v>
      </c>
      <c r="D92" s="51">
        <v>1000000</v>
      </c>
    </row>
    <row r="93" spans="1:4" x14ac:dyDescent="0.35">
      <c r="A93" s="47" t="s">
        <v>180</v>
      </c>
      <c r="B93" s="47" t="s">
        <v>250</v>
      </c>
      <c r="C93" s="47" t="s">
        <v>161</v>
      </c>
      <c r="D93" s="48">
        <v>1000000</v>
      </c>
    </row>
    <row r="94" spans="1:4" x14ac:dyDescent="0.35">
      <c r="A94" s="49" t="s">
        <v>180</v>
      </c>
      <c r="B94" s="50" t="s">
        <v>251</v>
      </c>
      <c r="C94" s="50" t="s">
        <v>161</v>
      </c>
      <c r="D94" s="51">
        <v>1000000</v>
      </c>
    </row>
    <row r="95" spans="1:4" x14ac:dyDescent="0.35">
      <c r="A95" s="47" t="s">
        <v>180</v>
      </c>
      <c r="B95" s="47" t="s">
        <v>252</v>
      </c>
      <c r="C95" s="47" t="s">
        <v>161</v>
      </c>
      <c r="D95" s="48">
        <v>1000000</v>
      </c>
    </row>
    <row r="96" spans="1:4" x14ac:dyDescent="0.35">
      <c r="A96" s="49" t="s">
        <v>180</v>
      </c>
      <c r="B96" s="50" t="s">
        <v>253</v>
      </c>
      <c r="C96" s="50" t="s">
        <v>161</v>
      </c>
      <c r="D96" s="51">
        <v>1000000</v>
      </c>
    </row>
    <row r="97" spans="1:4" x14ac:dyDescent="0.35">
      <c r="A97" s="47" t="s">
        <v>180</v>
      </c>
      <c r="B97" s="47" t="s">
        <v>254</v>
      </c>
      <c r="C97" s="47" t="s">
        <v>161</v>
      </c>
      <c r="D97" s="48">
        <v>1000000</v>
      </c>
    </row>
    <row r="98" spans="1:4" x14ac:dyDescent="0.35">
      <c r="A98" s="49" t="s">
        <v>180</v>
      </c>
      <c r="B98" s="50" t="s">
        <v>255</v>
      </c>
      <c r="C98" s="50" t="s">
        <v>161</v>
      </c>
      <c r="D98" s="51">
        <v>1000000</v>
      </c>
    </row>
    <row r="99" spans="1:4" x14ac:dyDescent="0.35">
      <c r="A99" s="47" t="s">
        <v>180</v>
      </c>
      <c r="B99" s="47" t="s">
        <v>256</v>
      </c>
      <c r="C99" s="47" t="s">
        <v>161</v>
      </c>
      <c r="D99" s="48">
        <v>1000000</v>
      </c>
    </row>
    <row r="100" spans="1:4" x14ac:dyDescent="0.35">
      <c r="A100" s="49" t="s">
        <v>180</v>
      </c>
      <c r="B100" s="50" t="s">
        <v>257</v>
      </c>
      <c r="C100" s="50" t="s">
        <v>161</v>
      </c>
      <c r="D100" s="51">
        <v>1000000</v>
      </c>
    </row>
    <row r="101" spans="1:4" x14ac:dyDescent="0.35">
      <c r="A101" s="47" t="s">
        <v>180</v>
      </c>
      <c r="B101" s="47" t="s">
        <v>258</v>
      </c>
      <c r="C101" s="47" t="s">
        <v>161</v>
      </c>
      <c r="D101" s="48">
        <v>1000000</v>
      </c>
    </row>
    <row r="102" spans="1:4" x14ac:dyDescent="0.35">
      <c r="A102" s="49" t="s">
        <v>180</v>
      </c>
      <c r="B102" s="50" t="s">
        <v>259</v>
      </c>
      <c r="C102" s="50" t="s">
        <v>161</v>
      </c>
      <c r="D102" s="51">
        <v>1000000</v>
      </c>
    </row>
    <row r="103" spans="1:4" x14ac:dyDescent="0.35">
      <c r="A103" s="47" t="s">
        <v>180</v>
      </c>
      <c r="B103" s="47" t="s">
        <v>260</v>
      </c>
      <c r="C103" s="47" t="s">
        <v>161</v>
      </c>
      <c r="D103" s="48">
        <v>1000000</v>
      </c>
    </row>
    <row r="104" spans="1:4" x14ac:dyDescent="0.35">
      <c r="A104" s="49" t="s">
        <v>180</v>
      </c>
      <c r="B104" s="50" t="s">
        <v>261</v>
      </c>
      <c r="C104" s="50" t="s">
        <v>161</v>
      </c>
      <c r="D104" s="51">
        <v>1000000</v>
      </c>
    </row>
    <row r="105" spans="1:4" x14ac:dyDescent="0.35">
      <c r="A105" s="47" t="s">
        <v>180</v>
      </c>
      <c r="B105" s="47" t="s">
        <v>262</v>
      </c>
      <c r="C105" s="47" t="s">
        <v>161</v>
      </c>
      <c r="D105" s="48">
        <v>1000000</v>
      </c>
    </row>
    <row r="106" spans="1:4" x14ac:dyDescent="0.35">
      <c r="A106" s="49" t="s">
        <v>180</v>
      </c>
      <c r="B106" s="50" t="s">
        <v>263</v>
      </c>
      <c r="C106" s="50" t="s">
        <v>161</v>
      </c>
      <c r="D106" s="51">
        <v>1000000</v>
      </c>
    </row>
    <row r="107" spans="1:4" x14ac:dyDescent="0.35">
      <c r="A107" s="47" t="s">
        <v>180</v>
      </c>
      <c r="B107" s="47" t="s">
        <v>264</v>
      </c>
      <c r="C107" s="47" t="s">
        <v>161</v>
      </c>
      <c r="D107" s="48">
        <v>1000000</v>
      </c>
    </row>
    <row r="108" spans="1:4" x14ac:dyDescent="0.35">
      <c r="A108" s="49" t="s">
        <v>180</v>
      </c>
      <c r="B108" s="50" t="s">
        <v>265</v>
      </c>
      <c r="C108" s="50" t="s">
        <v>161</v>
      </c>
      <c r="D108" s="51">
        <v>1000000</v>
      </c>
    </row>
    <row r="109" spans="1:4" x14ac:dyDescent="0.35">
      <c r="A109" s="47" t="s">
        <v>156</v>
      </c>
      <c r="B109" s="47" t="s">
        <v>266</v>
      </c>
      <c r="C109" s="47" t="s">
        <v>168</v>
      </c>
      <c r="D109" s="48">
        <v>1000000</v>
      </c>
    </row>
    <row r="110" spans="1:4" x14ac:dyDescent="0.35">
      <c r="A110" s="49" t="s">
        <v>180</v>
      </c>
      <c r="B110" s="50" t="s">
        <v>267</v>
      </c>
      <c r="C110" s="50" t="s">
        <v>168</v>
      </c>
      <c r="D110" s="51">
        <v>989019</v>
      </c>
    </row>
    <row r="111" spans="1:4" x14ac:dyDescent="0.35">
      <c r="A111" s="47" t="s">
        <v>180</v>
      </c>
      <c r="B111" s="47" t="s">
        <v>268</v>
      </c>
      <c r="C111" s="47" t="s">
        <v>161</v>
      </c>
      <c r="D111" s="48">
        <v>689906</v>
      </c>
    </row>
    <row r="112" spans="1:4" x14ac:dyDescent="0.35">
      <c r="A112" s="49" t="s">
        <v>180</v>
      </c>
      <c r="B112" s="50" t="s">
        <v>269</v>
      </c>
      <c r="C112" s="50" t="s">
        <v>161</v>
      </c>
      <c r="D112" s="51">
        <v>600000</v>
      </c>
    </row>
    <row r="113" spans="1:4" x14ac:dyDescent="0.35">
      <c r="A113" s="47" t="s">
        <v>180</v>
      </c>
      <c r="B113" s="47" t="s">
        <v>270</v>
      </c>
      <c r="C113" s="47" t="s">
        <v>161</v>
      </c>
      <c r="D113" s="48">
        <v>500000</v>
      </c>
    </row>
    <row r="114" spans="1:4" x14ac:dyDescent="0.35">
      <c r="A114" s="49" t="s">
        <v>180</v>
      </c>
      <c r="B114" s="50" t="s">
        <v>271</v>
      </c>
      <c r="C114" s="50" t="s">
        <v>161</v>
      </c>
      <c r="D114" s="51">
        <v>500000</v>
      </c>
    </row>
    <row r="115" spans="1:4" x14ac:dyDescent="0.35">
      <c r="A115" s="47" t="s">
        <v>180</v>
      </c>
      <c r="B115" s="47" t="s">
        <v>272</v>
      </c>
      <c r="C115" s="47" t="s">
        <v>161</v>
      </c>
      <c r="D115" s="48">
        <v>484279</v>
      </c>
    </row>
    <row r="116" spans="1:4" x14ac:dyDescent="0.35">
      <c r="A116" s="49" t="s">
        <v>180</v>
      </c>
      <c r="B116" s="50" t="s">
        <v>273</v>
      </c>
      <c r="C116" s="50" t="s">
        <v>161</v>
      </c>
      <c r="D116" s="51">
        <v>460000</v>
      </c>
    </row>
    <row r="117" spans="1:4" x14ac:dyDescent="0.35">
      <c r="A117" s="47" t="s">
        <v>180</v>
      </c>
      <c r="B117" s="47" t="s">
        <v>274</v>
      </c>
      <c r="C117" s="47" t="s">
        <v>161</v>
      </c>
      <c r="D117" s="48">
        <v>420000</v>
      </c>
    </row>
    <row r="118" spans="1:4" x14ac:dyDescent="0.35">
      <c r="A118" s="49" t="s">
        <v>180</v>
      </c>
      <c r="B118" s="50" t="s">
        <v>275</v>
      </c>
      <c r="C118" s="50" t="s">
        <v>161</v>
      </c>
      <c r="D118" s="51">
        <v>305260</v>
      </c>
    </row>
    <row r="119" spans="1:4" x14ac:dyDescent="0.35">
      <c r="A119" s="47" t="s">
        <v>180</v>
      </c>
      <c r="B119" s="47" t="s">
        <v>276</v>
      </c>
      <c r="C119" s="47" t="s">
        <v>161</v>
      </c>
      <c r="D119" s="48">
        <v>296000</v>
      </c>
    </row>
    <row r="120" spans="1:4" x14ac:dyDescent="0.35">
      <c r="A120" s="49" t="s">
        <v>180</v>
      </c>
      <c r="B120" s="50" t="s">
        <v>277</v>
      </c>
      <c r="C120" s="50" t="s">
        <v>161</v>
      </c>
      <c r="D120" s="51">
        <v>248000</v>
      </c>
    </row>
    <row r="121" spans="1:4" x14ac:dyDescent="0.35">
      <c r="A121" s="47" t="s">
        <v>156</v>
      </c>
      <c r="B121" s="47" t="s">
        <v>278</v>
      </c>
      <c r="C121" s="47" t="s">
        <v>161</v>
      </c>
      <c r="D121" s="48">
        <v>105409</v>
      </c>
    </row>
    <row r="122" spans="1:4" x14ac:dyDescent="0.35">
      <c r="A122" s="49" t="s">
        <v>156</v>
      </c>
      <c r="B122" s="50" t="s">
        <v>279</v>
      </c>
      <c r="C122" s="50" t="s">
        <v>168</v>
      </c>
      <c r="D122" s="51">
        <v>63498</v>
      </c>
    </row>
    <row r="123" spans="1:4" x14ac:dyDescent="0.35">
      <c r="A123" s="47" t="s">
        <v>180</v>
      </c>
      <c r="B123" s="47"/>
      <c r="C123" s="47" t="s">
        <v>168</v>
      </c>
      <c r="D123" s="48">
        <v>2800</v>
      </c>
    </row>
    <row r="124" spans="1:4" x14ac:dyDescent="0.35">
      <c r="D124" s="52">
        <f>SUM(D5:D123)</f>
        <v>167753230229</v>
      </c>
    </row>
  </sheetData>
  <autoFilter ref="A4:D122" xr:uid="{00000000-0009-0000-0000-000026000000}">
    <sortState xmlns:xlrd2="http://schemas.microsoft.com/office/spreadsheetml/2017/richdata2" ref="A5:D123">
      <sortCondition descending="1" ref="D4:D122"/>
    </sortState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6F0BB-B83E-4813-BF2F-FC01DBBF902F}">
  <sheetPr>
    <tabColor rgb="FF92D050"/>
  </sheetPr>
  <dimension ref="A1:F62"/>
  <sheetViews>
    <sheetView showGridLines="0" workbookViewId="0">
      <selection activeCell="C14" sqref="C14"/>
    </sheetView>
  </sheetViews>
  <sheetFormatPr baseColWidth="10" defaultColWidth="12.6328125" defaultRowHeight="14.5" x14ac:dyDescent="0.35"/>
  <cols>
    <col min="3" max="3" width="57.36328125" bestFit="1" customWidth="1"/>
    <col min="6" max="6" width="22.54296875" bestFit="1" customWidth="1"/>
  </cols>
  <sheetData>
    <row r="1" spans="1:6" ht="19" x14ac:dyDescent="0.35">
      <c r="A1" s="44" t="s">
        <v>280</v>
      </c>
    </row>
    <row r="3" spans="1:6" x14ac:dyDescent="0.35">
      <c r="B3" s="53" t="s">
        <v>156</v>
      </c>
      <c r="C3" s="53" t="s">
        <v>281</v>
      </c>
      <c r="D3" s="53" t="s">
        <v>158</v>
      </c>
      <c r="E3" s="53" t="s">
        <v>282</v>
      </c>
      <c r="F3" s="54" t="s">
        <v>283</v>
      </c>
    </row>
    <row r="4" spans="1:6" x14ac:dyDescent="0.35">
      <c r="B4" s="47" t="s">
        <v>156</v>
      </c>
      <c r="C4" s="47" t="s">
        <v>95</v>
      </c>
      <c r="D4" s="47" t="s">
        <v>161</v>
      </c>
      <c r="E4" s="47" t="s">
        <v>94</v>
      </c>
      <c r="F4" s="48">
        <v>30239394454</v>
      </c>
    </row>
    <row r="5" spans="1:6" x14ac:dyDescent="0.35">
      <c r="B5" s="50" t="s">
        <v>156</v>
      </c>
      <c r="C5" s="50" t="s">
        <v>70</v>
      </c>
      <c r="D5" s="50" t="s">
        <v>161</v>
      </c>
      <c r="E5" s="50" t="s">
        <v>69</v>
      </c>
      <c r="F5" s="51">
        <v>24551847642</v>
      </c>
    </row>
    <row r="6" spans="1:6" x14ac:dyDescent="0.35">
      <c r="B6" s="47" t="s">
        <v>156</v>
      </c>
      <c r="C6" s="47" t="s">
        <v>96</v>
      </c>
      <c r="D6" s="47" t="s">
        <v>161</v>
      </c>
      <c r="E6" s="47" t="s">
        <v>94</v>
      </c>
      <c r="F6" s="48">
        <v>20501371386</v>
      </c>
    </row>
    <row r="7" spans="1:6" x14ac:dyDescent="0.35">
      <c r="B7" s="50" t="s">
        <v>156</v>
      </c>
      <c r="C7" s="50" t="s">
        <v>108</v>
      </c>
      <c r="D7" s="50" t="s">
        <v>161</v>
      </c>
      <c r="E7" s="50" t="s">
        <v>94</v>
      </c>
      <c r="F7" s="51">
        <v>13166432965</v>
      </c>
    </row>
    <row r="8" spans="1:6" x14ac:dyDescent="0.35">
      <c r="B8" s="47" t="s">
        <v>156</v>
      </c>
      <c r="C8" s="47" t="s">
        <v>98</v>
      </c>
      <c r="D8" s="47" t="s">
        <v>161</v>
      </c>
      <c r="E8" s="47" t="s">
        <v>94</v>
      </c>
      <c r="F8" s="48">
        <v>12953857311</v>
      </c>
    </row>
    <row r="9" spans="1:6" x14ac:dyDescent="0.35">
      <c r="B9" s="50" t="s">
        <v>156</v>
      </c>
      <c r="C9" s="50" t="s">
        <v>111</v>
      </c>
      <c r="D9" s="50" t="s">
        <v>161</v>
      </c>
      <c r="E9" s="50" t="s">
        <v>110</v>
      </c>
      <c r="F9" s="51">
        <v>9883616006</v>
      </c>
    </row>
    <row r="10" spans="1:6" x14ac:dyDescent="0.35">
      <c r="B10" s="47" t="s">
        <v>156</v>
      </c>
      <c r="C10" s="47" t="s">
        <v>92</v>
      </c>
      <c r="D10" s="47" t="s">
        <v>161</v>
      </c>
      <c r="E10" s="47" t="s">
        <v>84</v>
      </c>
      <c r="F10" s="48">
        <v>8943645000</v>
      </c>
    </row>
    <row r="11" spans="1:6" x14ac:dyDescent="0.35">
      <c r="B11" s="50" t="s">
        <v>156</v>
      </c>
      <c r="C11" s="50" t="s">
        <v>284</v>
      </c>
      <c r="D11" s="50" t="s">
        <v>161</v>
      </c>
      <c r="E11" s="50" t="s">
        <v>94</v>
      </c>
      <c r="F11" s="51">
        <v>7556753605</v>
      </c>
    </row>
    <row r="12" spans="1:6" x14ac:dyDescent="0.35">
      <c r="B12" s="47" t="s">
        <v>156</v>
      </c>
      <c r="C12" s="47" t="s">
        <v>114</v>
      </c>
      <c r="D12" s="47" t="s">
        <v>161</v>
      </c>
      <c r="E12" s="47" t="s">
        <v>110</v>
      </c>
      <c r="F12" s="48">
        <v>5672472306</v>
      </c>
    </row>
    <row r="13" spans="1:6" x14ac:dyDescent="0.35">
      <c r="B13" s="50" t="s">
        <v>156</v>
      </c>
      <c r="C13" s="50" t="s">
        <v>107</v>
      </c>
      <c r="D13" s="50" t="s">
        <v>161</v>
      </c>
      <c r="E13" s="50" t="s">
        <v>94</v>
      </c>
      <c r="F13" s="51">
        <v>5634359966</v>
      </c>
    </row>
    <row r="14" spans="1:6" x14ac:dyDescent="0.35">
      <c r="B14" s="47" t="s">
        <v>156</v>
      </c>
      <c r="C14" s="47" t="s">
        <v>97</v>
      </c>
      <c r="D14" s="47" t="s">
        <v>285</v>
      </c>
      <c r="E14" s="47" t="s">
        <v>94</v>
      </c>
      <c r="F14" s="48">
        <v>5574323442</v>
      </c>
    </row>
    <row r="15" spans="1:6" x14ac:dyDescent="0.35">
      <c r="B15" s="50" t="s">
        <v>156</v>
      </c>
      <c r="C15" s="50" t="s">
        <v>90</v>
      </c>
      <c r="D15" s="50" t="s">
        <v>161</v>
      </c>
      <c r="E15" s="50" t="s">
        <v>84</v>
      </c>
      <c r="F15" s="51">
        <v>3780000000</v>
      </c>
    </row>
    <row r="16" spans="1:6" x14ac:dyDescent="0.35">
      <c r="B16" s="47" t="s">
        <v>156</v>
      </c>
      <c r="C16" s="47" t="s">
        <v>100</v>
      </c>
      <c r="D16" s="47" t="s">
        <v>285</v>
      </c>
      <c r="E16" s="47" t="s">
        <v>94</v>
      </c>
      <c r="F16" s="48">
        <v>3421050685</v>
      </c>
    </row>
    <row r="17" spans="2:6" x14ac:dyDescent="0.35">
      <c r="B17" s="50" t="s">
        <v>156</v>
      </c>
      <c r="C17" s="50" t="s">
        <v>100</v>
      </c>
      <c r="D17" s="50" t="s">
        <v>161</v>
      </c>
      <c r="E17" s="50" t="s">
        <v>94</v>
      </c>
      <c r="F17" s="51">
        <v>2703626606</v>
      </c>
    </row>
    <row r="18" spans="2:6" x14ac:dyDescent="0.35">
      <c r="B18" s="47" t="s">
        <v>156</v>
      </c>
      <c r="C18" s="47" t="s">
        <v>96</v>
      </c>
      <c r="D18" s="47" t="s">
        <v>285</v>
      </c>
      <c r="E18" s="47" t="s">
        <v>94</v>
      </c>
      <c r="F18" s="48">
        <v>2656894325</v>
      </c>
    </row>
    <row r="19" spans="2:6" x14ac:dyDescent="0.35">
      <c r="B19" s="50" t="s">
        <v>156</v>
      </c>
      <c r="C19" s="50" t="s">
        <v>97</v>
      </c>
      <c r="D19" s="50" t="s">
        <v>161</v>
      </c>
      <c r="E19" s="50" t="s">
        <v>94</v>
      </c>
      <c r="F19" s="51">
        <v>2200921100</v>
      </c>
    </row>
    <row r="20" spans="2:6" x14ac:dyDescent="0.35">
      <c r="B20" s="47" t="s">
        <v>156</v>
      </c>
      <c r="C20" s="47" t="s">
        <v>103</v>
      </c>
      <c r="D20" s="47" t="s">
        <v>161</v>
      </c>
      <c r="E20" s="47" t="s">
        <v>94</v>
      </c>
      <c r="F20" s="48">
        <v>1593767151</v>
      </c>
    </row>
    <row r="21" spans="2:6" x14ac:dyDescent="0.35">
      <c r="B21" s="50" t="s">
        <v>156</v>
      </c>
      <c r="C21" s="50" t="s">
        <v>93</v>
      </c>
      <c r="D21" s="50" t="s">
        <v>161</v>
      </c>
      <c r="E21" s="50" t="s">
        <v>84</v>
      </c>
      <c r="F21" s="51">
        <v>1449830360</v>
      </c>
    </row>
    <row r="22" spans="2:6" x14ac:dyDescent="0.35">
      <c r="B22" s="47" t="s">
        <v>156</v>
      </c>
      <c r="C22" s="47" t="s">
        <v>74</v>
      </c>
      <c r="D22" s="47" t="s">
        <v>161</v>
      </c>
      <c r="E22" s="47" t="s">
        <v>69</v>
      </c>
      <c r="F22" s="48">
        <v>704645000</v>
      </c>
    </row>
    <row r="23" spans="2:6" x14ac:dyDescent="0.35">
      <c r="B23" s="50" t="s">
        <v>156</v>
      </c>
      <c r="C23" s="50" t="s">
        <v>85</v>
      </c>
      <c r="D23" s="50" t="s">
        <v>161</v>
      </c>
      <c r="E23" s="50" t="s">
        <v>84</v>
      </c>
      <c r="F23" s="51">
        <v>700212162</v>
      </c>
    </row>
    <row r="24" spans="2:6" x14ac:dyDescent="0.35">
      <c r="B24" s="47" t="s">
        <v>156</v>
      </c>
      <c r="C24" s="47" t="s">
        <v>109</v>
      </c>
      <c r="D24" s="47" t="s">
        <v>161</v>
      </c>
      <c r="E24" s="47" t="s">
        <v>94</v>
      </c>
      <c r="F24" s="48">
        <v>431206075</v>
      </c>
    </row>
    <row r="25" spans="2:6" x14ac:dyDescent="0.35">
      <c r="B25" s="50" t="s">
        <v>156</v>
      </c>
      <c r="C25" s="50" t="s">
        <v>101</v>
      </c>
      <c r="D25" s="50" t="s">
        <v>161</v>
      </c>
      <c r="E25" s="50" t="s">
        <v>94</v>
      </c>
      <c r="F25" s="51">
        <v>371531312</v>
      </c>
    </row>
    <row r="26" spans="2:6" x14ac:dyDescent="0.35">
      <c r="B26" s="47" t="s">
        <v>286</v>
      </c>
      <c r="C26" s="47" t="s">
        <v>96</v>
      </c>
      <c r="D26" s="47" t="s">
        <v>161</v>
      </c>
      <c r="E26" s="47" t="s">
        <v>94</v>
      </c>
      <c r="F26" s="48">
        <v>338890194</v>
      </c>
    </row>
    <row r="27" spans="2:6" x14ac:dyDescent="0.35">
      <c r="B27" s="50" t="s">
        <v>156</v>
      </c>
      <c r="C27" s="50" t="s">
        <v>130</v>
      </c>
      <c r="D27" s="50" t="s">
        <v>285</v>
      </c>
      <c r="E27" s="50" t="s">
        <v>94</v>
      </c>
      <c r="F27" s="51">
        <v>272770004</v>
      </c>
    </row>
    <row r="28" spans="2:6" x14ac:dyDescent="0.35">
      <c r="B28" s="47" t="s">
        <v>156</v>
      </c>
      <c r="C28" s="47" t="s">
        <v>124</v>
      </c>
      <c r="D28" s="47" t="s">
        <v>161</v>
      </c>
      <c r="E28" s="47" t="s">
        <v>287</v>
      </c>
      <c r="F28" s="48">
        <v>250695664</v>
      </c>
    </row>
    <row r="29" spans="2:6" x14ac:dyDescent="0.35">
      <c r="B29" s="50" t="s">
        <v>156</v>
      </c>
      <c r="C29" s="50" t="s">
        <v>79</v>
      </c>
      <c r="D29" s="50" t="s">
        <v>285</v>
      </c>
      <c r="E29" s="50" t="s">
        <v>84</v>
      </c>
      <c r="F29" s="51">
        <v>243960735</v>
      </c>
    </row>
    <row r="30" spans="2:6" x14ac:dyDescent="0.35">
      <c r="B30" s="47" t="s">
        <v>286</v>
      </c>
      <c r="C30" s="47" t="s">
        <v>103</v>
      </c>
      <c r="D30" s="47" t="s">
        <v>161</v>
      </c>
      <c r="E30" s="47" t="s">
        <v>94</v>
      </c>
      <c r="F30" s="48">
        <v>222777029</v>
      </c>
    </row>
    <row r="31" spans="2:6" x14ac:dyDescent="0.35">
      <c r="B31" s="50" t="s">
        <v>156</v>
      </c>
      <c r="C31" s="50" t="s">
        <v>102</v>
      </c>
      <c r="D31" s="50" t="s">
        <v>161</v>
      </c>
      <c r="E31" s="50" t="s">
        <v>94</v>
      </c>
      <c r="F31" s="51">
        <v>217099858</v>
      </c>
    </row>
    <row r="32" spans="2:6" x14ac:dyDescent="0.35">
      <c r="B32" s="47" t="s">
        <v>156</v>
      </c>
      <c r="C32" s="47" t="s">
        <v>130</v>
      </c>
      <c r="D32" s="47" t="s">
        <v>285</v>
      </c>
      <c r="E32" s="47" t="s">
        <v>84</v>
      </c>
      <c r="F32" s="48">
        <v>200000000</v>
      </c>
    </row>
    <row r="33" spans="2:6" x14ac:dyDescent="0.35">
      <c r="B33" s="50" t="s">
        <v>156</v>
      </c>
      <c r="C33" s="50" t="s">
        <v>120</v>
      </c>
      <c r="D33" s="50" t="s">
        <v>161</v>
      </c>
      <c r="E33" s="50" t="s">
        <v>119</v>
      </c>
      <c r="F33" s="51">
        <v>167525325</v>
      </c>
    </row>
    <row r="34" spans="2:6" x14ac:dyDescent="0.35">
      <c r="B34" s="47" t="s">
        <v>286</v>
      </c>
      <c r="C34" s="47" t="s">
        <v>98</v>
      </c>
      <c r="D34" s="47" t="s">
        <v>161</v>
      </c>
      <c r="E34" s="47" t="s">
        <v>94</v>
      </c>
      <c r="F34" s="48">
        <v>166772441</v>
      </c>
    </row>
    <row r="35" spans="2:6" x14ac:dyDescent="0.35">
      <c r="B35" s="50" t="s">
        <v>286</v>
      </c>
      <c r="C35" s="50" t="s">
        <v>74</v>
      </c>
      <c r="D35" s="50" t="s">
        <v>161</v>
      </c>
      <c r="E35" s="50" t="s">
        <v>69</v>
      </c>
      <c r="F35" s="51">
        <v>149610074</v>
      </c>
    </row>
    <row r="36" spans="2:6" x14ac:dyDescent="0.35">
      <c r="B36" s="47" t="s">
        <v>286</v>
      </c>
      <c r="C36" s="47" t="s">
        <v>288</v>
      </c>
      <c r="D36" s="47" t="s">
        <v>161</v>
      </c>
      <c r="E36" s="47" t="s">
        <v>69</v>
      </c>
      <c r="F36" s="48">
        <v>145151401</v>
      </c>
    </row>
    <row r="37" spans="2:6" x14ac:dyDescent="0.35">
      <c r="B37" s="50" t="s">
        <v>286</v>
      </c>
      <c r="C37" s="50" t="s">
        <v>70</v>
      </c>
      <c r="D37" s="50" t="s">
        <v>161</v>
      </c>
      <c r="E37" s="50" t="s">
        <v>69</v>
      </c>
      <c r="F37" s="51">
        <v>129390510</v>
      </c>
    </row>
    <row r="38" spans="2:6" x14ac:dyDescent="0.35">
      <c r="B38" s="47" t="s">
        <v>286</v>
      </c>
      <c r="C38" s="47" t="s">
        <v>100</v>
      </c>
      <c r="D38" s="47" t="s">
        <v>161</v>
      </c>
      <c r="E38" s="47" t="s">
        <v>94</v>
      </c>
      <c r="F38" s="48">
        <v>115684705</v>
      </c>
    </row>
    <row r="39" spans="2:6" x14ac:dyDescent="0.35">
      <c r="B39" s="50" t="s">
        <v>156</v>
      </c>
      <c r="C39" s="50" t="s">
        <v>95</v>
      </c>
      <c r="D39" s="50" t="s">
        <v>285</v>
      </c>
      <c r="E39" s="50" t="s">
        <v>94</v>
      </c>
      <c r="F39" s="51">
        <v>91186363</v>
      </c>
    </row>
    <row r="40" spans="2:6" x14ac:dyDescent="0.35">
      <c r="B40" s="47" t="s">
        <v>156</v>
      </c>
      <c r="C40" s="47" t="s">
        <v>117</v>
      </c>
      <c r="D40" s="47" t="s">
        <v>161</v>
      </c>
      <c r="E40" s="47" t="s">
        <v>110</v>
      </c>
      <c r="F40" s="48">
        <v>76635147</v>
      </c>
    </row>
    <row r="41" spans="2:6" x14ac:dyDescent="0.35">
      <c r="B41" s="50" t="s">
        <v>286</v>
      </c>
      <c r="C41" s="50" t="s">
        <v>72</v>
      </c>
      <c r="D41" s="50" t="s">
        <v>161</v>
      </c>
      <c r="E41" s="50" t="s">
        <v>69</v>
      </c>
      <c r="F41" s="51">
        <v>43000000</v>
      </c>
    </row>
    <row r="42" spans="2:6" x14ac:dyDescent="0.35">
      <c r="B42" s="47" t="s">
        <v>286</v>
      </c>
      <c r="C42" s="47" t="s">
        <v>289</v>
      </c>
      <c r="D42" s="47" t="s">
        <v>161</v>
      </c>
      <c r="E42" s="47" t="s">
        <v>84</v>
      </c>
      <c r="F42" s="48">
        <v>36310900</v>
      </c>
    </row>
    <row r="43" spans="2:6" x14ac:dyDescent="0.35">
      <c r="B43" s="50" t="s">
        <v>156</v>
      </c>
      <c r="C43" s="50" t="s">
        <v>107</v>
      </c>
      <c r="D43" s="50" t="s">
        <v>285</v>
      </c>
      <c r="E43" s="50" t="s">
        <v>94</v>
      </c>
      <c r="F43" s="51">
        <v>36193499</v>
      </c>
    </row>
    <row r="44" spans="2:6" x14ac:dyDescent="0.35">
      <c r="B44" s="47" t="s">
        <v>156</v>
      </c>
      <c r="C44" s="47" t="s">
        <v>102</v>
      </c>
      <c r="D44" s="47" t="s">
        <v>285</v>
      </c>
      <c r="E44" s="47" t="s">
        <v>94</v>
      </c>
      <c r="F44" s="48">
        <v>32999394</v>
      </c>
    </row>
    <row r="45" spans="2:6" x14ac:dyDescent="0.35">
      <c r="B45" s="50" t="s">
        <v>286</v>
      </c>
      <c r="C45" s="50" t="s">
        <v>102</v>
      </c>
      <c r="D45" s="50" t="s">
        <v>161</v>
      </c>
      <c r="E45" s="50" t="s">
        <v>94</v>
      </c>
      <c r="F45" s="51">
        <v>32787624</v>
      </c>
    </row>
    <row r="46" spans="2:6" x14ac:dyDescent="0.35">
      <c r="B46" s="47" t="s">
        <v>156</v>
      </c>
      <c r="C46" s="47" t="s">
        <v>130</v>
      </c>
      <c r="D46" s="47" t="s">
        <v>161</v>
      </c>
      <c r="E46" s="47" t="s">
        <v>94</v>
      </c>
      <c r="F46" s="48">
        <v>20088575</v>
      </c>
    </row>
    <row r="47" spans="2:6" x14ac:dyDescent="0.35">
      <c r="B47" s="50" t="s">
        <v>156</v>
      </c>
      <c r="C47" s="50" t="s">
        <v>103</v>
      </c>
      <c r="D47" s="50" t="s">
        <v>285</v>
      </c>
      <c r="E47" s="50" t="s">
        <v>94</v>
      </c>
      <c r="F47" s="51">
        <v>14503917</v>
      </c>
    </row>
    <row r="48" spans="2:6" x14ac:dyDescent="0.35">
      <c r="B48" s="47" t="s">
        <v>156</v>
      </c>
      <c r="C48" s="47" t="s">
        <v>111</v>
      </c>
      <c r="D48" s="47" t="s">
        <v>285</v>
      </c>
      <c r="E48" s="47" t="s">
        <v>110</v>
      </c>
      <c r="F48" s="48">
        <v>11372912</v>
      </c>
    </row>
    <row r="49" spans="2:6" x14ac:dyDescent="0.35">
      <c r="B49" s="50" t="s">
        <v>156</v>
      </c>
      <c r="C49" s="50" t="s">
        <v>72</v>
      </c>
      <c r="D49" s="50" t="s">
        <v>161</v>
      </c>
      <c r="E49" s="50" t="s">
        <v>69</v>
      </c>
      <c r="F49" s="51">
        <v>10000000</v>
      </c>
    </row>
    <row r="50" spans="2:6" x14ac:dyDescent="0.35">
      <c r="B50" s="47" t="s">
        <v>286</v>
      </c>
      <c r="C50" s="47" t="s">
        <v>124</v>
      </c>
      <c r="D50" s="47" t="s">
        <v>161</v>
      </c>
      <c r="E50" s="47" t="s">
        <v>287</v>
      </c>
      <c r="F50" s="48">
        <v>8070500</v>
      </c>
    </row>
    <row r="51" spans="2:6" x14ac:dyDescent="0.35">
      <c r="B51" s="50" t="s">
        <v>286</v>
      </c>
      <c r="C51" s="50" t="s">
        <v>96</v>
      </c>
      <c r="D51" s="50" t="s">
        <v>285</v>
      </c>
      <c r="E51" s="50" t="s">
        <v>94</v>
      </c>
      <c r="F51" s="51">
        <v>7382700</v>
      </c>
    </row>
    <row r="52" spans="2:6" x14ac:dyDescent="0.35">
      <c r="B52" s="47" t="s">
        <v>156</v>
      </c>
      <c r="C52" s="47" t="s">
        <v>98</v>
      </c>
      <c r="D52" s="47" t="s">
        <v>285</v>
      </c>
      <c r="E52" s="47" t="s">
        <v>94</v>
      </c>
      <c r="F52" s="48">
        <v>6200000</v>
      </c>
    </row>
    <row r="53" spans="2:6" x14ac:dyDescent="0.35">
      <c r="B53" s="50" t="s">
        <v>156</v>
      </c>
      <c r="C53" s="50" t="s">
        <v>114</v>
      </c>
      <c r="D53" s="50" t="s">
        <v>285</v>
      </c>
      <c r="E53" s="50" t="s">
        <v>110</v>
      </c>
      <c r="F53" s="51">
        <v>4494590</v>
      </c>
    </row>
    <row r="54" spans="2:6" x14ac:dyDescent="0.35">
      <c r="B54" s="47" t="s">
        <v>156</v>
      </c>
      <c r="C54" s="47" t="s">
        <v>117</v>
      </c>
      <c r="D54" s="47" t="s">
        <v>285</v>
      </c>
      <c r="E54" s="47" t="s">
        <v>110</v>
      </c>
      <c r="F54" s="48">
        <v>3677166</v>
      </c>
    </row>
    <row r="55" spans="2:6" x14ac:dyDescent="0.35">
      <c r="B55" s="50" t="s">
        <v>286</v>
      </c>
      <c r="C55" s="50" t="s">
        <v>107</v>
      </c>
      <c r="D55" s="50" t="s">
        <v>161</v>
      </c>
      <c r="E55" s="50" t="s">
        <v>94</v>
      </c>
      <c r="F55" s="51">
        <v>3199136</v>
      </c>
    </row>
    <row r="56" spans="2:6" x14ac:dyDescent="0.35">
      <c r="B56" s="47" t="s">
        <v>286</v>
      </c>
      <c r="C56" s="47" t="s">
        <v>130</v>
      </c>
      <c r="D56" s="47" t="s">
        <v>161</v>
      </c>
      <c r="E56" s="47" t="s">
        <v>94</v>
      </c>
      <c r="F56" s="48">
        <v>1351000</v>
      </c>
    </row>
    <row r="57" spans="2:6" x14ac:dyDescent="0.35">
      <c r="B57" s="50" t="s">
        <v>286</v>
      </c>
      <c r="C57" s="50" t="s">
        <v>102</v>
      </c>
      <c r="D57" s="50" t="s">
        <v>285</v>
      </c>
      <c r="E57" s="50" t="s">
        <v>94</v>
      </c>
      <c r="F57" s="51">
        <v>805728</v>
      </c>
    </row>
    <row r="58" spans="2:6" x14ac:dyDescent="0.35">
      <c r="B58" s="47" t="s">
        <v>156</v>
      </c>
      <c r="C58" s="47" t="s">
        <v>93</v>
      </c>
      <c r="D58" s="47" t="s">
        <v>285</v>
      </c>
      <c r="E58" s="47" t="s">
        <v>84</v>
      </c>
      <c r="F58" s="48">
        <v>400000</v>
      </c>
    </row>
    <row r="59" spans="2:6" x14ac:dyDescent="0.35">
      <c r="B59" s="50" t="s">
        <v>286</v>
      </c>
      <c r="C59" s="50" t="s">
        <v>111</v>
      </c>
      <c r="D59" s="50" t="s">
        <v>161</v>
      </c>
      <c r="E59" s="50" t="s">
        <v>110</v>
      </c>
      <c r="F59" s="51">
        <v>289684</v>
      </c>
    </row>
    <row r="60" spans="2:6" x14ac:dyDescent="0.35">
      <c r="B60" s="47" t="s">
        <v>286</v>
      </c>
      <c r="C60" s="47" t="s">
        <v>114</v>
      </c>
      <c r="D60" s="47" t="s">
        <v>161</v>
      </c>
      <c r="E60" s="47" t="s">
        <v>110</v>
      </c>
      <c r="F60" s="48">
        <v>194595</v>
      </c>
    </row>
    <row r="61" spans="2:6" x14ac:dyDescent="0.35">
      <c r="B61" s="47"/>
      <c r="C61" s="47"/>
      <c r="D61" s="47"/>
      <c r="E61" s="47"/>
      <c r="F61" s="48"/>
    </row>
    <row r="62" spans="2:6" x14ac:dyDescent="0.35">
      <c r="F62" s="52">
        <f>SUM(F4:F61)</f>
        <v>167753230229</v>
      </c>
    </row>
  </sheetData>
  <autoFilter ref="B3:F60" xr:uid="{00000000-0009-0000-0000-000027000000}">
    <sortState xmlns:xlrd2="http://schemas.microsoft.com/office/spreadsheetml/2017/richdata2" ref="B4:F60">
      <sortCondition descending="1" ref="F3:F60"/>
    </sortState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BBE6-14E4-4C2B-B3EB-CFD53CB0E73A}">
  <sheetPr>
    <tabColor rgb="FF92D050"/>
  </sheetPr>
  <dimension ref="A1:E188"/>
  <sheetViews>
    <sheetView showGridLines="0" workbookViewId="0">
      <selection activeCell="C14" sqref="C14"/>
    </sheetView>
  </sheetViews>
  <sheetFormatPr baseColWidth="10" defaultColWidth="12.6328125" defaultRowHeight="12" x14ac:dyDescent="0.3"/>
  <cols>
    <col min="1" max="1" width="5.90625" style="56" customWidth="1"/>
    <col min="2" max="2" width="14.54296875" style="56" bestFit="1" customWidth="1"/>
    <col min="3" max="3" width="65.7265625" style="56" bestFit="1" customWidth="1"/>
    <col min="4" max="4" width="12.6328125" style="56" bestFit="1" customWidth="1"/>
    <col min="5" max="5" width="21.90625" style="56" bestFit="1" customWidth="1"/>
    <col min="6" max="16384" width="12.6328125" style="56"/>
  </cols>
  <sheetData>
    <row r="1" spans="1:5" ht="18.5" x14ac:dyDescent="0.3">
      <c r="A1" s="55" t="s">
        <v>290</v>
      </c>
    </row>
    <row r="3" spans="1:5" ht="12.5" thickBot="1" x14ac:dyDescent="0.35">
      <c r="B3" s="57" t="s">
        <v>156</v>
      </c>
      <c r="C3" s="57" t="s">
        <v>157</v>
      </c>
      <c r="D3" s="58" t="s">
        <v>158</v>
      </c>
      <c r="E3" s="58" t="s">
        <v>159</v>
      </c>
    </row>
    <row r="4" spans="1:5" x14ac:dyDescent="0.3">
      <c r="B4" s="59" t="s">
        <v>156</v>
      </c>
      <c r="C4" s="59" t="s">
        <v>160</v>
      </c>
      <c r="D4" s="59" t="s">
        <v>161</v>
      </c>
      <c r="E4" s="60">
        <v>34942114091</v>
      </c>
    </row>
    <row r="5" spans="1:5" x14ac:dyDescent="0.3">
      <c r="B5" s="61" t="s">
        <v>156</v>
      </c>
      <c r="C5" s="62" t="s">
        <v>162</v>
      </c>
      <c r="D5" s="62" t="s">
        <v>161</v>
      </c>
      <c r="E5" s="63">
        <v>34832819478</v>
      </c>
    </row>
    <row r="6" spans="1:5" x14ac:dyDescent="0.3">
      <c r="B6" s="59" t="s">
        <v>156</v>
      </c>
      <c r="C6" s="59" t="s">
        <v>163</v>
      </c>
      <c r="D6" s="59" t="s">
        <v>161</v>
      </c>
      <c r="E6" s="60">
        <v>22860727343</v>
      </c>
    </row>
    <row r="7" spans="1:5" x14ac:dyDescent="0.3">
      <c r="B7" s="61" t="s">
        <v>156</v>
      </c>
      <c r="C7" s="62" t="s">
        <v>164</v>
      </c>
      <c r="D7" s="62" t="s">
        <v>161</v>
      </c>
      <c r="E7" s="63">
        <v>21722309357</v>
      </c>
    </row>
    <row r="8" spans="1:5" x14ac:dyDescent="0.3">
      <c r="B8" s="59" t="s">
        <v>156</v>
      </c>
      <c r="C8" s="59" t="s">
        <v>165</v>
      </c>
      <c r="D8" s="59" t="s">
        <v>161</v>
      </c>
      <c r="E8" s="60">
        <v>18310353596</v>
      </c>
    </row>
    <row r="9" spans="1:5" x14ac:dyDescent="0.3">
      <c r="B9" s="61" t="s">
        <v>156</v>
      </c>
      <c r="C9" s="62" t="s">
        <v>166</v>
      </c>
      <c r="D9" s="62" t="s">
        <v>161</v>
      </c>
      <c r="E9" s="63">
        <v>12612355427</v>
      </c>
    </row>
    <row r="10" spans="1:5" x14ac:dyDescent="0.3">
      <c r="B10" s="59" t="s">
        <v>156</v>
      </c>
      <c r="C10" s="59" t="s">
        <v>167</v>
      </c>
      <c r="D10" s="59" t="s">
        <v>285</v>
      </c>
      <c r="E10" s="60">
        <v>7670216930</v>
      </c>
    </row>
    <row r="11" spans="1:5" x14ac:dyDescent="0.3">
      <c r="B11" s="61" t="s">
        <v>156</v>
      </c>
      <c r="C11" s="62" t="s">
        <v>170</v>
      </c>
      <c r="D11" s="62" t="s">
        <v>161</v>
      </c>
      <c r="E11" s="63">
        <v>4692484649</v>
      </c>
    </row>
    <row r="12" spans="1:5" x14ac:dyDescent="0.3">
      <c r="B12" s="59" t="s">
        <v>156</v>
      </c>
      <c r="C12" s="59" t="s">
        <v>169</v>
      </c>
      <c r="D12" s="59" t="s">
        <v>161</v>
      </c>
      <c r="E12" s="60">
        <v>4652204000</v>
      </c>
    </row>
    <row r="13" spans="1:5" x14ac:dyDescent="0.3">
      <c r="B13" s="61" t="s">
        <v>156</v>
      </c>
      <c r="C13" s="62" t="s">
        <v>172</v>
      </c>
      <c r="D13" s="62" t="s">
        <v>285</v>
      </c>
      <c r="E13" s="63">
        <v>3446902137</v>
      </c>
    </row>
    <row r="14" spans="1:5" x14ac:dyDescent="0.3">
      <c r="B14" s="59" t="s">
        <v>156</v>
      </c>
      <c r="C14" s="59" t="s">
        <v>171</v>
      </c>
      <c r="D14" s="59" t="s">
        <v>161</v>
      </c>
      <c r="E14" s="60">
        <v>2864530762</v>
      </c>
    </row>
    <row r="15" spans="1:5" x14ac:dyDescent="0.3">
      <c r="B15" s="61" t="s">
        <v>156</v>
      </c>
      <c r="C15" s="62" t="s">
        <v>173</v>
      </c>
      <c r="D15" s="62" t="s">
        <v>285</v>
      </c>
      <c r="E15" s="63">
        <v>2085884933.8850574</v>
      </c>
    </row>
    <row r="16" spans="1:5" x14ac:dyDescent="0.3">
      <c r="B16" s="59" t="s">
        <v>180</v>
      </c>
      <c r="C16" s="59" t="s">
        <v>291</v>
      </c>
      <c r="D16" s="59" t="s">
        <v>285</v>
      </c>
      <c r="E16" s="60">
        <v>942856474</v>
      </c>
    </row>
    <row r="17" spans="2:5" x14ac:dyDescent="0.3">
      <c r="B17" s="61" t="s">
        <v>156</v>
      </c>
      <c r="C17" s="62" t="s">
        <v>174</v>
      </c>
      <c r="D17" s="62" t="s">
        <v>161</v>
      </c>
      <c r="E17" s="63">
        <v>914249608</v>
      </c>
    </row>
    <row r="18" spans="2:5" x14ac:dyDescent="0.3">
      <c r="B18" s="59" t="s">
        <v>156</v>
      </c>
      <c r="C18" s="59" t="s">
        <v>176</v>
      </c>
      <c r="D18" s="59" t="s">
        <v>285</v>
      </c>
      <c r="E18" s="60">
        <v>768237263</v>
      </c>
    </row>
    <row r="19" spans="2:5" x14ac:dyDescent="0.3">
      <c r="B19" s="61" t="s">
        <v>156</v>
      </c>
      <c r="C19" s="62" t="s">
        <v>175</v>
      </c>
      <c r="D19" s="62" t="s">
        <v>161</v>
      </c>
      <c r="E19" s="63">
        <v>741061129</v>
      </c>
    </row>
    <row r="20" spans="2:5" x14ac:dyDescent="0.3">
      <c r="B20" s="59" t="s">
        <v>156</v>
      </c>
      <c r="C20" s="59" t="s">
        <v>177</v>
      </c>
      <c r="D20" s="59" t="s">
        <v>161</v>
      </c>
      <c r="E20" s="60">
        <v>661419695</v>
      </c>
    </row>
    <row r="21" spans="2:5" x14ac:dyDescent="0.3">
      <c r="B21" s="61" t="s">
        <v>156</v>
      </c>
      <c r="C21" s="62" t="s">
        <v>75</v>
      </c>
      <c r="D21" s="62" t="s">
        <v>285</v>
      </c>
      <c r="E21" s="63">
        <v>539549946</v>
      </c>
    </row>
    <row r="22" spans="2:5" x14ac:dyDescent="0.3">
      <c r="B22" s="59" t="s">
        <v>156</v>
      </c>
      <c r="C22" s="59" t="s">
        <v>179</v>
      </c>
      <c r="D22" s="59" t="s">
        <v>161</v>
      </c>
      <c r="E22" s="60">
        <v>459248096</v>
      </c>
    </row>
    <row r="23" spans="2:5" x14ac:dyDescent="0.3">
      <c r="B23" s="61" t="s">
        <v>156</v>
      </c>
      <c r="C23" s="62" t="s">
        <v>178</v>
      </c>
      <c r="D23" s="62" t="s">
        <v>161</v>
      </c>
      <c r="E23" s="63">
        <v>449337753</v>
      </c>
    </row>
    <row r="24" spans="2:5" x14ac:dyDescent="0.3">
      <c r="B24" s="59" t="s">
        <v>156</v>
      </c>
      <c r="C24" s="59" t="s">
        <v>279</v>
      </c>
      <c r="D24" s="59" t="s">
        <v>285</v>
      </c>
      <c r="E24" s="60">
        <v>382862250</v>
      </c>
    </row>
    <row r="25" spans="2:5" x14ac:dyDescent="0.3">
      <c r="B25" s="61" t="s">
        <v>180</v>
      </c>
      <c r="C25" s="62" t="s">
        <v>181</v>
      </c>
      <c r="D25" s="62" t="s">
        <v>161</v>
      </c>
      <c r="E25" s="63">
        <v>174473430</v>
      </c>
    </row>
    <row r="26" spans="2:5" x14ac:dyDescent="0.3">
      <c r="B26" s="59" t="s">
        <v>180</v>
      </c>
      <c r="C26" s="59" t="s">
        <v>182</v>
      </c>
      <c r="D26" s="59" t="s">
        <v>161</v>
      </c>
      <c r="E26" s="60">
        <v>167788776</v>
      </c>
    </row>
    <row r="27" spans="2:5" x14ac:dyDescent="0.3">
      <c r="B27" s="61" t="s">
        <v>156</v>
      </c>
      <c r="C27" s="62" t="s">
        <v>184</v>
      </c>
      <c r="D27" s="62" t="s">
        <v>161</v>
      </c>
      <c r="E27" s="63">
        <v>156452046</v>
      </c>
    </row>
    <row r="28" spans="2:5" x14ac:dyDescent="0.3">
      <c r="B28" s="59" t="s">
        <v>180</v>
      </c>
      <c r="C28" s="59" t="s">
        <v>183</v>
      </c>
      <c r="D28" s="59" t="s">
        <v>161</v>
      </c>
      <c r="E28" s="60">
        <v>116843757</v>
      </c>
    </row>
    <row r="29" spans="2:5" x14ac:dyDescent="0.3">
      <c r="B29" s="61" t="s">
        <v>180</v>
      </c>
      <c r="C29" s="62" t="s">
        <v>292</v>
      </c>
      <c r="D29" s="62" t="s">
        <v>285</v>
      </c>
      <c r="E29" s="63">
        <v>109689672</v>
      </c>
    </row>
    <row r="30" spans="2:5" x14ac:dyDescent="0.3">
      <c r="B30" s="59" t="s">
        <v>180</v>
      </c>
      <c r="C30" s="59" t="s">
        <v>185</v>
      </c>
      <c r="D30" s="59" t="s">
        <v>161</v>
      </c>
      <c r="E30" s="60">
        <v>107544628</v>
      </c>
    </row>
    <row r="31" spans="2:5" x14ac:dyDescent="0.3">
      <c r="B31" s="61" t="s">
        <v>180</v>
      </c>
      <c r="C31" s="62" t="s">
        <v>186</v>
      </c>
      <c r="D31" s="62" t="s">
        <v>161</v>
      </c>
      <c r="E31" s="63">
        <v>90000000</v>
      </c>
    </row>
    <row r="32" spans="2:5" x14ac:dyDescent="0.3">
      <c r="B32" s="59" t="s">
        <v>180</v>
      </c>
      <c r="C32" s="59" t="s">
        <v>293</v>
      </c>
      <c r="D32" s="59" t="s">
        <v>161</v>
      </c>
      <c r="E32" s="60">
        <v>85000000</v>
      </c>
    </row>
    <row r="33" spans="2:5" x14ac:dyDescent="0.3">
      <c r="B33" s="61" t="s">
        <v>180</v>
      </c>
      <c r="C33" s="62" t="s">
        <v>187</v>
      </c>
      <c r="D33" s="62" t="s">
        <v>161</v>
      </c>
      <c r="E33" s="63">
        <v>82276587</v>
      </c>
    </row>
    <row r="34" spans="2:5" x14ac:dyDescent="0.3">
      <c r="B34" s="59" t="s">
        <v>180</v>
      </c>
      <c r="C34" s="59" t="s">
        <v>188</v>
      </c>
      <c r="D34" s="59" t="s">
        <v>161</v>
      </c>
      <c r="E34" s="60">
        <v>81617736</v>
      </c>
    </row>
    <row r="35" spans="2:5" x14ac:dyDescent="0.3">
      <c r="B35" s="61" t="s">
        <v>156</v>
      </c>
      <c r="C35" s="62" t="s">
        <v>189</v>
      </c>
      <c r="D35" s="62" t="s">
        <v>161</v>
      </c>
      <c r="E35" s="63">
        <v>74189442</v>
      </c>
    </row>
    <row r="36" spans="2:5" x14ac:dyDescent="0.3">
      <c r="B36" s="59" t="s">
        <v>156</v>
      </c>
      <c r="C36" s="59" t="s">
        <v>191</v>
      </c>
      <c r="D36" s="59" t="s">
        <v>285</v>
      </c>
      <c r="E36" s="60">
        <v>62832824</v>
      </c>
    </row>
    <row r="37" spans="2:5" x14ac:dyDescent="0.3">
      <c r="B37" s="61" t="s">
        <v>180</v>
      </c>
      <c r="C37" s="62" t="s">
        <v>190</v>
      </c>
      <c r="D37" s="62" t="s">
        <v>161</v>
      </c>
      <c r="E37" s="63">
        <v>62282986</v>
      </c>
    </row>
    <row r="38" spans="2:5" x14ac:dyDescent="0.3">
      <c r="B38" s="59" t="s">
        <v>180</v>
      </c>
      <c r="C38" s="59" t="s">
        <v>193</v>
      </c>
      <c r="D38" s="59" t="s">
        <v>161</v>
      </c>
      <c r="E38" s="60">
        <v>58795233</v>
      </c>
    </row>
    <row r="39" spans="2:5" x14ac:dyDescent="0.3">
      <c r="B39" s="61" t="s">
        <v>180</v>
      </c>
      <c r="C39" s="62" t="s">
        <v>192</v>
      </c>
      <c r="D39" s="62" t="s">
        <v>161</v>
      </c>
      <c r="E39" s="63">
        <v>58001148</v>
      </c>
    </row>
    <row r="40" spans="2:5" x14ac:dyDescent="0.3">
      <c r="B40" s="59" t="s">
        <v>180</v>
      </c>
      <c r="C40" s="59" t="s">
        <v>195</v>
      </c>
      <c r="D40" s="59" t="s">
        <v>161</v>
      </c>
      <c r="E40" s="60">
        <v>47982820</v>
      </c>
    </row>
    <row r="41" spans="2:5" x14ac:dyDescent="0.3">
      <c r="B41" s="61" t="s">
        <v>180</v>
      </c>
      <c r="C41" s="62" t="s">
        <v>294</v>
      </c>
      <c r="D41" s="62" t="s">
        <v>161</v>
      </c>
      <c r="E41" s="63">
        <v>38462201</v>
      </c>
    </row>
    <row r="42" spans="2:5" x14ac:dyDescent="0.3">
      <c r="B42" s="59" t="s">
        <v>180</v>
      </c>
      <c r="C42" s="59" t="s">
        <v>194</v>
      </c>
      <c r="D42" s="59" t="s">
        <v>161</v>
      </c>
      <c r="E42" s="60">
        <v>38063855</v>
      </c>
    </row>
    <row r="43" spans="2:5" x14ac:dyDescent="0.3">
      <c r="B43" s="61" t="s">
        <v>180</v>
      </c>
      <c r="C43" s="62" t="s">
        <v>196</v>
      </c>
      <c r="D43" s="62" t="s">
        <v>161</v>
      </c>
      <c r="E43" s="63">
        <v>36754451</v>
      </c>
    </row>
    <row r="44" spans="2:5" x14ac:dyDescent="0.3">
      <c r="B44" s="59" t="s">
        <v>180</v>
      </c>
      <c r="C44" s="59" t="s">
        <v>295</v>
      </c>
      <c r="D44" s="59" t="s">
        <v>161</v>
      </c>
      <c r="E44" s="60">
        <v>35571536</v>
      </c>
    </row>
    <row r="45" spans="2:5" x14ac:dyDescent="0.3">
      <c r="B45" s="61" t="s">
        <v>180</v>
      </c>
      <c r="C45" s="62" t="s">
        <v>296</v>
      </c>
      <c r="D45" s="62" t="s">
        <v>161</v>
      </c>
      <c r="E45" s="63">
        <v>33609822</v>
      </c>
    </row>
    <row r="46" spans="2:5" x14ac:dyDescent="0.3">
      <c r="B46" s="59" t="s">
        <v>180</v>
      </c>
      <c r="C46" s="59" t="s">
        <v>197</v>
      </c>
      <c r="D46" s="59" t="s">
        <v>161</v>
      </c>
      <c r="E46" s="60">
        <v>32590223</v>
      </c>
    </row>
    <row r="47" spans="2:5" x14ac:dyDescent="0.3">
      <c r="B47" s="61" t="s">
        <v>180</v>
      </c>
      <c r="C47" s="62" t="s">
        <v>198</v>
      </c>
      <c r="D47" s="62" t="s">
        <v>161</v>
      </c>
      <c r="E47" s="63">
        <v>30452161</v>
      </c>
    </row>
    <row r="48" spans="2:5" x14ac:dyDescent="0.3">
      <c r="B48" s="59" t="s">
        <v>180</v>
      </c>
      <c r="C48" s="59" t="s">
        <v>297</v>
      </c>
      <c r="D48" s="59" t="s">
        <v>161</v>
      </c>
      <c r="E48" s="60">
        <v>26837369</v>
      </c>
    </row>
    <row r="49" spans="2:5" x14ac:dyDescent="0.3">
      <c r="B49" s="61" t="s">
        <v>180</v>
      </c>
      <c r="C49" s="62" t="s">
        <v>200</v>
      </c>
      <c r="D49" s="62" t="s">
        <v>161</v>
      </c>
      <c r="E49" s="63">
        <v>21970610</v>
      </c>
    </row>
    <row r="50" spans="2:5" x14ac:dyDescent="0.3">
      <c r="B50" s="59" t="s">
        <v>180</v>
      </c>
      <c r="C50" s="59" t="s">
        <v>199</v>
      </c>
      <c r="D50" s="59" t="s">
        <v>161</v>
      </c>
      <c r="E50" s="60">
        <v>21913900</v>
      </c>
    </row>
    <row r="51" spans="2:5" x14ac:dyDescent="0.3">
      <c r="B51" s="61" t="s">
        <v>180</v>
      </c>
      <c r="C51" s="62" t="s">
        <v>298</v>
      </c>
      <c r="D51" s="62" t="s">
        <v>161</v>
      </c>
      <c r="E51" s="63">
        <v>20611088</v>
      </c>
    </row>
    <row r="52" spans="2:5" x14ac:dyDescent="0.3">
      <c r="B52" s="59" t="s">
        <v>180</v>
      </c>
      <c r="C52" s="59" t="s">
        <v>299</v>
      </c>
      <c r="D52" s="59" t="s">
        <v>161</v>
      </c>
      <c r="E52" s="60">
        <v>16590000</v>
      </c>
    </row>
    <row r="53" spans="2:5" x14ac:dyDescent="0.3">
      <c r="B53" s="61" t="s">
        <v>156</v>
      </c>
      <c r="C53" s="62" t="s">
        <v>201</v>
      </c>
      <c r="D53" s="62" t="s">
        <v>161</v>
      </c>
      <c r="E53" s="63">
        <v>16121352</v>
      </c>
    </row>
    <row r="54" spans="2:5" x14ac:dyDescent="0.3">
      <c r="B54" s="59" t="s">
        <v>180</v>
      </c>
      <c r="C54" s="59" t="s">
        <v>202</v>
      </c>
      <c r="D54" s="59" t="s">
        <v>161</v>
      </c>
      <c r="E54" s="60">
        <v>14299151</v>
      </c>
    </row>
    <row r="55" spans="2:5" x14ac:dyDescent="0.3">
      <c r="B55" s="61" t="s">
        <v>180</v>
      </c>
      <c r="C55" s="62" t="s">
        <v>203</v>
      </c>
      <c r="D55" s="62" t="s">
        <v>161</v>
      </c>
      <c r="E55" s="63">
        <v>14168704</v>
      </c>
    </row>
    <row r="56" spans="2:5" x14ac:dyDescent="0.3">
      <c r="B56" s="59" t="s">
        <v>180</v>
      </c>
      <c r="C56" s="59" t="s">
        <v>300</v>
      </c>
      <c r="D56" s="59" t="s">
        <v>161</v>
      </c>
      <c r="E56" s="60">
        <v>13113184</v>
      </c>
    </row>
    <row r="57" spans="2:5" x14ac:dyDescent="0.3">
      <c r="B57" s="61" t="s">
        <v>180</v>
      </c>
      <c r="C57" s="62" t="s">
        <v>204</v>
      </c>
      <c r="D57" s="62" t="s">
        <v>161</v>
      </c>
      <c r="E57" s="63">
        <v>13059911</v>
      </c>
    </row>
    <row r="58" spans="2:5" x14ac:dyDescent="0.3">
      <c r="B58" s="59" t="s">
        <v>180</v>
      </c>
      <c r="C58" s="59" t="s">
        <v>205</v>
      </c>
      <c r="D58" s="59" t="s">
        <v>161</v>
      </c>
      <c r="E58" s="60">
        <v>12811295</v>
      </c>
    </row>
    <row r="59" spans="2:5" x14ac:dyDescent="0.3">
      <c r="B59" s="61" t="s">
        <v>180</v>
      </c>
      <c r="C59" s="62" t="s">
        <v>301</v>
      </c>
      <c r="D59" s="62" t="s">
        <v>161</v>
      </c>
      <c r="E59" s="63">
        <v>12778646</v>
      </c>
    </row>
    <row r="60" spans="2:5" x14ac:dyDescent="0.3">
      <c r="B60" s="59" t="s">
        <v>180</v>
      </c>
      <c r="C60" s="59" t="s">
        <v>302</v>
      </c>
      <c r="D60" s="59" t="s">
        <v>161</v>
      </c>
      <c r="E60" s="60">
        <v>11893000</v>
      </c>
    </row>
    <row r="61" spans="2:5" x14ac:dyDescent="0.3">
      <c r="B61" s="61" t="s">
        <v>180</v>
      </c>
      <c r="C61" s="62" t="s">
        <v>303</v>
      </c>
      <c r="D61" s="62" t="s">
        <v>161</v>
      </c>
      <c r="E61" s="63">
        <v>11193597</v>
      </c>
    </row>
    <row r="62" spans="2:5" x14ac:dyDescent="0.3">
      <c r="B62" s="59" t="s">
        <v>180</v>
      </c>
      <c r="C62" s="59" t="s">
        <v>304</v>
      </c>
      <c r="D62" s="59" t="s">
        <v>161</v>
      </c>
      <c r="E62" s="60">
        <v>10160349</v>
      </c>
    </row>
    <row r="63" spans="2:5" x14ac:dyDescent="0.3">
      <c r="B63" s="61" t="s">
        <v>180</v>
      </c>
      <c r="C63" s="62" t="s">
        <v>305</v>
      </c>
      <c r="D63" s="62" t="s">
        <v>161</v>
      </c>
      <c r="E63" s="63">
        <v>10004450</v>
      </c>
    </row>
    <row r="64" spans="2:5" x14ac:dyDescent="0.3">
      <c r="B64" s="59" t="s">
        <v>180</v>
      </c>
      <c r="C64" s="59" t="s">
        <v>206</v>
      </c>
      <c r="D64" s="59" t="s">
        <v>161</v>
      </c>
      <c r="E64" s="60">
        <v>9970812</v>
      </c>
    </row>
    <row r="65" spans="2:5" x14ac:dyDescent="0.3">
      <c r="B65" s="61" t="s">
        <v>180</v>
      </c>
      <c r="C65" s="62" t="s">
        <v>306</v>
      </c>
      <c r="D65" s="62" t="s">
        <v>161</v>
      </c>
      <c r="E65" s="63">
        <v>9529706</v>
      </c>
    </row>
    <row r="66" spans="2:5" x14ac:dyDescent="0.3">
      <c r="B66" s="59" t="s">
        <v>180</v>
      </c>
      <c r="C66" s="59" t="s">
        <v>207</v>
      </c>
      <c r="D66" s="59" t="s">
        <v>161</v>
      </c>
      <c r="E66" s="60">
        <v>9416327</v>
      </c>
    </row>
    <row r="67" spans="2:5" x14ac:dyDescent="0.3">
      <c r="B67" s="61" t="s">
        <v>180</v>
      </c>
      <c r="C67" s="62" t="s">
        <v>307</v>
      </c>
      <c r="D67" s="62" t="s">
        <v>161</v>
      </c>
      <c r="E67" s="63">
        <v>9285379</v>
      </c>
    </row>
    <row r="68" spans="2:5" x14ac:dyDescent="0.3">
      <c r="B68" s="59" t="s">
        <v>180</v>
      </c>
      <c r="C68" s="59" t="s">
        <v>308</v>
      </c>
      <c r="D68" s="59" t="s">
        <v>285</v>
      </c>
      <c r="E68" s="60">
        <v>9027349</v>
      </c>
    </row>
    <row r="69" spans="2:5" x14ac:dyDescent="0.3">
      <c r="B69" s="61" t="s">
        <v>180</v>
      </c>
      <c r="C69" s="62" t="s">
        <v>309</v>
      </c>
      <c r="D69" s="62" t="s">
        <v>285</v>
      </c>
      <c r="E69" s="63">
        <v>9016821</v>
      </c>
    </row>
    <row r="70" spans="2:5" x14ac:dyDescent="0.3">
      <c r="B70" s="59" t="s">
        <v>180</v>
      </c>
      <c r="C70" s="59" t="s">
        <v>208</v>
      </c>
      <c r="D70" s="59" t="s">
        <v>161</v>
      </c>
      <c r="E70" s="60">
        <v>9000000</v>
      </c>
    </row>
    <row r="71" spans="2:5" x14ac:dyDescent="0.3">
      <c r="B71" s="61" t="s">
        <v>180</v>
      </c>
      <c r="C71" s="62" t="s">
        <v>209</v>
      </c>
      <c r="D71" s="62" t="s">
        <v>161</v>
      </c>
      <c r="E71" s="63">
        <v>9000000</v>
      </c>
    </row>
    <row r="72" spans="2:5" x14ac:dyDescent="0.3">
      <c r="B72" s="59" t="s">
        <v>180</v>
      </c>
      <c r="C72" s="59" t="s">
        <v>310</v>
      </c>
      <c r="D72" s="59" t="s">
        <v>285</v>
      </c>
      <c r="E72" s="60">
        <v>8995421</v>
      </c>
    </row>
    <row r="73" spans="2:5" x14ac:dyDescent="0.3">
      <c r="B73" s="61" t="s">
        <v>180</v>
      </c>
      <c r="C73" s="62" t="s">
        <v>311</v>
      </c>
      <c r="D73" s="62" t="s">
        <v>161</v>
      </c>
      <c r="E73" s="63">
        <v>8364185</v>
      </c>
    </row>
    <row r="74" spans="2:5" x14ac:dyDescent="0.3">
      <c r="B74" s="59" t="s">
        <v>180</v>
      </c>
      <c r="C74" s="59" t="s">
        <v>312</v>
      </c>
      <c r="D74" s="59" t="s">
        <v>285</v>
      </c>
      <c r="E74" s="60">
        <v>8221350</v>
      </c>
    </row>
    <row r="75" spans="2:5" x14ac:dyDescent="0.3">
      <c r="B75" s="61" t="s">
        <v>180</v>
      </c>
      <c r="C75" s="62" t="s">
        <v>313</v>
      </c>
      <c r="D75" s="62" t="s">
        <v>161</v>
      </c>
      <c r="E75" s="63">
        <v>8207969</v>
      </c>
    </row>
    <row r="76" spans="2:5" x14ac:dyDescent="0.3">
      <c r="B76" s="59" t="s">
        <v>180</v>
      </c>
      <c r="C76" s="59" t="s">
        <v>314</v>
      </c>
      <c r="D76" s="59" t="s">
        <v>161</v>
      </c>
      <c r="E76" s="60">
        <v>7974864</v>
      </c>
    </row>
    <row r="77" spans="2:5" x14ac:dyDescent="0.3">
      <c r="B77" s="61" t="s">
        <v>156</v>
      </c>
      <c r="C77" s="62" t="s">
        <v>266</v>
      </c>
      <c r="D77" s="62" t="s">
        <v>285</v>
      </c>
      <c r="E77" s="63">
        <v>7629040</v>
      </c>
    </row>
    <row r="78" spans="2:5" x14ac:dyDescent="0.3">
      <c r="B78" s="59" t="s">
        <v>180</v>
      </c>
      <c r="C78" s="59" t="s">
        <v>315</v>
      </c>
      <c r="D78" s="59" t="s">
        <v>161</v>
      </c>
      <c r="E78" s="60">
        <v>7473282</v>
      </c>
    </row>
    <row r="79" spans="2:5" x14ac:dyDescent="0.3">
      <c r="B79" s="61" t="s">
        <v>180</v>
      </c>
      <c r="C79" s="62" t="s">
        <v>316</v>
      </c>
      <c r="D79" s="62" t="s">
        <v>285</v>
      </c>
      <c r="E79" s="63">
        <v>7283504</v>
      </c>
    </row>
    <row r="80" spans="2:5" x14ac:dyDescent="0.3">
      <c r="B80" s="59" t="s">
        <v>180</v>
      </c>
      <c r="C80" s="59" t="s">
        <v>210</v>
      </c>
      <c r="D80" s="59" t="s">
        <v>285</v>
      </c>
      <c r="E80" s="60">
        <v>7196609</v>
      </c>
    </row>
    <row r="81" spans="2:5" x14ac:dyDescent="0.3">
      <c r="B81" s="61" t="s">
        <v>180</v>
      </c>
      <c r="C81" s="62" t="s">
        <v>317</v>
      </c>
      <c r="D81" s="62" t="s">
        <v>161</v>
      </c>
      <c r="E81" s="63">
        <v>7100000</v>
      </c>
    </row>
    <row r="82" spans="2:5" x14ac:dyDescent="0.3">
      <c r="B82" s="59" t="s">
        <v>180</v>
      </c>
      <c r="C82" s="59" t="s">
        <v>318</v>
      </c>
      <c r="D82" s="59" t="s">
        <v>161</v>
      </c>
      <c r="E82" s="60">
        <v>6978031</v>
      </c>
    </row>
    <row r="83" spans="2:5" x14ac:dyDescent="0.3">
      <c r="B83" s="61" t="s">
        <v>180</v>
      </c>
      <c r="C83" s="62" t="s">
        <v>211</v>
      </c>
      <c r="D83" s="62" t="s">
        <v>161</v>
      </c>
      <c r="E83" s="63">
        <v>6565000</v>
      </c>
    </row>
    <row r="84" spans="2:5" x14ac:dyDescent="0.3">
      <c r="B84" s="59" t="s">
        <v>180</v>
      </c>
      <c r="C84" s="59" t="s">
        <v>212</v>
      </c>
      <c r="D84" s="59" t="s">
        <v>161</v>
      </c>
      <c r="E84" s="60">
        <v>6445500</v>
      </c>
    </row>
    <row r="85" spans="2:5" x14ac:dyDescent="0.3">
      <c r="B85" s="61" t="s">
        <v>180</v>
      </c>
      <c r="C85" s="62" t="s">
        <v>319</v>
      </c>
      <c r="D85" s="62" t="s">
        <v>161</v>
      </c>
      <c r="E85" s="63">
        <v>6270257</v>
      </c>
    </row>
    <row r="86" spans="2:5" x14ac:dyDescent="0.3">
      <c r="B86" s="59" t="s">
        <v>180</v>
      </c>
      <c r="C86" s="59" t="s">
        <v>320</v>
      </c>
      <c r="D86" s="59" t="s">
        <v>161</v>
      </c>
      <c r="E86" s="60">
        <v>5969529</v>
      </c>
    </row>
    <row r="87" spans="2:5" x14ac:dyDescent="0.3">
      <c r="B87" s="61" t="s">
        <v>180</v>
      </c>
      <c r="C87" s="62" t="s">
        <v>321</v>
      </c>
      <c r="D87" s="62" t="s">
        <v>161</v>
      </c>
      <c r="E87" s="63">
        <v>5654880</v>
      </c>
    </row>
    <row r="88" spans="2:5" x14ac:dyDescent="0.3">
      <c r="B88" s="59" t="s">
        <v>180</v>
      </c>
      <c r="C88" s="59" t="s">
        <v>213</v>
      </c>
      <c r="D88" s="59" t="s">
        <v>161</v>
      </c>
      <c r="E88" s="60">
        <v>5570011</v>
      </c>
    </row>
    <row r="89" spans="2:5" x14ac:dyDescent="0.3">
      <c r="B89" s="61" t="s">
        <v>180</v>
      </c>
      <c r="C89" s="62" t="s">
        <v>322</v>
      </c>
      <c r="D89" s="62" t="s">
        <v>161</v>
      </c>
      <c r="E89" s="63">
        <v>5322240</v>
      </c>
    </row>
    <row r="90" spans="2:5" x14ac:dyDescent="0.3">
      <c r="B90" s="59" t="s">
        <v>180</v>
      </c>
      <c r="C90" s="59" t="s">
        <v>214</v>
      </c>
      <c r="D90" s="59" t="s">
        <v>161</v>
      </c>
      <c r="E90" s="60">
        <v>4862500</v>
      </c>
    </row>
    <row r="91" spans="2:5" x14ac:dyDescent="0.3">
      <c r="B91" s="61" t="s">
        <v>180</v>
      </c>
      <c r="C91" s="62" t="s">
        <v>323</v>
      </c>
      <c r="D91" s="62" t="s">
        <v>161</v>
      </c>
      <c r="E91" s="63">
        <v>4174445</v>
      </c>
    </row>
    <row r="92" spans="2:5" x14ac:dyDescent="0.3">
      <c r="B92" s="59" t="s">
        <v>180</v>
      </c>
      <c r="C92" s="59" t="s">
        <v>215</v>
      </c>
      <c r="D92" s="59" t="s">
        <v>161</v>
      </c>
      <c r="E92" s="60">
        <v>4000000</v>
      </c>
    </row>
    <row r="93" spans="2:5" x14ac:dyDescent="0.3">
      <c r="B93" s="61" t="s">
        <v>180</v>
      </c>
      <c r="C93" s="62" t="s">
        <v>324</v>
      </c>
      <c r="D93" s="62" t="s">
        <v>161</v>
      </c>
      <c r="E93" s="63">
        <v>3931843</v>
      </c>
    </row>
    <row r="94" spans="2:5" x14ac:dyDescent="0.3">
      <c r="B94" s="59" t="s">
        <v>180</v>
      </c>
      <c r="C94" s="59" t="s">
        <v>325</v>
      </c>
      <c r="D94" s="59" t="s">
        <v>161</v>
      </c>
      <c r="E94" s="60">
        <v>3916800</v>
      </c>
    </row>
    <row r="95" spans="2:5" x14ac:dyDescent="0.3">
      <c r="B95" s="61" t="s">
        <v>180</v>
      </c>
      <c r="C95" s="62" t="s">
        <v>216</v>
      </c>
      <c r="D95" s="62" t="s">
        <v>161</v>
      </c>
      <c r="E95" s="63">
        <v>3762000</v>
      </c>
    </row>
    <row r="96" spans="2:5" x14ac:dyDescent="0.3">
      <c r="B96" s="59" t="s">
        <v>180</v>
      </c>
      <c r="C96" s="59" t="s">
        <v>272</v>
      </c>
      <c r="D96" s="59" t="s">
        <v>161</v>
      </c>
      <c r="E96" s="60">
        <v>3553444</v>
      </c>
    </row>
    <row r="97" spans="2:5" x14ac:dyDescent="0.3">
      <c r="B97" s="61" t="s">
        <v>180</v>
      </c>
      <c r="C97" s="62" t="s">
        <v>217</v>
      </c>
      <c r="D97" s="62" t="s">
        <v>161</v>
      </c>
      <c r="E97" s="63">
        <v>3000000</v>
      </c>
    </row>
    <row r="98" spans="2:5" x14ac:dyDescent="0.3">
      <c r="B98" s="59" t="s">
        <v>180</v>
      </c>
      <c r="C98" s="59" t="s">
        <v>218</v>
      </c>
      <c r="D98" s="59" t="s">
        <v>161</v>
      </c>
      <c r="E98" s="60">
        <v>2961000</v>
      </c>
    </row>
    <row r="99" spans="2:5" x14ac:dyDescent="0.3">
      <c r="B99" s="61" t="s">
        <v>180</v>
      </c>
      <c r="C99" s="62" t="s">
        <v>219</v>
      </c>
      <c r="D99" s="62" t="s">
        <v>161</v>
      </c>
      <c r="E99" s="63">
        <v>2884550</v>
      </c>
    </row>
    <row r="100" spans="2:5" x14ac:dyDescent="0.3">
      <c r="B100" s="59" t="s">
        <v>180</v>
      </c>
      <c r="C100" s="59" t="s">
        <v>326</v>
      </c>
      <c r="D100" s="59" t="s">
        <v>161</v>
      </c>
      <c r="E100" s="60">
        <v>2870640</v>
      </c>
    </row>
    <row r="101" spans="2:5" x14ac:dyDescent="0.3">
      <c r="B101" s="61" t="s">
        <v>180</v>
      </c>
      <c r="C101" s="62" t="s">
        <v>220</v>
      </c>
      <c r="D101" s="62" t="s">
        <v>161</v>
      </c>
      <c r="E101" s="63">
        <v>2844000</v>
      </c>
    </row>
    <row r="102" spans="2:5" x14ac:dyDescent="0.3">
      <c r="B102" s="59" t="s">
        <v>180</v>
      </c>
      <c r="C102" s="59" t="s">
        <v>327</v>
      </c>
      <c r="D102" s="59" t="s">
        <v>161</v>
      </c>
      <c r="E102" s="60">
        <v>2804764</v>
      </c>
    </row>
    <row r="103" spans="2:5" x14ac:dyDescent="0.3">
      <c r="B103" s="61" t="s">
        <v>180</v>
      </c>
      <c r="C103" s="62" t="s">
        <v>221</v>
      </c>
      <c r="D103" s="62" t="s">
        <v>161</v>
      </c>
      <c r="E103" s="63">
        <v>2750000</v>
      </c>
    </row>
    <row r="104" spans="2:5" x14ac:dyDescent="0.3">
      <c r="B104" s="59" t="s">
        <v>180</v>
      </c>
      <c r="C104" s="59" t="s">
        <v>328</v>
      </c>
      <c r="D104" s="59" t="s">
        <v>161</v>
      </c>
      <c r="E104" s="60">
        <v>2737767</v>
      </c>
    </row>
    <row r="105" spans="2:5" x14ac:dyDescent="0.3">
      <c r="B105" s="61" t="s">
        <v>180</v>
      </c>
      <c r="C105" s="62" t="s">
        <v>222</v>
      </c>
      <c r="D105" s="62" t="s">
        <v>161</v>
      </c>
      <c r="E105" s="63">
        <v>2590000</v>
      </c>
    </row>
    <row r="106" spans="2:5" x14ac:dyDescent="0.3">
      <c r="B106" s="59" t="s">
        <v>180</v>
      </c>
      <c r="C106" s="59" t="s">
        <v>223</v>
      </c>
      <c r="D106" s="59" t="s">
        <v>161</v>
      </c>
      <c r="E106" s="60">
        <v>2500000</v>
      </c>
    </row>
    <row r="107" spans="2:5" x14ac:dyDescent="0.3">
      <c r="B107" s="61" t="s">
        <v>180</v>
      </c>
      <c r="C107" s="62" t="s">
        <v>224</v>
      </c>
      <c r="D107" s="62" t="s">
        <v>161</v>
      </c>
      <c r="E107" s="63">
        <v>2500000</v>
      </c>
    </row>
    <row r="108" spans="2:5" x14ac:dyDescent="0.3">
      <c r="B108" s="59" t="s">
        <v>180</v>
      </c>
      <c r="C108" s="59" t="s">
        <v>329</v>
      </c>
      <c r="D108" s="59" t="s">
        <v>161</v>
      </c>
      <c r="E108" s="60">
        <v>2355696</v>
      </c>
    </row>
    <row r="109" spans="2:5" x14ac:dyDescent="0.3">
      <c r="B109" s="61" t="s">
        <v>180</v>
      </c>
      <c r="C109" s="62" t="s">
        <v>225</v>
      </c>
      <c r="D109" s="62" t="s">
        <v>161</v>
      </c>
      <c r="E109" s="63">
        <v>2200000</v>
      </c>
    </row>
    <row r="110" spans="2:5" x14ac:dyDescent="0.3">
      <c r="B110" s="59" t="s">
        <v>180</v>
      </c>
      <c r="C110" s="59" t="s">
        <v>226</v>
      </c>
      <c r="D110" s="59" t="s">
        <v>161</v>
      </c>
      <c r="E110" s="60">
        <v>2109500</v>
      </c>
    </row>
    <row r="111" spans="2:5" x14ac:dyDescent="0.3">
      <c r="B111" s="61" t="s">
        <v>180</v>
      </c>
      <c r="C111" s="62" t="s">
        <v>227</v>
      </c>
      <c r="D111" s="62" t="s">
        <v>161</v>
      </c>
      <c r="E111" s="63">
        <v>2060176</v>
      </c>
    </row>
    <row r="112" spans="2:5" x14ac:dyDescent="0.3">
      <c r="B112" s="59" t="s">
        <v>180</v>
      </c>
      <c r="C112" s="59" t="s">
        <v>330</v>
      </c>
      <c r="D112" s="59" t="s">
        <v>161</v>
      </c>
      <c r="E112" s="60">
        <v>2000000</v>
      </c>
    </row>
    <row r="113" spans="2:5" x14ac:dyDescent="0.3">
      <c r="B113" s="61" t="s">
        <v>180</v>
      </c>
      <c r="C113" s="62" t="s">
        <v>228</v>
      </c>
      <c r="D113" s="62" t="s">
        <v>161</v>
      </c>
      <c r="E113" s="63">
        <v>1941387</v>
      </c>
    </row>
    <row r="114" spans="2:5" x14ac:dyDescent="0.3">
      <c r="B114" s="59" t="s">
        <v>180</v>
      </c>
      <c r="C114" s="59" t="s">
        <v>229</v>
      </c>
      <c r="D114" s="59" t="s">
        <v>161</v>
      </c>
      <c r="E114" s="60">
        <v>1792864</v>
      </c>
    </row>
    <row r="115" spans="2:5" x14ac:dyDescent="0.3">
      <c r="B115" s="61" t="s">
        <v>180</v>
      </c>
      <c r="C115" s="62" t="s">
        <v>331</v>
      </c>
      <c r="D115" s="62" t="s">
        <v>161</v>
      </c>
      <c r="E115" s="63">
        <v>1717390</v>
      </c>
    </row>
    <row r="116" spans="2:5" x14ac:dyDescent="0.3">
      <c r="B116" s="59" t="s">
        <v>180</v>
      </c>
      <c r="C116" s="59" t="s">
        <v>332</v>
      </c>
      <c r="D116" s="59" t="s">
        <v>161</v>
      </c>
      <c r="E116" s="60">
        <v>1660000</v>
      </c>
    </row>
    <row r="117" spans="2:5" x14ac:dyDescent="0.3">
      <c r="B117" s="61" t="s">
        <v>180</v>
      </c>
      <c r="C117" s="62" t="s">
        <v>333</v>
      </c>
      <c r="D117" s="62" t="s">
        <v>161</v>
      </c>
      <c r="E117" s="63">
        <v>1496880</v>
      </c>
    </row>
    <row r="118" spans="2:5" x14ac:dyDescent="0.3">
      <c r="B118" s="59" t="s">
        <v>180</v>
      </c>
      <c r="C118" s="59" t="s">
        <v>334</v>
      </c>
      <c r="D118" s="59" t="s">
        <v>161</v>
      </c>
      <c r="E118" s="60">
        <v>1406160</v>
      </c>
    </row>
    <row r="119" spans="2:5" x14ac:dyDescent="0.3">
      <c r="B119" s="61" t="s">
        <v>180</v>
      </c>
      <c r="C119" s="62" t="s">
        <v>230</v>
      </c>
      <c r="D119" s="62" t="s">
        <v>161</v>
      </c>
      <c r="E119" s="63">
        <v>1331259</v>
      </c>
    </row>
    <row r="120" spans="2:5" x14ac:dyDescent="0.3">
      <c r="B120" s="59" t="s">
        <v>180</v>
      </c>
      <c r="C120" s="59" t="s">
        <v>231</v>
      </c>
      <c r="D120" s="59" t="s">
        <v>161</v>
      </c>
      <c r="E120" s="60">
        <v>1305601</v>
      </c>
    </row>
    <row r="121" spans="2:5" x14ac:dyDescent="0.3">
      <c r="B121" s="61" t="s">
        <v>180</v>
      </c>
      <c r="C121" s="62" t="s">
        <v>335</v>
      </c>
      <c r="D121" s="62" t="s">
        <v>161</v>
      </c>
      <c r="E121" s="63">
        <v>1268190</v>
      </c>
    </row>
    <row r="122" spans="2:5" x14ac:dyDescent="0.3">
      <c r="B122" s="59" t="s">
        <v>180</v>
      </c>
      <c r="C122" s="59" t="s">
        <v>336</v>
      </c>
      <c r="D122" s="59" t="s">
        <v>161</v>
      </c>
      <c r="E122" s="60">
        <v>1262520</v>
      </c>
    </row>
    <row r="123" spans="2:5" x14ac:dyDescent="0.3">
      <c r="B123" s="61" t="s">
        <v>180</v>
      </c>
      <c r="C123" s="62" t="s">
        <v>232</v>
      </c>
      <c r="D123" s="62" t="s">
        <v>161</v>
      </c>
      <c r="E123" s="63">
        <v>1154593</v>
      </c>
    </row>
    <row r="124" spans="2:5" x14ac:dyDescent="0.3">
      <c r="B124" s="59" t="s">
        <v>180</v>
      </c>
      <c r="C124" s="59" t="s">
        <v>337</v>
      </c>
      <c r="D124" s="59" t="s">
        <v>161</v>
      </c>
      <c r="E124" s="60">
        <v>1143775</v>
      </c>
    </row>
    <row r="125" spans="2:5" x14ac:dyDescent="0.3">
      <c r="B125" s="61" t="s">
        <v>180</v>
      </c>
      <c r="C125" s="62" t="s">
        <v>338</v>
      </c>
      <c r="D125" s="62" t="s">
        <v>161</v>
      </c>
      <c r="E125" s="63">
        <v>1120322</v>
      </c>
    </row>
    <row r="126" spans="2:5" x14ac:dyDescent="0.3">
      <c r="B126" s="59" t="s">
        <v>180</v>
      </c>
      <c r="C126" s="59" t="s">
        <v>233</v>
      </c>
      <c r="D126" s="59" t="s">
        <v>161</v>
      </c>
      <c r="E126" s="60">
        <v>1000000</v>
      </c>
    </row>
    <row r="127" spans="2:5" x14ac:dyDescent="0.3">
      <c r="B127" s="61" t="s">
        <v>180</v>
      </c>
      <c r="C127" s="62" t="s">
        <v>234</v>
      </c>
      <c r="D127" s="62" t="s">
        <v>161</v>
      </c>
      <c r="E127" s="63">
        <v>1000000</v>
      </c>
    </row>
    <row r="128" spans="2:5" x14ac:dyDescent="0.3">
      <c r="B128" s="59" t="s">
        <v>180</v>
      </c>
      <c r="C128" s="59" t="s">
        <v>235</v>
      </c>
      <c r="D128" s="59" t="s">
        <v>161</v>
      </c>
      <c r="E128" s="60">
        <v>1000000</v>
      </c>
    </row>
    <row r="129" spans="2:5" x14ac:dyDescent="0.3">
      <c r="B129" s="61" t="s">
        <v>180</v>
      </c>
      <c r="C129" s="62" t="s">
        <v>236</v>
      </c>
      <c r="D129" s="62" t="s">
        <v>161</v>
      </c>
      <c r="E129" s="63">
        <v>1000000</v>
      </c>
    </row>
    <row r="130" spans="2:5" x14ac:dyDescent="0.3">
      <c r="B130" s="59" t="s">
        <v>180</v>
      </c>
      <c r="C130" s="59" t="s">
        <v>237</v>
      </c>
      <c r="D130" s="59" t="s">
        <v>161</v>
      </c>
      <c r="E130" s="60">
        <v>1000000</v>
      </c>
    </row>
    <row r="131" spans="2:5" x14ac:dyDescent="0.3">
      <c r="B131" s="61" t="s">
        <v>180</v>
      </c>
      <c r="C131" s="62" t="s">
        <v>238</v>
      </c>
      <c r="D131" s="62" t="s">
        <v>161</v>
      </c>
      <c r="E131" s="63">
        <v>1000000</v>
      </c>
    </row>
    <row r="132" spans="2:5" x14ac:dyDescent="0.3">
      <c r="B132" s="59" t="s">
        <v>180</v>
      </c>
      <c r="C132" s="59" t="s">
        <v>239</v>
      </c>
      <c r="D132" s="59" t="s">
        <v>161</v>
      </c>
      <c r="E132" s="60">
        <v>1000000</v>
      </c>
    </row>
    <row r="133" spans="2:5" x14ac:dyDescent="0.3">
      <c r="B133" s="61" t="s">
        <v>180</v>
      </c>
      <c r="C133" s="62" t="s">
        <v>240</v>
      </c>
      <c r="D133" s="62" t="s">
        <v>161</v>
      </c>
      <c r="E133" s="63">
        <v>1000000</v>
      </c>
    </row>
    <row r="134" spans="2:5" x14ac:dyDescent="0.3">
      <c r="B134" s="59" t="s">
        <v>180</v>
      </c>
      <c r="C134" s="59" t="s">
        <v>241</v>
      </c>
      <c r="D134" s="59" t="s">
        <v>161</v>
      </c>
      <c r="E134" s="60">
        <v>1000000</v>
      </c>
    </row>
    <row r="135" spans="2:5" x14ac:dyDescent="0.3">
      <c r="B135" s="61" t="s">
        <v>180</v>
      </c>
      <c r="C135" s="62" t="s">
        <v>242</v>
      </c>
      <c r="D135" s="62" t="s">
        <v>161</v>
      </c>
      <c r="E135" s="63">
        <v>1000000</v>
      </c>
    </row>
    <row r="136" spans="2:5" x14ac:dyDescent="0.3">
      <c r="B136" s="59" t="s">
        <v>180</v>
      </c>
      <c r="C136" s="59" t="s">
        <v>243</v>
      </c>
      <c r="D136" s="59" t="s">
        <v>161</v>
      </c>
      <c r="E136" s="60">
        <v>1000000</v>
      </c>
    </row>
    <row r="137" spans="2:5" x14ac:dyDescent="0.3">
      <c r="B137" s="61" t="s">
        <v>180</v>
      </c>
      <c r="C137" s="62" t="s">
        <v>244</v>
      </c>
      <c r="D137" s="62" t="s">
        <v>161</v>
      </c>
      <c r="E137" s="63">
        <v>1000000</v>
      </c>
    </row>
    <row r="138" spans="2:5" x14ac:dyDescent="0.3">
      <c r="B138" s="59" t="s">
        <v>180</v>
      </c>
      <c r="C138" s="59" t="s">
        <v>245</v>
      </c>
      <c r="D138" s="59" t="s">
        <v>161</v>
      </c>
      <c r="E138" s="60">
        <v>1000000</v>
      </c>
    </row>
    <row r="139" spans="2:5" x14ac:dyDescent="0.3">
      <c r="B139" s="61" t="s">
        <v>180</v>
      </c>
      <c r="C139" s="62" t="s">
        <v>246</v>
      </c>
      <c r="D139" s="62" t="s">
        <v>161</v>
      </c>
      <c r="E139" s="63">
        <v>1000000</v>
      </c>
    </row>
    <row r="140" spans="2:5" x14ac:dyDescent="0.3">
      <c r="B140" s="59" t="s">
        <v>180</v>
      </c>
      <c r="C140" s="59" t="s">
        <v>247</v>
      </c>
      <c r="D140" s="59" t="s">
        <v>161</v>
      </c>
      <c r="E140" s="60">
        <v>1000000</v>
      </c>
    </row>
    <row r="141" spans="2:5" x14ac:dyDescent="0.3">
      <c r="B141" s="61" t="s">
        <v>180</v>
      </c>
      <c r="C141" s="62" t="s">
        <v>248</v>
      </c>
      <c r="D141" s="62" t="s">
        <v>161</v>
      </c>
      <c r="E141" s="63">
        <v>1000000</v>
      </c>
    </row>
    <row r="142" spans="2:5" x14ac:dyDescent="0.3">
      <c r="B142" s="59" t="s">
        <v>180</v>
      </c>
      <c r="C142" s="59" t="s">
        <v>249</v>
      </c>
      <c r="D142" s="59" t="s">
        <v>161</v>
      </c>
      <c r="E142" s="60">
        <v>1000000</v>
      </c>
    </row>
    <row r="143" spans="2:5" x14ac:dyDescent="0.3">
      <c r="B143" s="61" t="s">
        <v>180</v>
      </c>
      <c r="C143" s="62" t="s">
        <v>250</v>
      </c>
      <c r="D143" s="62" t="s">
        <v>161</v>
      </c>
      <c r="E143" s="63">
        <v>1000000</v>
      </c>
    </row>
    <row r="144" spans="2:5" x14ac:dyDescent="0.3">
      <c r="B144" s="59" t="s">
        <v>180</v>
      </c>
      <c r="C144" s="59" t="s">
        <v>251</v>
      </c>
      <c r="D144" s="59" t="s">
        <v>161</v>
      </c>
      <c r="E144" s="60">
        <v>1000000</v>
      </c>
    </row>
    <row r="145" spans="2:5" x14ac:dyDescent="0.3">
      <c r="B145" s="61" t="s">
        <v>180</v>
      </c>
      <c r="C145" s="62" t="s">
        <v>252</v>
      </c>
      <c r="D145" s="62" t="s">
        <v>161</v>
      </c>
      <c r="E145" s="63">
        <v>1000000</v>
      </c>
    </row>
    <row r="146" spans="2:5" x14ac:dyDescent="0.3">
      <c r="B146" s="59" t="s">
        <v>180</v>
      </c>
      <c r="C146" s="59" t="s">
        <v>253</v>
      </c>
      <c r="D146" s="59" t="s">
        <v>161</v>
      </c>
      <c r="E146" s="60">
        <v>1000000</v>
      </c>
    </row>
    <row r="147" spans="2:5" x14ac:dyDescent="0.3">
      <c r="B147" s="61" t="s">
        <v>180</v>
      </c>
      <c r="C147" s="62" t="s">
        <v>254</v>
      </c>
      <c r="D147" s="62" t="s">
        <v>161</v>
      </c>
      <c r="E147" s="63">
        <v>1000000</v>
      </c>
    </row>
    <row r="148" spans="2:5" x14ac:dyDescent="0.3">
      <c r="B148" s="59" t="s">
        <v>180</v>
      </c>
      <c r="C148" s="59" t="s">
        <v>255</v>
      </c>
      <c r="D148" s="59" t="s">
        <v>161</v>
      </c>
      <c r="E148" s="60">
        <v>1000000</v>
      </c>
    </row>
    <row r="149" spans="2:5" x14ac:dyDescent="0.3">
      <c r="B149" s="61" t="s">
        <v>180</v>
      </c>
      <c r="C149" s="62" t="s">
        <v>256</v>
      </c>
      <c r="D149" s="62" t="s">
        <v>161</v>
      </c>
      <c r="E149" s="63">
        <v>1000000</v>
      </c>
    </row>
    <row r="150" spans="2:5" x14ac:dyDescent="0.3">
      <c r="B150" s="59" t="s">
        <v>180</v>
      </c>
      <c r="C150" s="59" t="s">
        <v>257</v>
      </c>
      <c r="D150" s="59" t="s">
        <v>161</v>
      </c>
      <c r="E150" s="60">
        <v>1000000</v>
      </c>
    </row>
    <row r="151" spans="2:5" x14ac:dyDescent="0.3">
      <c r="B151" s="61" t="s">
        <v>180</v>
      </c>
      <c r="C151" s="62" t="s">
        <v>258</v>
      </c>
      <c r="D151" s="62" t="s">
        <v>161</v>
      </c>
      <c r="E151" s="63">
        <v>1000000</v>
      </c>
    </row>
    <row r="152" spans="2:5" x14ac:dyDescent="0.3">
      <c r="B152" s="59" t="s">
        <v>180</v>
      </c>
      <c r="C152" s="59" t="s">
        <v>259</v>
      </c>
      <c r="D152" s="59" t="s">
        <v>161</v>
      </c>
      <c r="E152" s="60">
        <v>1000000</v>
      </c>
    </row>
    <row r="153" spans="2:5" x14ac:dyDescent="0.3">
      <c r="B153" s="61" t="s">
        <v>180</v>
      </c>
      <c r="C153" s="62" t="s">
        <v>260</v>
      </c>
      <c r="D153" s="62" t="s">
        <v>161</v>
      </c>
      <c r="E153" s="63">
        <v>1000000</v>
      </c>
    </row>
    <row r="154" spans="2:5" x14ac:dyDescent="0.3">
      <c r="B154" s="59" t="s">
        <v>180</v>
      </c>
      <c r="C154" s="59" t="s">
        <v>261</v>
      </c>
      <c r="D154" s="59" t="s">
        <v>161</v>
      </c>
      <c r="E154" s="60">
        <v>1000000</v>
      </c>
    </row>
    <row r="155" spans="2:5" x14ac:dyDescent="0.3">
      <c r="B155" s="61" t="s">
        <v>180</v>
      </c>
      <c r="C155" s="62" t="s">
        <v>262</v>
      </c>
      <c r="D155" s="62" t="s">
        <v>161</v>
      </c>
      <c r="E155" s="63">
        <v>1000000</v>
      </c>
    </row>
    <row r="156" spans="2:5" x14ac:dyDescent="0.3">
      <c r="B156" s="59" t="s">
        <v>180</v>
      </c>
      <c r="C156" s="59" t="s">
        <v>263</v>
      </c>
      <c r="D156" s="59" t="s">
        <v>161</v>
      </c>
      <c r="E156" s="60">
        <v>1000000</v>
      </c>
    </row>
    <row r="157" spans="2:5" x14ac:dyDescent="0.3">
      <c r="B157" s="61" t="s">
        <v>180</v>
      </c>
      <c r="C157" s="62" t="s">
        <v>264</v>
      </c>
      <c r="D157" s="62" t="s">
        <v>161</v>
      </c>
      <c r="E157" s="63">
        <v>1000000</v>
      </c>
    </row>
    <row r="158" spans="2:5" x14ac:dyDescent="0.3">
      <c r="B158" s="59" t="s">
        <v>180</v>
      </c>
      <c r="C158" s="59" t="s">
        <v>265</v>
      </c>
      <c r="D158" s="59" t="s">
        <v>161</v>
      </c>
      <c r="E158" s="60">
        <v>1000000</v>
      </c>
    </row>
    <row r="159" spans="2:5" x14ac:dyDescent="0.3">
      <c r="B159" s="61" t="s">
        <v>180</v>
      </c>
      <c r="C159" s="62" t="s">
        <v>267</v>
      </c>
      <c r="D159" s="62" t="s">
        <v>285</v>
      </c>
      <c r="E159" s="63">
        <v>989019</v>
      </c>
    </row>
    <row r="160" spans="2:5" x14ac:dyDescent="0.3">
      <c r="B160" s="59" t="s">
        <v>180</v>
      </c>
      <c r="C160" s="59" t="s">
        <v>339</v>
      </c>
      <c r="D160" s="59" t="s">
        <v>161</v>
      </c>
      <c r="E160" s="60">
        <v>900000</v>
      </c>
    </row>
    <row r="161" spans="2:5" x14ac:dyDescent="0.3">
      <c r="B161" s="61" t="s">
        <v>180</v>
      </c>
      <c r="C161" s="62" t="s">
        <v>340</v>
      </c>
      <c r="D161" s="62" t="s">
        <v>161</v>
      </c>
      <c r="E161" s="63">
        <v>721145</v>
      </c>
    </row>
    <row r="162" spans="2:5" x14ac:dyDescent="0.3">
      <c r="B162" s="59" t="s">
        <v>180</v>
      </c>
      <c r="C162" s="59" t="s">
        <v>268</v>
      </c>
      <c r="D162" s="59" t="s">
        <v>161</v>
      </c>
      <c r="E162" s="60">
        <v>689906</v>
      </c>
    </row>
    <row r="163" spans="2:5" x14ac:dyDescent="0.3">
      <c r="B163" s="61" t="s">
        <v>180</v>
      </c>
      <c r="C163" s="62" t="s">
        <v>269</v>
      </c>
      <c r="D163" s="62" t="s">
        <v>161</v>
      </c>
      <c r="E163" s="63">
        <v>600000</v>
      </c>
    </row>
    <row r="164" spans="2:5" x14ac:dyDescent="0.3">
      <c r="B164" s="59" t="s">
        <v>180</v>
      </c>
      <c r="C164" s="59" t="s">
        <v>341</v>
      </c>
      <c r="D164" s="59" t="s">
        <v>161</v>
      </c>
      <c r="E164" s="60">
        <v>569520</v>
      </c>
    </row>
    <row r="165" spans="2:5" x14ac:dyDescent="0.3">
      <c r="B165" s="61" t="s">
        <v>180</v>
      </c>
      <c r="C165" s="62" t="s">
        <v>342</v>
      </c>
      <c r="D165" s="62" t="s">
        <v>161</v>
      </c>
      <c r="E165" s="63">
        <v>555520</v>
      </c>
    </row>
    <row r="166" spans="2:5" x14ac:dyDescent="0.3">
      <c r="B166" s="59" t="s">
        <v>180</v>
      </c>
      <c r="C166" s="59" t="s">
        <v>343</v>
      </c>
      <c r="D166" s="59" t="s">
        <v>161</v>
      </c>
      <c r="E166" s="60">
        <v>509400</v>
      </c>
    </row>
    <row r="167" spans="2:5" x14ac:dyDescent="0.3">
      <c r="B167" s="61" t="s">
        <v>180</v>
      </c>
      <c r="C167" s="62" t="s">
        <v>270</v>
      </c>
      <c r="D167" s="62" t="s">
        <v>161</v>
      </c>
      <c r="E167" s="63">
        <v>500000</v>
      </c>
    </row>
    <row r="168" spans="2:5" x14ac:dyDescent="0.3">
      <c r="B168" s="59" t="s">
        <v>180</v>
      </c>
      <c r="C168" s="59" t="s">
        <v>271</v>
      </c>
      <c r="D168" s="59" t="s">
        <v>161</v>
      </c>
      <c r="E168" s="60">
        <v>500000</v>
      </c>
    </row>
    <row r="169" spans="2:5" x14ac:dyDescent="0.3">
      <c r="B169" s="61" t="s">
        <v>180</v>
      </c>
      <c r="C169" s="62" t="s">
        <v>273</v>
      </c>
      <c r="D169" s="62" t="s">
        <v>161</v>
      </c>
      <c r="E169" s="63">
        <v>460000</v>
      </c>
    </row>
    <row r="170" spans="2:5" x14ac:dyDescent="0.3">
      <c r="B170" s="59" t="s">
        <v>180</v>
      </c>
      <c r="C170" s="59" t="s">
        <v>344</v>
      </c>
      <c r="D170" s="59" t="s">
        <v>161</v>
      </c>
      <c r="E170" s="60">
        <v>428293</v>
      </c>
    </row>
    <row r="171" spans="2:5" x14ac:dyDescent="0.3">
      <c r="B171" s="61" t="s">
        <v>180</v>
      </c>
      <c r="C171" s="62" t="s">
        <v>274</v>
      </c>
      <c r="D171" s="62" t="s">
        <v>161</v>
      </c>
      <c r="E171" s="63">
        <v>420000</v>
      </c>
    </row>
    <row r="172" spans="2:5" x14ac:dyDescent="0.3">
      <c r="B172" s="59" t="s">
        <v>180</v>
      </c>
      <c r="C172" s="59" t="s">
        <v>345</v>
      </c>
      <c r="D172" s="59" t="s">
        <v>161</v>
      </c>
      <c r="E172" s="60">
        <v>354599</v>
      </c>
    </row>
    <row r="173" spans="2:5" x14ac:dyDescent="0.3">
      <c r="B173" s="61" t="s">
        <v>180</v>
      </c>
      <c r="C173" s="62" t="s">
        <v>346</v>
      </c>
      <c r="D173" s="62" t="s">
        <v>161</v>
      </c>
      <c r="E173" s="63">
        <v>316481</v>
      </c>
    </row>
    <row r="174" spans="2:5" x14ac:dyDescent="0.3">
      <c r="B174" s="59" t="s">
        <v>180</v>
      </c>
      <c r="C174" s="59" t="s">
        <v>275</v>
      </c>
      <c r="D174" s="59" t="s">
        <v>161</v>
      </c>
      <c r="E174" s="60">
        <v>305260</v>
      </c>
    </row>
    <row r="175" spans="2:5" x14ac:dyDescent="0.3">
      <c r="B175" s="61" t="s">
        <v>180</v>
      </c>
      <c r="C175" s="62" t="s">
        <v>276</v>
      </c>
      <c r="D175" s="62" t="s">
        <v>161</v>
      </c>
      <c r="E175" s="63">
        <v>296000</v>
      </c>
    </row>
    <row r="176" spans="2:5" x14ac:dyDescent="0.3">
      <c r="B176" s="59" t="s">
        <v>180</v>
      </c>
      <c r="C176" s="59" t="s">
        <v>347</v>
      </c>
      <c r="D176" s="59" t="s">
        <v>161</v>
      </c>
      <c r="E176" s="60">
        <v>272160</v>
      </c>
    </row>
    <row r="177" spans="2:5" x14ac:dyDescent="0.3">
      <c r="B177" s="61" t="s">
        <v>180</v>
      </c>
      <c r="C177" s="62" t="s">
        <v>277</v>
      </c>
      <c r="D177" s="62" t="s">
        <v>161</v>
      </c>
      <c r="E177" s="63">
        <v>248000</v>
      </c>
    </row>
    <row r="178" spans="2:5" x14ac:dyDescent="0.3">
      <c r="B178" s="59" t="s">
        <v>180</v>
      </c>
      <c r="C178" s="59" t="s">
        <v>348</v>
      </c>
      <c r="D178" s="59" t="s">
        <v>161</v>
      </c>
      <c r="E178" s="60">
        <v>226800</v>
      </c>
    </row>
    <row r="179" spans="2:5" x14ac:dyDescent="0.3">
      <c r="B179" s="61" t="s">
        <v>156</v>
      </c>
      <c r="C179" s="62" t="s">
        <v>278</v>
      </c>
      <c r="D179" s="62" t="s">
        <v>161</v>
      </c>
      <c r="E179" s="63">
        <v>210818</v>
      </c>
    </row>
    <row r="180" spans="2:5" x14ac:dyDescent="0.3">
      <c r="B180" s="59" t="s">
        <v>180</v>
      </c>
      <c r="C180" s="59" t="s">
        <v>349</v>
      </c>
      <c r="D180" s="59" t="s">
        <v>161</v>
      </c>
      <c r="E180" s="60">
        <v>200000</v>
      </c>
    </row>
    <row r="181" spans="2:5" x14ac:dyDescent="0.3">
      <c r="B181" s="61" t="s">
        <v>180</v>
      </c>
      <c r="C181" s="62" t="s">
        <v>350</v>
      </c>
      <c r="D181" s="62" t="s">
        <v>161</v>
      </c>
      <c r="E181" s="63">
        <v>170100</v>
      </c>
    </row>
    <row r="182" spans="2:5" x14ac:dyDescent="0.3">
      <c r="B182" s="59" t="s">
        <v>180</v>
      </c>
      <c r="C182" s="59" t="s">
        <v>351</v>
      </c>
      <c r="D182" s="59" t="s">
        <v>161</v>
      </c>
      <c r="E182" s="60">
        <v>156492</v>
      </c>
    </row>
    <row r="183" spans="2:5" x14ac:dyDescent="0.3">
      <c r="B183" s="61" t="s">
        <v>180</v>
      </c>
      <c r="C183" s="62" t="s">
        <v>352</v>
      </c>
      <c r="D183" s="62" t="s">
        <v>161</v>
      </c>
      <c r="E183" s="63">
        <v>155546</v>
      </c>
    </row>
    <row r="184" spans="2:5" x14ac:dyDescent="0.3">
      <c r="B184" s="59" t="s">
        <v>180</v>
      </c>
      <c r="C184" s="59" t="s">
        <v>353</v>
      </c>
      <c r="D184" s="59" t="s">
        <v>161</v>
      </c>
      <c r="E184" s="60">
        <v>146160</v>
      </c>
    </row>
    <row r="185" spans="2:5" x14ac:dyDescent="0.3">
      <c r="B185" s="61" t="s">
        <v>180</v>
      </c>
      <c r="C185" s="62" t="s">
        <v>354</v>
      </c>
      <c r="D185" s="62" t="s">
        <v>161</v>
      </c>
      <c r="E185" s="63">
        <v>75600</v>
      </c>
    </row>
    <row r="186" spans="2:5" x14ac:dyDescent="0.3">
      <c r="B186" s="59" t="s">
        <v>180</v>
      </c>
      <c r="C186" s="59" t="s">
        <v>355</v>
      </c>
      <c r="D186" s="59" t="s">
        <v>161</v>
      </c>
      <c r="E186" s="60">
        <v>52920</v>
      </c>
    </row>
    <row r="187" spans="2:5" x14ac:dyDescent="0.3">
      <c r="B187" s="61" t="s">
        <v>180</v>
      </c>
      <c r="C187" s="62" t="s">
        <v>356</v>
      </c>
      <c r="D187" s="62" t="s">
        <v>161</v>
      </c>
      <c r="E187" s="63">
        <v>45360</v>
      </c>
    </row>
    <row r="188" spans="2:5" x14ac:dyDescent="0.3">
      <c r="B188" s="59" t="s">
        <v>180</v>
      </c>
      <c r="C188" s="59" t="s">
        <v>232</v>
      </c>
      <c r="D188" s="59" t="s">
        <v>285</v>
      </c>
      <c r="E188" s="60">
        <v>2800</v>
      </c>
    </row>
  </sheetData>
  <autoFilter ref="B3:E187" xr:uid="{00000000-0009-0000-0000-000028000000}">
    <sortState xmlns:xlrd2="http://schemas.microsoft.com/office/spreadsheetml/2017/richdata2" ref="B4:E188">
      <sortCondition descending="1" ref="E3:E187"/>
    </sortState>
  </autoFilter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BA33-FB7C-4C24-84FB-10AE76A3FFD8}">
  <sheetPr>
    <tabColor rgb="FF92D050"/>
  </sheetPr>
  <dimension ref="A1:F92"/>
  <sheetViews>
    <sheetView showGridLines="0" topLeftCell="A66" workbookViewId="0">
      <selection activeCell="C14" sqref="C14"/>
    </sheetView>
  </sheetViews>
  <sheetFormatPr baseColWidth="10" defaultColWidth="12.6328125" defaultRowHeight="12" x14ac:dyDescent="0.3"/>
  <cols>
    <col min="1" max="1" width="6.08984375" style="65" customWidth="1"/>
    <col min="2" max="2" width="14.54296875" style="65" bestFit="1" customWidth="1"/>
    <col min="3" max="3" width="65" style="65" bestFit="1" customWidth="1"/>
    <col min="4" max="5" width="12.6328125" style="65"/>
    <col min="6" max="6" width="13.36328125" style="65" bestFit="1" customWidth="1"/>
    <col min="7" max="16384" width="12.6328125" style="65"/>
  </cols>
  <sheetData>
    <row r="1" spans="1:6" ht="18.5" x14ac:dyDescent="0.45">
      <c r="A1" s="64" t="s">
        <v>357</v>
      </c>
      <c r="C1" s="66"/>
    </row>
    <row r="2" spans="1:6" x14ac:dyDescent="0.3">
      <c r="B2" s="67"/>
    </row>
    <row r="3" spans="1:6" x14ac:dyDescent="0.3">
      <c r="B3" s="68" t="s">
        <v>156</v>
      </c>
      <c r="C3" s="68" t="s">
        <v>281</v>
      </c>
      <c r="D3" s="68" t="s">
        <v>158</v>
      </c>
      <c r="E3" s="68" t="s">
        <v>282</v>
      </c>
      <c r="F3" s="69" t="s">
        <v>283</v>
      </c>
    </row>
    <row r="4" spans="1:6" x14ac:dyDescent="0.3">
      <c r="B4" s="70" t="s">
        <v>156</v>
      </c>
      <c r="C4" s="71" t="s">
        <v>95</v>
      </c>
      <c r="D4" s="71" t="s">
        <v>161</v>
      </c>
      <c r="E4" s="71" t="s">
        <v>94</v>
      </c>
      <c r="F4" s="72">
        <v>30239394454</v>
      </c>
    </row>
    <row r="5" spans="1:6" x14ac:dyDescent="0.3">
      <c r="B5" s="73" t="s">
        <v>156</v>
      </c>
      <c r="C5" s="73" t="s">
        <v>70</v>
      </c>
      <c r="D5" s="73" t="s">
        <v>161</v>
      </c>
      <c r="E5" s="73" t="s">
        <v>69</v>
      </c>
      <c r="F5" s="74">
        <v>24551847642</v>
      </c>
    </row>
    <row r="6" spans="1:6" x14ac:dyDescent="0.3">
      <c r="B6" s="70" t="s">
        <v>156</v>
      </c>
      <c r="C6" s="71" t="s">
        <v>96</v>
      </c>
      <c r="D6" s="71" t="s">
        <v>161</v>
      </c>
      <c r="E6" s="71" t="s">
        <v>94</v>
      </c>
      <c r="F6" s="72">
        <v>20501371386</v>
      </c>
    </row>
    <row r="7" spans="1:6" x14ac:dyDescent="0.3">
      <c r="B7" s="73" t="s">
        <v>156</v>
      </c>
      <c r="C7" s="73" t="s">
        <v>108</v>
      </c>
      <c r="D7" s="73" t="s">
        <v>161</v>
      </c>
      <c r="E7" s="73" t="s">
        <v>94</v>
      </c>
      <c r="F7" s="74">
        <v>13166432965</v>
      </c>
    </row>
    <row r="8" spans="1:6" x14ac:dyDescent="0.3">
      <c r="B8" s="70" t="s">
        <v>156</v>
      </c>
      <c r="C8" s="71" t="s">
        <v>98</v>
      </c>
      <c r="D8" s="71" t="s">
        <v>161</v>
      </c>
      <c r="E8" s="71" t="s">
        <v>94</v>
      </c>
      <c r="F8" s="72">
        <v>12953857311</v>
      </c>
    </row>
    <row r="9" spans="1:6" x14ac:dyDescent="0.3">
      <c r="B9" s="73" t="s">
        <v>156</v>
      </c>
      <c r="C9" s="73" t="s">
        <v>111</v>
      </c>
      <c r="D9" s="73" t="s">
        <v>161</v>
      </c>
      <c r="E9" s="73" t="s">
        <v>110</v>
      </c>
      <c r="F9" s="74">
        <v>9883616006</v>
      </c>
    </row>
    <row r="10" spans="1:6" x14ac:dyDescent="0.3">
      <c r="B10" s="70" t="s">
        <v>156</v>
      </c>
      <c r="C10" s="71" t="s">
        <v>92</v>
      </c>
      <c r="D10" s="71" t="s">
        <v>161</v>
      </c>
      <c r="E10" s="71" t="s">
        <v>84</v>
      </c>
      <c r="F10" s="72">
        <v>8943645000</v>
      </c>
    </row>
    <row r="11" spans="1:6" x14ac:dyDescent="0.3">
      <c r="B11" s="73" t="s">
        <v>156</v>
      </c>
      <c r="C11" s="73" t="s">
        <v>284</v>
      </c>
      <c r="D11" s="73" t="s">
        <v>161</v>
      </c>
      <c r="E11" s="73" t="s">
        <v>94</v>
      </c>
      <c r="F11" s="74">
        <v>7556753605</v>
      </c>
    </row>
    <row r="12" spans="1:6" x14ac:dyDescent="0.3">
      <c r="B12" s="70" t="s">
        <v>156</v>
      </c>
      <c r="C12" s="71" t="s">
        <v>114</v>
      </c>
      <c r="D12" s="71" t="s">
        <v>161</v>
      </c>
      <c r="E12" s="71" t="s">
        <v>110</v>
      </c>
      <c r="F12" s="72">
        <v>5672472306</v>
      </c>
    </row>
    <row r="13" spans="1:6" x14ac:dyDescent="0.3">
      <c r="B13" s="73" t="s">
        <v>156</v>
      </c>
      <c r="C13" s="73" t="s">
        <v>107</v>
      </c>
      <c r="D13" s="73" t="s">
        <v>161</v>
      </c>
      <c r="E13" s="73" t="s">
        <v>94</v>
      </c>
      <c r="F13" s="74">
        <v>5634359966</v>
      </c>
    </row>
    <row r="14" spans="1:6" x14ac:dyDescent="0.3">
      <c r="B14" s="70" t="s">
        <v>156</v>
      </c>
      <c r="C14" s="71" t="s">
        <v>97</v>
      </c>
      <c r="D14" s="71" t="s">
        <v>285</v>
      </c>
      <c r="E14" s="71" t="s">
        <v>94</v>
      </c>
      <c r="F14" s="72">
        <v>5574323442</v>
      </c>
    </row>
    <row r="15" spans="1:6" x14ac:dyDescent="0.3">
      <c r="B15" s="73" t="s">
        <v>156</v>
      </c>
      <c r="C15" s="73" t="s">
        <v>90</v>
      </c>
      <c r="D15" s="73" t="s">
        <v>161</v>
      </c>
      <c r="E15" s="73" t="s">
        <v>84</v>
      </c>
      <c r="F15" s="74">
        <v>3780000000</v>
      </c>
    </row>
    <row r="16" spans="1:6" x14ac:dyDescent="0.3">
      <c r="B16" s="70" t="s">
        <v>156</v>
      </c>
      <c r="C16" s="71" t="s">
        <v>100</v>
      </c>
      <c r="D16" s="71" t="s">
        <v>285</v>
      </c>
      <c r="E16" s="71" t="s">
        <v>94</v>
      </c>
      <c r="F16" s="72">
        <v>3421050685</v>
      </c>
    </row>
    <row r="17" spans="2:6" x14ac:dyDescent="0.3">
      <c r="B17" s="73" t="s">
        <v>156</v>
      </c>
      <c r="C17" s="73" t="s">
        <v>358</v>
      </c>
      <c r="D17" s="73" t="s">
        <v>161</v>
      </c>
      <c r="E17" s="73" t="s">
        <v>127</v>
      </c>
      <c r="F17" s="74">
        <v>3109956372</v>
      </c>
    </row>
    <row r="18" spans="2:6" x14ac:dyDescent="0.3">
      <c r="B18" s="70" t="s">
        <v>156</v>
      </c>
      <c r="C18" s="71" t="s">
        <v>100</v>
      </c>
      <c r="D18" s="71" t="s">
        <v>161</v>
      </c>
      <c r="E18" s="71" t="s">
        <v>94</v>
      </c>
      <c r="F18" s="72">
        <v>2703626606</v>
      </c>
    </row>
    <row r="19" spans="2:6" x14ac:dyDescent="0.3">
      <c r="B19" s="73" t="s">
        <v>156</v>
      </c>
      <c r="C19" s="73" t="s">
        <v>96</v>
      </c>
      <c r="D19" s="73" t="s">
        <v>285</v>
      </c>
      <c r="E19" s="73" t="s">
        <v>94</v>
      </c>
      <c r="F19" s="74">
        <v>2656894325</v>
      </c>
    </row>
    <row r="20" spans="2:6" x14ac:dyDescent="0.3">
      <c r="B20" s="70" t="s">
        <v>156</v>
      </c>
      <c r="C20" s="71" t="s">
        <v>97</v>
      </c>
      <c r="D20" s="71" t="s">
        <v>161</v>
      </c>
      <c r="E20" s="71" t="s">
        <v>94</v>
      </c>
      <c r="F20" s="72">
        <v>2200921100</v>
      </c>
    </row>
    <row r="21" spans="2:6" x14ac:dyDescent="0.3">
      <c r="B21" s="73" t="s">
        <v>156</v>
      </c>
      <c r="C21" s="73" t="s">
        <v>103</v>
      </c>
      <c r="D21" s="73" t="s">
        <v>161</v>
      </c>
      <c r="E21" s="73" t="s">
        <v>94</v>
      </c>
      <c r="F21" s="74">
        <v>1593767151</v>
      </c>
    </row>
    <row r="22" spans="2:6" x14ac:dyDescent="0.3">
      <c r="B22" s="70" t="s">
        <v>156</v>
      </c>
      <c r="C22" s="71" t="s">
        <v>77</v>
      </c>
      <c r="D22" s="71" t="s">
        <v>285</v>
      </c>
      <c r="E22" s="71" t="s">
        <v>75</v>
      </c>
      <c r="F22" s="72">
        <v>1459682242.7471266</v>
      </c>
    </row>
    <row r="23" spans="2:6" x14ac:dyDescent="0.3">
      <c r="B23" s="73" t="s">
        <v>156</v>
      </c>
      <c r="C23" s="73" t="s">
        <v>93</v>
      </c>
      <c r="D23" s="73" t="s">
        <v>161</v>
      </c>
      <c r="E23" s="73" t="s">
        <v>84</v>
      </c>
      <c r="F23" s="74">
        <v>1449830360</v>
      </c>
    </row>
    <row r="24" spans="2:6" x14ac:dyDescent="0.3">
      <c r="B24" s="70" t="s">
        <v>286</v>
      </c>
      <c r="C24" s="71" t="s">
        <v>359</v>
      </c>
      <c r="D24" s="71" t="s">
        <v>285</v>
      </c>
      <c r="E24" s="71" t="s">
        <v>75</v>
      </c>
      <c r="F24" s="72">
        <v>1059829650</v>
      </c>
    </row>
    <row r="25" spans="2:6" x14ac:dyDescent="0.3">
      <c r="B25" s="73" t="s">
        <v>156</v>
      </c>
      <c r="C25" s="73" t="s">
        <v>113</v>
      </c>
      <c r="D25" s="73" t="s">
        <v>161</v>
      </c>
      <c r="E25" s="73" t="s">
        <v>110</v>
      </c>
      <c r="F25" s="74">
        <v>1011616001</v>
      </c>
    </row>
    <row r="26" spans="2:6" x14ac:dyDescent="0.3">
      <c r="B26" s="70" t="s">
        <v>156</v>
      </c>
      <c r="C26" s="71" t="s">
        <v>112</v>
      </c>
      <c r="D26" s="71" t="s">
        <v>161</v>
      </c>
      <c r="E26" s="71" t="s">
        <v>110</v>
      </c>
      <c r="F26" s="72">
        <v>808887736</v>
      </c>
    </row>
    <row r="27" spans="2:6" x14ac:dyDescent="0.3">
      <c r="B27" s="73" t="s">
        <v>156</v>
      </c>
      <c r="C27" s="73" t="s">
        <v>74</v>
      </c>
      <c r="D27" s="73" t="s">
        <v>161</v>
      </c>
      <c r="E27" s="73" t="s">
        <v>69</v>
      </c>
      <c r="F27" s="74">
        <v>704645000</v>
      </c>
    </row>
    <row r="28" spans="2:6" x14ac:dyDescent="0.3">
      <c r="B28" s="70" t="s">
        <v>156</v>
      </c>
      <c r="C28" s="71" t="s">
        <v>85</v>
      </c>
      <c r="D28" s="71" t="s">
        <v>161</v>
      </c>
      <c r="E28" s="71" t="s">
        <v>84</v>
      </c>
      <c r="F28" s="72">
        <v>700212162</v>
      </c>
    </row>
    <row r="29" spans="2:6" x14ac:dyDescent="0.3">
      <c r="B29" s="73" t="s">
        <v>156</v>
      </c>
      <c r="C29" s="73" t="s">
        <v>360</v>
      </c>
      <c r="D29" s="73" t="s">
        <v>161</v>
      </c>
      <c r="E29" s="73" t="s">
        <v>125</v>
      </c>
      <c r="F29" s="74">
        <v>604423929</v>
      </c>
    </row>
    <row r="30" spans="2:6" x14ac:dyDescent="0.3">
      <c r="B30" s="70" t="s">
        <v>156</v>
      </c>
      <c r="C30" s="71" t="s">
        <v>115</v>
      </c>
      <c r="D30" s="71" t="s">
        <v>161</v>
      </c>
      <c r="E30" s="71" t="s">
        <v>110</v>
      </c>
      <c r="F30" s="72">
        <v>504539706</v>
      </c>
    </row>
    <row r="31" spans="2:6" x14ac:dyDescent="0.3">
      <c r="B31" s="73" t="s">
        <v>156</v>
      </c>
      <c r="C31" s="73" t="s">
        <v>71</v>
      </c>
      <c r="D31" s="73" t="s">
        <v>161</v>
      </c>
      <c r="E31" s="73" t="s">
        <v>69</v>
      </c>
      <c r="F31" s="74">
        <v>443468741</v>
      </c>
    </row>
    <row r="32" spans="2:6" x14ac:dyDescent="0.3">
      <c r="B32" s="70" t="s">
        <v>156</v>
      </c>
      <c r="C32" s="71" t="s">
        <v>109</v>
      </c>
      <c r="D32" s="71" t="s">
        <v>161</v>
      </c>
      <c r="E32" s="71" t="s">
        <v>94</v>
      </c>
      <c r="F32" s="72">
        <v>431206075</v>
      </c>
    </row>
    <row r="33" spans="2:6" x14ac:dyDescent="0.3">
      <c r="B33" s="73" t="s">
        <v>156</v>
      </c>
      <c r="C33" s="73" t="s">
        <v>122</v>
      </c>
      <c r="D33" s="73" t="s">
        <v>161</v>
      </c>
      <c r="E33" s="73" t="s">
        <v>287</v>
      </c>
      <c r="F33" s="74">
        <v>408078804</v>
      </c>
    </row>
    <row r="34" spans="2:6" x14ac:dyDescent="0.3">
      <c r="B34" s="70" t="s">
        <v>156</v>
      </c>
      <c r="C34" s="71" t="s">
        <v>101</v>
      </c>
      <c r="D34" s="71" t="s">
        <v>161</v>
      </c>
      <c r="E34" s="71" t="s">
        <v>94</v>
      </c>
      <c r="F34" s="72">
        <v>371531312</v>
      </c>
    </row>
    <row r="35" spans="2:6" x14ac:dyDescent="0.3">
      <c r="B35" s="73" t="s">
        <v>180</v>
      </c>
      <c r="C35" s="73" t="s">
        <v>96</v>
      </c>
      <c r="D35" s="73" t="s">
        <v>161</v>
      </c>
      <c r="E35" s="73" t="s">
        <v>94</v>
      </c>
      <c r="F35" s="74">
        <v>338890194</v>
      </c>
    </row>
    <row r="36" spans="2:6" x14ac:dyDescent="0.3">
      <c r="B36" s="70" t="s">
        <v>156</v>
      </c>
      <c r="C36" s="71"/>
      <c r="D36" s="71" t="s">
        <v>285</v>
      </c>
      <c r="E36" s="71" t="s">
        <v>94</v>
      </c>
      <c r="F36" s="72">
        <v>272770004</v>
      </c>
    </row>
    <row r="37" spans="2:6" x14ac:dyDescent="0.3">
      <c r="B37" s="73" t="s">
        <v>156</v>
      </c>
      <c r="C37" s="73" t="s">
        <v>124</v>
      </c>
      <c r="D37" s="73" t="s">
        <v>161</v>
      </c>
      <c r="E37" s="73" t="s">
        <v>287</v>
      </c>
      <c r="F37" s="74">
        <v>250695664</v>
      </c>
    </row>
    <row r="38" spans="2:6" x14ac:dyDescent="0.3">
      <c r="B38" s="70" t="s">
        <v>156</v>
      </c>
      <c r="C38" s="71" t="s">
        <v>79</v>
      </c>
      <c r="D38" s="71" t="s">
        <v>285</v>
      </c>
      <c r="E38" s="71" t="s">
        <v>84</v>
      </c>
      <c r="F38" s="72">
        <v>243960735</v>
      </c>
    </row>
    <row r="39" spans="2:6" x14ac:dyDescent="0.3">
      <c r="B39" s="73" t="s">
        <v>180</v>
      </c>
      <c r="C39" s="73" t="s">
        <v>103</v>
      </c>
      <c r="D39" s="73" t="s">
        <v>161</v>
      </c>
      <c r="E39" s="73" t="s">
        <v>94</v>
      </c>
      <c r="F39" s="74">
        <v>222777029</v>
      </c>
    </row>
    <row r="40" spans="2:6" x14ac:dyDescent="0.3">
      <c r="B40" s="70" t="s">
        <v>156</v>
      </c>
      <c r="C40" s="71" t="s">
        <v>102</v>
      </c>
      <c r="D40" s="71" t="s">
        <v>161</v>
      </c>
      <c r="E40" s="71" t="s">
        <v>94</v>
      </c>
      <c r="F40" s="72">
        <v>217099858</v>
      </c>
    </row>
    <row r="41" spans="2:6" x14ac:dyDescent="0.3">
      <c r="B41" s="73" t="s">
        <v>180</v>
      </c>
      <c r="C41" s="73" t="s">
        <v>358</v>
      </c>
      <c r="D41" s="73" t="s">
        <v>161</v>
      </c>
      <c r="E41" s="73" t="s">
        <v>127</v>
      </c>
      <c r="F41" s="74">
        <v>214761328</v>
      </c>
    </row>
    <row r="42" spans="2:6" x14ac:dyDescent="0.3">
      <c r="B42" s="70" t="s">
        <v>156</v>
      </c>
      <c r="C42" s="71" t="s">
        <v>130</v>
      </c>
      <c r="D42" s="71" t="s">
        <v>285</v>
      </c>
      <c r="E42" s="71" t="s">
        <v>84</v>
      </c>
      <c r="F42" s="72">
        <v>200000000</v>
      </c>
    </row>
    <row r="43" spans="2:6" x14ac:dyDescent="0.3">
      <c r="B43" s="73" t="s">
        <v>156</v>
      </c>
      <c r="C43" s="73" t="s">
        <v>116</v>
      </c>
      <c r="D43" s="73" t="s">
        <v>161</v>
      </c>
      <c r="E43" s="73" t="s">
        <v>110</v>
      </c>
      <c r="F43" s="74">
        <v>198462487</v>
      </c>
    </row>
    <row r="44" spans="2:6" x14ac:dyDescent="0.3">
      <c r="B44" s="70" t="s">
        <v>156</v>
      </c>
      <c r="C44" s="71" t="s">
        <v>128</v>
      </c>
      <c r="D44" s="71" t="s">
        <v>285</v>
      </c>
      <c r="E44" s="71" t="s">
        <v>127</v>
      </c>
      <c r="F44" s="72">
        <v>197478792</v>
      </c>
    </row>
    <row r="45" spans="2:6" x14ac:dyDescent="0.3">
      <c r="B45" s="73" t="s">
        <v>180</v>
      </c>
      <c r="C45" s="73" t="s">
        <v>71</v>
      </c>
      <c r="D45" s="73" t="s">
        <v>161</v>
      </c>
      <c r="E45" s="73" t="s">
        <v>69</v>
      </c>
      <c r="F45" s="74">
        <v>177495822</v>
      </c>
    </row>
    <row r="46" spans="2:6" x14ac:dyDescent="0.3">
      <c r="B46" s="70" t="s">
        <v>156</v>
      </c>
      <c r="C46" s="71" t="s">
        <v>361</v>
      </c>
      <c r="D46" s="71" t="s">
        <v>285</v>
      </c>
      <c r="E46" s="71" t="s">
        <v>75</v>
      </c>
      <c r="F46" s="72">
        <v>171894738</v>
      </c>
    </row>
    <row r="47" spans="2:6" x14ac:dyDescent="0.3">
      <c r="B47" s="73" t="s">
        <v>156</v>
      </c>
      <c r="C47" s="73" t="s">
        <v>80</v>
      </c>
      <c r="D47" s="73" t="s">
        <v>285</v>
      </c>
      <c r="E47" s="73" t="s">
        <v>75</v>
      </c>
      <c r="F47" s="74">
        <v>167631427.13793105</v>
      </c>
    </row>
    <row r="48" spans="2:6" x14ac:dyDescent="0.3">
      <c r="B48" s="70" t="s">
        <v>156</v>
      </c>
      <c r="C48" s="71" t="s">
        <v>120</v>
      </c>
      <c r="D48" s="71" t="s">
        <v>161</v>
      </c>
      <c r="E48" s="71" t="s">
        <v>119</v>
      </c>
      <c r="F48" s="72">
        <v>167525325</v>
      </c>
    </row>
    <row r="49" spans="2:6" x14ac:dyDescent="0.3">
      <c r="B49" s="73" t="s">
        <v>180</v>
      </c>
      <c r="C49" s="73" t="s">
        <v>98</v>
      </c>
      <c r="D49" s="73" t="s">
        <v>161</v>
      </c>
      <c r="E49" s="73" t="s">
        <v>94</v>
      </c>
      <c r="F49" s="74">
        <v>166772441</v>
      </c>
    </row>
    <row r="50" spans="2:6" x14ac:dyDescent="0.3">
      <c r="B50" s="70" t="s">
        <v>156</v>
      </c>
      <c r="C50" s="71" t="s">
        <v>362</v>
      </c>
      <c r="D50" s="71" t="s">
        <v>285</v>
      </c>
      <c r="E50" s="71" t="s">
        <v>75</v>
      </c>
      <c r="F50" s="72">
        <v>158916038</v>
      </c>
    </row>
    <row r="51" spans="2:6" x14ac:dyDescent="0.3">
      <c r="B51" s="73" t="s">
        <v>180</v>
      </c>
      <c r="C51" s="73" t="s">
        <v>74</v>
      </c>
      <c r="D51" s="73" t="s">
        <v>161</v>
      </c>
      <c r="E51" s="73" t="s">
        <v>69</v>
      </c>
      <c r="F51" s="74">
        <v>149610074</v>
      </c>
    </row>
    <row r="52" spans="2:6" x14ac:dyDescent="0.3">
      <c r="B52" s="70" t="s">
        <v>180</v>
      </c>
      <c r="C52" s="71" t="s">
        <v>288</v>
      </c>
      <c r="D52" s="71" t="s">
        <v>161</v>
      </c>
      <c r="E52" s="71" t="s">
        <v>69</v>
      </c>
      <c r="F52" s="72">
        <v>145151401</v>
      </c>
    </row>
    <row r="53" spans="2:6" x14ac:dyDescent="0.3">
      <c r="B53" s="73" t="s">
        <v>180</v>
      </c>
      <c r="C53" s="73" t="s">
        <v>70</v>
      </c>
      <c r="D53" s="73" t="s">
        <v>161</v>
      </c>
      <c r="E53" s="73" t="s">
        <v>69</v>
      </c>
      <c r="F53" s="74">
        <v>129390510</v>
      </c>
    </row>
    <row r="54" spans="2:6" x14ac:dyDescent="0.3">
      <c r="B54" s="70" t="s">
        <v>180</v>
      </c>
      <c r="C54" s="71" t="s">
        <v>100</v>
      </c>
      <c r="D54" s="71" t="s">
        <v>161</v>
      </c>
      <c r="E54" s="71" t="s">
        <v>94</v>
      </c>
      <c r="F54" s="72">
        <v>115684705</v>
      </c>
    </row>
    <row r="55" spans="2:6" x14ac:dyDescent="0.3">
      <c r="B55" s="73" t="s">
        <v>156</v>
      </c>
      <c r="C55" s="73" t="s">
        <v>95</v>
      </c>
      <c r="D55" s="73" t="s">
        <v>285</v>
      </c>
      <c r="E55" s="73" t="s">
        <v>94</v>
      </c>
      <c r="F55" s="74">
        <v>91186363</v>
      </c>
    </row>
    <row r="56" spans="2:6" x14ac:dyDescent="0.3">
      <c r="B56" s="70" t="s">
        <v>156</v>
      </c>
      <c r="C56" s="71" t="s">
        <v>78</v>
      </c>
      <c r="D56" s="71" t="s">
        <v>285</v>
      </c>
      <c r="E56" s="71" t="s">
        <v>75</v>
      </c>
      <c r="F56" s="72">
        <v>88976980</v>
      </c>
    </row>
    <row r="57" spans="2:6" x14ac:dyDescent="0.3">
      <c r="B57" s="73" t="s">
        <v>156</v>
      </c>
      <c r="C57" s="73"/>
      <c r="D57" s="73" t="s">
        <v>285</v>
      </c>
      <c r="E57" s="73" t="s">
        <v>75</v>
      </c>
      <c r="F57" s="74">
        <v>88976980</v>
      </c>
    </row>
    <row r="58" spans="2:6" x14ac:dyDescent="0.3">
      <c r="B58" s="70" t="s">
        <v>180</v>
      </c>
      <c r="C58" s="71" t="s">
        <v>360</v>
      </c>
      <c r="D58" s="71" t="s">
        <v>161</v>
      </c>
      <c r="E58" s="71" t="s">
        <v>125</v>
      </c>
      <c r="F58" s="72">
        <v>85553796</v>
      </c>
    </row>
    <row r="59" spans="2:6" x14ac:dyDescent="0.3">
      <c r="B59" s="73" t="s">
        <v>156</v>
      </c>
      <c r="C59" s="73" t="s">
        <v>117</v>
      </c>
      <c r="D59" s="73" t="s">
        <v>161</v>
      </c>
      <c r="E59" s="73" t="s">
        <v>110</v>
      </c>
      <c r="F59" s="74">
        <v>76635147</v>
      </c>
    </row>
    <row r="60" spans="2:6" x14ac:dyDescent="0.3">
      <c r="B60" s="70" t="s">
        <v>156</v>
      </c>
      <c r="C60" s="71" t="s">
        <v>363</v>
      </c>
      <c r="D60" s="71" t="s">
        <v>161</v>
      </c>
      <c r="E60" s="71" t="s">
        <v>119</v>
      </c>
      <c r="F60" s="72">
        <v>71219890</v>
      </c>
    </row>
    <row r="61" spans="2:6" x14ac:dyDescent="0.3">
      <c r="B61" s="73" t="s">
        <v>180</v>
      </c>
      <c r="C61" s="73" t="s">
        <v>72</v>
      </c>
      <c r="D61" s="73" t="s">
        <v>161</v>
      </c>
      <c r="E61" s="73" t="s">
        <v>69</v>
      </c>
      <c r="F61" s="74">
        <v>43000000</v>
      </c>
    </row>
    <row r="62" spans="2:6" x14ac:dyDescent="0.3">
      <c r="B62" s="70" t="s">
        <v>180</v>
      </c>
      <c r="C62" s="71" t="s">
        <v>289</v>
      </c>
      <c r="D62" s="71" t="s">
        <v>161</v>
      </c>
      <c r="E62" s="71" t="s">
        <v>84</v>
      </c>
      <c r="F62" s="72">
        <v>36310900</v>
      </c>
    </row>
    <row r="63" spans="2:6" x14ac:dyDescent="0.3">
      <c r="B63" s="73" t="s">
        <v>156</v>
      </c>
      <c r="C63" s="73" t="s">
        <v>107</v>
      </c>
      <c r="D63" s="73" t="s">
        <v>285</v>
      </c>
      <c r="E63" s="73" t="s">
        <v>94</v>
      </c>
      <c r="F63" s="74">
        <v>36193499</v>
      </c>
    </row>
    <row r="64" spans="2:6" x14ac:dyDescent="0.3">
      <c r="B64" s="70" t="s">
        <v>286</v>
      </c>
      <c r="C64" s="71" t="s">
        <v>364</v>
      </c>
      <c r="D64" s="71" t="s">
        <v>285</v>
      </c>
      <c r="E64" s="71" t="s">
        <v>75</v>
      </c>
      <c r="F64" s="72">
        <v>35260941</v>
      </c>
    </row>
    <row r="65" spans="2:6" x14ac:dyDescent="0.3">
      <c r="B65" s="73" t="s">
        <v>156</v>
      </c>
      <c r="C65" s="73" t="s">
        <v>102</v>
      </c>
      <c r="D65" s="73" t="s">
        <v>285</v>
      </c>
      <c r="E65" s="73" t="s">
        <v>94</v>
      </c>
      <c r="F65" s="74">
        <v>32999394</v>
      </c>
    </row>
    <row r="66" spans="2:6" x14ac:dyDescent="0.3">
      <c r="B66" s="70" t="s">
        <v>180</v>
      </c>
      <c r="C66" s="71" t="s">
        <v>102</v>
      </c>
      <c r="D66" s="71" t="s">
        <v>161</v>
      </c>
      <c r="E66" s="71" t="s">
        <v>94</v>
      </c>
      <c r="F66" s="72">
        <v>32787624</v>
      </c>
    </row>
    <row r="67" spans="2:6" x14ac:dyDescent="0.3">
      <c r="B67" s="73" t="s">
        <v>156</v>
      </c>
      <c r="C67" s="73" t="s">
        <v>360</v>
      </c>
      <c r="D67" s="73" t="s">
        <v>285</v>
      </c>
      <c r="E67" s="73" t="s">
        <v>125</v>
      </c>
      <c r="F67" s="74">
        <v>23927216</v>
      </c>
    </row>
    <row r="68" spans="2:6" x14ac:dyDescent="0.3">
      <c r="B68" s="70" t="s">
        <v>156</v>
      </c>
      <c r="C68" s="71" t="s">
        <v>130</v>
      </c>
      <c r="D68" s="71" t="s">
        <v>161</v>
      </c>
      <c r="E68" s="71" t="s">
        <v>94</v>
      </c>
      <c r="F68" s="72">
        <v>20088575</v>
      </c>
    </row>
    <row r="69" spans="2:6" x14ac:dyDescent="0.3">
      <c r="B69" s="73" t="s">
        <v>156</v>
      </c>
      <c r="C69" s="73" t="s">
        <v>88</v>
      </c>
      <c r="D69" s="73" t="s">
        <v>161</v>
      </c>
      <c r="E69" s="73" t="s">
        <v>84</v>
      </c>
      <c r="F69" s="74">
        <v>20000000</v>
      </c>
    </row>
    <row r="70" spans="2:6" x14ac:dyDescent="0.3">
      <c r="B70" s="70" t="s">
        <v>156</v>
      </c>
      <c r="C70" s="71" t="s">
        <v>113</v>
      </c>
      <c r="D70" s="71" t="s">
        <v>285</v>
      </c>
      <c r="E70" s="71" t="s">
        <v>110</v>
      </c>
      <c r="F70" s="72">
        <v>15887860</v>
      </c>
    </row>
    <row r="71" spans="2:6" x14ac:dyDescent="0.3">
      <c r="B71" s="73" t="s">
        <v>156</v>
      </c>
      <c r="C71" s="73" t="s">
        <v>103</v>
      </c>
      <c r="D71" s="73" t="s">
        <v>285</v>
      </c>
      <c r="E71" s="73" t="s">
        <v>94</v>
      </c>
      <c r="F71" s="74">
        <v>14503917</v>
      </c>
    </row>
    <row r="72" spans="2:6" x14ac:dyDescent="0.3">
      <c r="B72" s="70" t="s">
        <v>156</v>
      </c>
      <c r="C72" s="71" t="s">
        <v>112</v>
      </c>
      <c r="D72" s="71" t="s">
        <v>285</v>
      </c>
      <c r="E72" s="71" t="s">
        <v>110</v>
      </c>
      <c r="F72" s="72">
        <v>12710291</v>
      </c>
    </row>
    <row r="73" spans="2:6" x14ac:dyDescent="0.3">
      <c r="B73" s="73" t="s">
        <v>156</v>
      </c>
      <c r="C73" s="73" t="s">
        <v>111</v>
      </c>
      <c r="D73" s="73" t="s">
        <v>285</v>
      </c>
      <c r="E73" s="73" t="s">
        <v>110</v>
      </c>
      <c r="F73" s="74">
        <v>11372912</v>
      </c>
    </row>
    <row r="74" spans="2:6" x14ac:dyDescent="0.3">
      <c r="B74" s="70" t="s">
        <v>180</v>
      </c>
      <c r="C74" s="71" t="s">
        <v>122</v>
      </c>
      <c r="D74" s="71" t="s">
        <v>161</v>
      </c>
      <c r="E74" s="71" t="s">
        <v>287</v>
      </c>
      <c r="F74" s="72">
        <v>10100000</v>
      </c>
    </row>
    <row r="75" spans="2:6" x14ac:dyDescent="0.3">
      <c r="B75" s="73" t="s">
        <v>156</v>
      </c>
      <c r="C75" s="73" t="s">
        <v>72</v>
      </c>
      <c r="D75" s="73" t="s">
        <v>161</v>
      </c>
      <c r="E75" s="73" t="s">
        <v>69</v>
      </c>
      <c r="F75" s="74">
        <v>10000000</v>
      </c>
    </row>
    <row r="76" spans="2:6" x14ac:dyDescent="0.3">
      <c r="B76" s="70" t="s">
        <v>180</v>
      </c>
      <c r="C76" s="71" t="s">
        <v>124</v>
      </c>
      <c r="D76" s="71" t="s">
        <v>161</v>
      </c>
      <c r="E76" s="71" t="s">
        <v>287</v>
      </c>
      <c r="F76" s="72">
        <v>8070500</v>
      </c>
    </row>
    <row r="77" spans="2:6" x14ac:dyDescent="0.3">
      <c r="B77" s="73" t="s">
        <v>156</v>
      </c>
      <c r="C77" s="73" t="s">
        <v>115</v>
      </c>
      <c r="D77" s="73" t="s">
        <v>285</v>
      </c>
      <c r="E77" s="73" t="s">
        <v>110</v>
      </c>
      <c r="F77" s="74">
        <v>7943932</v>
      </c>
    </row>
    <row r="78" spans="2:6" x14ac:dyDescent="0.3">
      <c r="B78" s="70" t="s">
        <v>286</v>
      </c>
      <c r="C78" s="71" t="s">
        <v>96</v>
      </c>
      <c r="D78" s="71" t="s">
        <v>285</v>
      </c>
      <c r="E78" s="71" t="s">
        <v>94</v>
      </c>
      <c r="F78" s="72">
        <v>7382700</v>
      </c>
    </row>
    <row r="79" spans="2:6" x14ac:dyDescent="0.3">
      <c r="B79" s="73" t="s">
        <v>156</v>
      </c>
      <c r="C79" s="73" t="s">
        <v>98</v>
      </c>
      <c r="D79" s="73" t="s">
        <v>285</v>
      </c>
      <c r="E79" s="73" t="s">
        <v>94</v>
      </c>
      <c r="F79" s="74">
        <v>6200000</v>
      </c>
    </row>
    <row r="80" spans="2:6" x14ac:dyDescent="0.3">
      <c r="B80" s="70" t="s">
        <v>156</v>
      </c>
      <c r="C80" s="71" t="s">
        <v>114</v>
      </c>
      <c r="D80" s="71" t="s">
        <v>285</v>
      </c>
      <c r="E80" s="71" t="s">
        <v>110</v>
      </c>
      <c r="F80" s="72">
        <v>4494590</v>
      </c>
    </row>
    <row r="81" spans="2:6" x14ac:dyDescent="0.3">
      <c r="B81" s="73" t="s">
        <v>156</v>
      </c>
      <c r="C81" s="73" t="s">
        <v>117</v>
      </c>
      <c r="D81" s="73" t="s">
        <v>285</v>
      </c>
      <c r="E81" s="73" t="s">
        <v>110</v>
      </c>
      <c r="F81" s="74">
        <v>3677166</v>
      </c>
    </row>
    <row r="82" spans="2:6" x14ac:dyDescent="0.3">
      <c r="B82" s="70" t="s">
        <v>180</v>
      </c>
      <c r="C82" s="71" t="s">
        <v>107</v>
      </c>
      <c r="D82" s="71" t="s">
        <v>161</v>
      </c>
      <c r="E82" s="71" t="s">
        <v>94</v>
      </c>
      <c r="F82" s="72">
        <v>3199136</v>
      </c>
    </row>
    <row r="83" spans="2:6" x14ac:dyDescent="0.3">
      <c r="B83" s="73" t="s">
        <v>180</v>
      </c>
      <c r="C83" s="73" t="s">
        <v>130</v>
      </c>
      <c r="D83" s="73" t="s">
        <v>161</v>
      </c>
      <c r="E83" s="73" t="s">
        <v>94</v>
      </c>
      <c r="F83" s="74">
        <v>1351000</v>
      </c>
    </row>
    <row r="84" spans="2:6" x14ac:dyDescent="0.3">
      <c r="B84" s="70" t="s">
        <v>180</v>
      </c>
      <c r="C84" s="71" t="s">
        <v>113</v>
      </c>
      <c r="D84" s="71" t="s">
        <v>161</v>
      </c>
      <c r="E84" s="71" t="s">
        <v>110</v>
      </c>
      <c r="F84" s="72">
        <v>1334419</v>
      </c>
    </row>
    <row r="85" spans="2:6" x14ac:dyDescent="0.3">
      <c r="B85" s="73" t="s">
        <v>180</v>
      </c>
      <c r="C85" s="73" t="s">
        <v>112</v>
      </c>
      <c r="D85" s="73" t="s">
        <v>161</v>
      </c>
      <c r="E85" s="73" t="s">
        <v>110</v>
      </c>
      <c r="F85" s="74">
        <v>1067537</v>
      </c>
    </row>
    <row r="86" spans="2:6" x14ac:dyDescent="0.3">
      <c r="B86" s="70" t="s">
        <v>286</v>
      </c>
      <c r="C86" s="71" t="s">
        <v>102</v>
      </c>
      <c r="D86" s="71" t="s">
        <v>285</v>
      </c>
      <c r="E86" s="71" t="s">
        <v>94</v>
      </c>
      <c r="F86" s="72">
        <v>805728</v>
      </c>
    </row>
    <row r="87" spans="2:6" x14ac:dyDescent="0.3">
      <c r="B87" s="73" t="s">
        <v>180</v>
      </c>
      <c r="C87" s="73" t="s">
        <v>115</v>
      </c>
      <c r="D87" s="73" t="s">
        <v>161</v>
      </c>
      <c r="E87" s="73" t="s">
        <v>110</v>
      </c>
      <c r="F87" s="74">
        <v>667209</v>
      </c>
    </row>
    <row r="88" spans="2:6" x14ac:dyDescent="0.3">
      <c r="B88" s="70" t="s">
        <v>156</v>
      </c>
      <c r="C88" s="71" t="s">
        <v>93</v>
      </c>
      <c r="D88" s="71" t="s">
        <v>285</v>
      </c>
      <c r="E88" s="71" t="s">
        <v>84</v>
      </c>
      <c r="F88" s="72">
        <v>400000</v>
      </c>
    </row>
    <row r="89" spans="2:6" x14ac:dyDescent="0.3">
      <c r="B89" s="73" t="s">
        <v>180</v>
      </c>
      <c r="C89" s="73" t="s">
        <v>111</v>
      </c>
      <c r="D89" s="73" t="s">
        <v>161</v>
      </c>
      <c r="E89" s="73" t="s">
        <v>110</v>
      </c>
      <c r="F89" s="74">
        <v>289684</v>
      </c>
    </row>
    <row r="90" spans="2:6" x14ac:dyDescent="0.3">
      <c r="B90" s="70" t="s">
        <v>180</v>
      </c>
      <c r="C90" s="71" t="s">
        <v>114</v>
      </c>
      <c r="D90" s="71" t="s">
        <v>161</v>
      </c>
      <c r="E90" s="71" t="s">
        <v>110</v>
      </c>
      <c r="F90" s="72">
        <v>194595</v>
      </c>
    </row>
    <row r="91" spans="2:6" x14ac:dyDescent="0.3">
      <c r="B91" s="73" t="s">
        <v>156</v>
      </c>
      <c r="C91" s="73" t="s">
        <v>116</v>
      </c>
      <c r="D91" s="73" t="s">
        <v>285</v>
      </c>
      <c r="E91" s="73" t="s">
        <v>110</v>
      </c>
      <c r="F91" s="74">
        <v>61795</v>
      </c>
    </row>
    <row r="92" spans="2:6" x14ac:dyDescent="0.3">
      <c r="B92" s="73"/>
      <c r="C92" s="73"/>
      <c r="D92" s="73"/>
      <c r="E92" s="73"/>
      <c r="F92" s="74"/>
    </row>
  </sheetData>
  <autoFilter ref="B3:F92" xr:uid="{00000000-0009-0000-0000-000029000000}">
    <sortState xmlns:xlrd2="http://schemas.microsoft.com/office/spreadsheetml/2017/richdata2" ref="B4:F92">
      <sortCondition descending="1" ref="F3:F92"/>
    </sortState>
  </autoFilter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4BD9-8128-47F6-96A0-264F46933F18}">
  <sheetPr>
    <tabColor rgb="FF92D050"/>
  </sheetPr>
  <dimension ref="A1:J1363"/>
  <sheetViews>
    <sheetView showGridLines="0" workbookViewId="0">
      <selection activeCell="C14" sqref="C14"/>
    </sheetView>
  </sheetViews>
  <sheetFormatPr baseColWidth="10" defaultColWidth="12.36328125" defaultRowHeight="12" x14ac:dyDescent="0.3"/>
  <cols>
    <col min="1" max="1" width="7.6328125" style="65" customWidth="1"/>
    <col min="2" max="2" width="13.90625" style="65" bestFit="1" customWidth="1"/>
    <col min="3" max="3" width="41.36328125" style="65" customWidth="1"/>
    <col min="4" max="4" width="28.08984375" style="65" customWidth="1"/>
    <col min="5" max="5" width="7.7265625" style="65" bestFit="1" customWidth="1"/>
    <col min="6" max="6" width="16" style="65" bestFit="1" customWidth="1"/>
    <col min="7" max="7" width="9.453125" style="65" bestFit="1" customWidth="1"/>
    <col min="8" max="10" width="10.6328125" style="65" bestFit="1" customWidth="1"/>
    <col min="11" max="16384" width="12.36328125" style="65"/>
  </cols>
  <sheetData>
    <row r="1" spans="1:10" ht="18.5" x14ac:dyDescent="0.3">
      <c r="A1" s="64" t="s">
        <v>365</v>
      </c>
    </row>
    <row r="3" spans="1:10" ht="36.5" thickBot="1" x14ac:dyDescent="0.35">
      <c r="B3" s="75" t="s">
        <v>156</v>
      </c>
      <c r="C3" s="75" t="s">
        <v>157</v>
      </c>
      <c r="D3" s="75" t="s">
        <v>281</v>
      </c>
      <c r="E3" s="76" t="s">
        <v>158</v>
      </c>
      <c r="F3" s="76" t="s">
        <v>366</v>
      </c>
      <c r="G3" s="77" t="s">
        <v>367</v>
      </c>
      <c r="H3" s="77" t="s">
        <v>368</v>
      </c>
      <c r="I3" s="78" t="s">
        <v>369</v>
      </c>
      <c r="J3" s="78" t="s">
        <v>370</v>
      </c>
    </row>
    <row r="4" spans="1:10" x14ac:dyDescent="0.3">
      <c r="B4" s="79" t="s">
        <v>371</v>
      </c>
      <c r="C4" s="79" t="s">
        <v>327</v>
      </c>
      <c r="D4" s="73" t="s">
        <v>360</v>
      </c>
      <c r="E4" s="73" t="s">
        <v>161</v>
      </c>
      <c r="F4" s="74">
        <v>2804764</v>
      </c>
      <c r="G4" s="80">
        <v>2.804764</v>
      </c>
      <c r="H4" s="81" t="s">
        <v>125</v>
      </c>
      <c r="I4" s="81" t="s">
        <v>125</v>
      </c>
      <c r="J4" s="82" t="s">
        <v>125</v>
      </c>
    </row>
    <row r="5" spans="1:10" x14ac:dyDescent="0.3">
      <c r="B5" s="70" t="s">
        <v>371</v>
      </c>
      <c r="C5" s="70" t="s">
        <v>305</v>
      </c>
      <c r="D5" s="71" t="s">
        <v>360</v>
      </c>
      <c r="E5" s="71" t="s">
        <v>161</v>
      </c>
      <c r="F5" s="72">
        <v>2331000</v>
      </c>
      <c r="G5" s="83">
        <v>2.331</v>
      </c>
      <c r="H5" s="84" t="s">
        <v>125</v>
      </c>
      <c r="I5" s="84" t="s">
        <v>125</v>
      </c>
      <c r="J5" s="84" t="s">
        <v>125</v>
      </c>
    </row>
    <row r="6" spans="1:10" x14ac:dyDescent="0.3">
      <c r="B6" s="79" t="s">
        <v>371</v>
      </c>
      <c r="C6" s="79" t="s">
        <v>343</v>
      </c>
      <c r="D6" s="73" t="s">
        <v>360</v>
      </c>
      <c r="E6" s="73" t="s">
        <v>161</v>
      </c>
      <c r="F6" s="74">
        <v>509400</v>
      </c>
      <c r="G6" s="80">
        <v>0.50939999999999996</v>
      </c>
      <c r="H6" s="81" t="s">
        <v>125</v>
      </c>
      <c r="I6" s="81" t="s">
        <v>125</v>
      </c>
      <c r="J6" s="82" t="s">
        <v>125</v>
      </c>
    </row>
    <row r="7" spans="1:10" x14ac:dyDescent="0.3">
      <c r="B7" s="70" t="s">
        <v>371</v>
      </c>
      <c r="C7" s="70" t="s">
        <v>350</v>
      </c>
      <c r="D7" s="71" t="s">
        <v>360</v>
      </c>
      <c r="E7" s="71" t="s">
        <v>161</v>
      </c>
      <c r="F7" s="72">
        <v>170100</v>
      </c>
      <c r="G7" s="83">
        <v>0.1701</v>
      </c>
      <c r="H7" s="84" t="s">
        <v>125</v>
      </c>
      <c r="I7" s="84" t="s">
        <v>125</v>
      </c>
      <c r="J7" s="84" t="s">
        <v>125</v>
      </c>
    </row>
    <row r="8" spans="1:10" x14ac:dyDescent="0.3">
      <c r="B8" s="79" t="s">
        <v>371</v>
      </c>
      <c r="C8" s="79" t="s">
        <v>295</v>
      </c>
      <c r="D8" s="73" t="s">
        <v>360</v>
      </c>
      <c r="E8" s="73" t="s">
        <v>161</v>
      </c>
      <c r="F8" s="74">
        <v>571536</v>
      </c>
      <c r="G8" s="80">
        <v>0.57153600000000004</v>
      </c>
      <c r="H8" s="81" t="s">
        <v>125</v>
      </c>
      <c r="I8" s="81" t="s">
        <v>125</v>
      </c>
      <c r="J8" s="82" t="s">
        <v>125</v>
      </c>
    </row>
    <row r="9" spans="1:10" x14ac:dyDescent="0.3">
      <c r="B9" s="70" t="s">
        <v>371</v>
      </c>
      <c r="C9" s="70" t="s">
        <v>314</v>
      </c>
      <c r="D9" s="71" t="s">
        <v>360</v>
      </c>
      <c r="E9" s="71" t="s">
        <v>161</v>
      </c>
      <c r="F9" s="72">
        <v>747819</v>
      </c>
      <c r="G9" s="83">
        <v>0.74781900000000001</v>
      </c>
      <c r="H9" s="84" t="s">
        <v>125</v>
      </c>
      <c r="I9" s="84" t="s">
        <v>125</v>
      </c>
      <c r="J9" s="84" t="s">
        <v>125</v>
      </c>
    </row>
    <row r="10" spans="1:10" x14ac:dyDescent="0.3">
      <c r="B10" s="79" t="s">
        <v>371</v>
      </c>
      <c r="C10" s="79" t="s">
        <v>344</v>
      </c>
      <c r="D10" s="73" t="s">
        <v>360</v>
      </c>
      <c r="E10" s="73" t="s">
        <v>161</v>
      </c>
      <c r="F10" s="74">
        <v>428293</v>
      </c>
      <c r="G10" s="80">
        <v>0.42829299999999998</v>
      </c>
      <c r="H10" s="81" t="s">
        <v>125</v>
      </c>
      <c r="I10" s="81" t="s">
        <v>125</v>
      </c>
      <c r="J10" s="82" t="s">
        <v>125</v>
      </c>
    </row>
    <row r="11" spans="1:10" x14ac:dyDescent="0.3">
      <c r="B11" s="70" t="s">
        <v>371</v>
      </c>
      <c r="C11" s="70" t="s">
        <v>353</v>
      </c>
      <c r="D11" s="71" t="s">
        <v>360</v>
      </c>
      <c r="E11" s="71" t="s">
        <v>161</v>
      </c>
      <c r="F11" s="72">
        <v>146160</v>
      </c>
      <c r="G11" s="83">
        <v>0.14616000000000001</v>
      </c>
      <c r="H11" s="84" t="s">
        <v>125</v>
      </c>
      <c r="I11" s="84" t="s">
        <v>125</v>
      </c>
      <c r="J11" s="84" t="s">
        <v>125</v>
      </c>
    </row>
    <row r="12" spans="1:10" x14ac:dyDescent="0.3">
      <c r="B12" s="79" t="s">
        <v>371</v>
      </c>
      <c r="C12" s="79" t="s">
        <v>356</v>
      </c>
      <c r="D12" s="73" t="s">
        <v>360</v>
      </c>
      <c r="E12" s="73" t="s">
        <v>161</v>
      </c>
      <c r="F12" s="74">
        <v>45360</v>
      </c>
      <c r="G12" s="80">
        <v>4.5359999999999998E-2</v>
      </c>
      <c r="H12" s="81" t="s">
        <v>125</v>
      </c>
      <c r="I12" s="81" t="s">
        <v>125</v>
      </c>
      <c r="J12" s="82" t="s">
        <v>125</v>
      </c>
    </row>
    <row r="13" spans="1:10" x14ac:dyDescent="0.3">
      <c r="B13" s="70" t="s">
        <v>371</v>
      </c>
      <c r="C13" s="70" t="s">
        <v>311</v>
      </c>
      <c r="D13" s="71" t="s">
        <v>360</v>
      </c>
      <c r="E13" s="71" t="s">
        <v>161</v>
      </c>
      <c r="F13" s="72">
        <v>1451520</v>
      </c>
      <c r="G13" s="83">
        <v>1.4515199999999999</v>
      </c>
      <c r="H13" s="84" t="s">
        <v>125</v>
      </c>
      <c r="I13" s="84" t="s">
        <v>125</v>
      </c>
      <c r="J13" s="84" t="s">
        <v>125</v>
      </c>
    </row>
    <row r="14" spans="1:10" x14ac:dyDescent="0.3">
      <c r="B14" s="79" t="s">
        <v>371</v>
      </c>
      <c r="C14" s="79" t="s">
        <v>355</v>
      </c>
      <c r="D14" s="73" t="s">
        <v>360</v>
      </c>
      <c r="E14" s="73" t="s">
        <v>161</v>
      </c>
      <c r="F14" s="74">
        <v>52920</v>
      </c>
      <c r="G14" s="80">
        <v>5.2920000000000002E-2</v>
      </c>
      <c r="H14" s="81" t="s">
        <v>125</v>
      </c>
      <c r="I14" s="81" t="s">
        <v>125</v>
      </c>
      <c r="J14" s="82" t="s">
        <v>125</v>
      </c>
    </row>
    <row r="15" spans="1:10" x14ac:dyDescent="0.3">
      <c r="B15" s="70" t="s">
        <v>371</v>
      </c>
      <c r="C15" s="70" t="s">
        <v>306</v>
      </c>
      <c r="D15" s="71" t="s">
        <v>360</v>
      </c>
      <c r="E15" s="71" t="s">
        <v>161</v>
      </c>
      <c r="F15" s="72">
        <v>9529706</v>
      </c>
      <c r="G15" s="83">
        <v>9.5297059999999991</v>
      </c>
      <c r="H15" s="84" t="s">
        <v>125</v>
      </c>
      <c r="I15" s="84" t="s">
        <v>125</v>
      </c>
      <c r="J15" s="84" t="s">
        <v>125</v>
      </c>
    </row>
    <row r="16" spans="1:10" x14ac:dyDescent="0.3">
      <c r="B16" s="79" t="s">
        <v>371</v>
      </c>
      <c r="C16" s="79" t="s">
        <v>322</v>
      </c>
      <c r="D16" s="73" t="s">
        <v>360</v>
      </c>
      <c r="E16" s="73" t="s">
        <v>161</v>
      </c>
      <c r="F16" s="74">
        <v>5322240</v>
      </c>
      <c r="G16" s="80">
        <v>5.3222399999999999</v>
      </c>
      <c r="H16" s="81" t="s">
        <v>125</v>
      </c>
      <c r="I16" s="81" t="s">
        <v>125</v>
      </c>
      <c r="J16" s="82" t="s">
        <v>125</v>
      </c>
    </row>
    <row r="17" spans="2:10" x14ac:dyDescent="0.3">
      <c r="B17" s="70" t="s">
        <v>371</v>
      </c>
      <c r="C17" s="70" t="s">
        <v>319</v>
      </c>
      <c r="D17" s="71" t="s">
        <v>360</v>
      </c>
      <c r="E17" s="71" t="s">
        <v>161</v>
      </c>
      <c r="F17" s="72">
        <v>6270257</v>
      </c>
      <c r="G17" s="83">
        <v>6.270257</v>
      </c>
      <c r="H17" s="84" t="s">
        <v>125</v>
      </c>
      <c r="I17" s="84" t="s">
        <v>125</v>
      </c>
      <c r="J17" s="84" t="s">
        <v>125</v>
      </c>
    </row>
    <row r="18" spans="2:10" x14ac:dyDescent="0.3">
      <c r="B18" s="79" t="s">
        <v>371</v>
      </c>
      <c r="C18" s="79" t="s">
        <v>335</v>
      </c>
      <c r="D18" s="73" t="s">
        <v>360</v>
      </c>
      <c r="E18" s="73" t="s">
        <v>161</v>
      </c>
      <c r="F18" s="74">
        <v>1268190</v>
      </c>
      <c r="G18" s="80">
        <v>1.2681899999999999</v>
      </c>
      <c r="H18" s="81" t="s">
        <v>125</v>
      </c>
      <c r="I18" s="81" t="s">
        <v>125</v>
      </c>
      <c r="J18" s="82" t="s">
        <v>125</v>
      </c>
    </row>
    <row r="19" spans="2:10" x14ac:dyDescent="0.3">
      <c r="B19" s="70" t="s">
        <v>371</v>
      </c>
      <c r="C19" s="70" t="s">
        <v>326</v>
      </c>
      <c r="D19" s="71" t="s">
        <v>360</v>
      </c>
      <c r="E19" s="71" t="s">
        <v>161</v>
      </c>
      <c r="F19" s="72">
        <v>2870640</v>
      </c>
      <c r="G19" s="83">
        <v>2.8706399999999999</v>
      </c>
      <c r="H19" s="84" t="s">
        <v>125</v>
      </c>
      <c r="I19" s="84" t="s">
        <v>125</v>
      </c>
      <c r="J19" s="84" t="s">
        <v>125</v>
      </c>
    </row>
    <row r="20" spans="2:10" x14ac:dyDescent="0.3">
      <c r="B20" s="79" t="s">
        <v>371</v>
      </c>
      <c r="C20" s="79" t="s">
        <v>341</v>
      </c>
      <c r="D20" s="73" t="s">
        <v>360</v>
      </c>
      <c r="E20" s="73" t="s">
        <v>161</v>
      </c>
      <c r="F20" s="74">
        <v>569520</v>
      </c>
      <c r="G20" s="80">
        <v>0.56952000000000003</v>
      </c>
      <c r="H20" s="81" t="s">
        <v>125</v>
      </c>
      <c r="I20" s="81" t="s">
        <v>125</v>
      </c>
      <c r="J20" s="82" t="s">
        <v>125</v>
      </c>
    </row>
    <row r="21" spans="2:10" x14ac:dyDescent="0.3">
      <c r="B21" s="70" t="s">
        <v>371</v>
      </c>
      <c r="C21" s="70" t="s">
        <v>342</v>
      </c>
      <c r="D21" s="71" t="s">
        <v>360</v>
      </c>
      <c r="E21" s="71" t="s">
        <v>161</v>
      </c>
      <c r="F21" s="72">
        <v>555520</v>
      </c>
      <c r="G21" s="83">
        <v>0.55552000000000001</v>
      </c>
      <c r="H21" s="84" t="s">
        <v>125</v>
      </c>
      <c r="I21" s="84" t="s">
        <v>125</v>
      </c>
      <c r="J21" s="84" t="s">
        <v>125</v>
      </c>
    </row>
    <row r="22" spans="2:10" x14ac:dyDescent="0.3">
      <c r="B22" s="79" t="s">
        <v>371</v>
      </c>
      <c r="C22" s="79" t="s">
        <v>348</v>
      </c>
      <c r="D22" s="73" t="s">
        <v>360</v>
      </c>
      <c r="E22" s="73" t="s">
        <v>161</v>
      </c>
      <c r="F22" s="74">
        <v>226800</v>
      </c>
      <c r="G22" s="80">
        <v>0.2268</v>
      </c>
      <c r="H22" s="81" t="s">
        <v>125</v>
      </c>
      <c r="I22" s="81" t="s">
        <v>125</v>
      </c>
      <c r="J22" s="82" t="s">
        <v>125</v>
      </c>
    </row>
    <row r="23" spans="2:10" x14ac:dyDescent="0.3">
      <c r="B23" s="70" t="s">
        <v>371</v>
      </c>
      <c r="C23" s="70" t="s">
        <v>324</v>
      </c>
      <c r="D23" s="71" t="s">
        <v>360</v>
      </c>
      <c r="E23" s="71" t="s">
        <v>161</v>
      </c>
      <c r="F23" s="72">
        <v>3931843</v>
      </c>
      <c r="G23" s="83">
        <v>3.9318430000000002</v>
      </c>
      <c r="H23" s="84" t="s">
        <v>125</v>
      </c>
      <c r="I23" s="84" t="s">
        <v>125</v>
      </c>
      <c r="J23" s="84" t="s">
        <v>125</v>
      </c>
    </row>
    <row r="24" spans="2:10" x14ac:dyDescent="0.3">
      <c r="B24" s="79" t="s">
        <v>371</v>
      </c>
      <c r="C24" s="79" t="s">
        <v>351</v>
      </c>
      <c r="D24" s="73" t="s">
        <v>360</v>
      </c>
      <c r="E24" s="73" t="s">
        <v>161</v>
      </c>
      <c r="F24" s="74">
        <v>156492</v>
      </c>
      <c r="G24" s="80">
        <v>0.15649199999999999</v>
      </c>
      <c r="H24" s="81" t="s">
        <v>125</v>
      </c>
      <c r="I24" s="81" t="s">
        <v>125</v>
      </c>
      <c r="J24" s="82" t="s">
        <v>125</v>
      </c>
    </row>
    <row r="25" spans="2:10" x14ac:dyDescent="0.3">
      <c r="B25" s="70" t="s">
        <v>371</v>
      </c>
      <c r="C25" s="70" t="s">
        <v>333</v>
      </c>
      <c r="D25" s="71" t="s">
        <v>360</v>
      </c>
      <c r="E25" s="71" t="s">
        <v>161</v>
      </c>
      <c r="F25" s="72">
        <v>1496880</v>
      </c>
      <c r="G25" s="83">
        <v>1.49688</v>
      </c>
      <c r="H25" s="84" t="s">
        <v>125</v>
      </c>
      <c r="I25" s="84" t="s">
        <v>125</v>
      </c>
      <c r="J25" s="84" t="s">
        <v>125</v>
      </c>
    </row>
    <row r="26" spans="2:10" x14ac:dyDescent="0.3">
      <c r="B26" s="79" t="s">
        <v>371</v>
      </c>
      <c r="C26" s="79" t="s">
        <v>354</v>
      </c>
      <c r="D26" s="73" t="s">
        <v>360</v>
      </c>
      <c r="E26" s="73" t="s">
        <v>161</v>
      </c>
      <c r="F26" s="74">
        <v>75600</v>
      </c>
      <c r="G26" s="80">
        <v>7.5600000000000001E-2</v>
      </c>
      <c r="H26" s="81" t="s">
        <v>125</v>
      </c>
      <c r="I26" s="81" t="s">
        <v>125</v>
      </c>
      <c r="J26" s="82" t="s">
        <v>125</v>
      </c>
    </row>
    <row r="27" spans="2:10" x14ac:dyDescent="0.3">
      <c r="B27" s="70" t="s">
        <v>371</v>
      </c>
      <c r="C27" s="70" t="s">
        <v>334</v>
      </c>
      <c r="D27" s="71" t="s">
        <v>360</v>
      </c>
      <c r="E27" s="71" t="s">
        <v>161</v>
      </c>
      <c r="F27" s="72">
        <v>1406160</v>
      </c>
      <c r="G27" s="83">
        <v>1.4061600000000001</v>
      </c>
      <c r="H27" s="84" t="s">
        <v>125</v>
      </c>
      <c r="I27" s="84" t="s">
        <v>125</v>
      </c>
      <c r="J27" s="84" t="s">
        <v>125</v>
      </c>
    </row>
    <row r="28" spans="2:10" x14ac:dyDescent="0.3">
      <c r="B28" s="79" t="s">
        <v>371</v>
      </c>
      <c r="C28" s="79" t="s">
        <v>321</v>
      </c>
      <c r="D28" s="73" t="s">
        <v>360</v>
      </c>
      <c r="E28" s="73" t="s">
        <v>161</v>
      </c>
      <c r="F28" s="74">
        <v>5654880</v>
      </c>
      <c r="G28" s="80">
        <v>5.6548800000000004</v>
      </c>
      <c r="H28" s="81" t="s">
        <v>125</v>
      </c>
      <c r="I28" s="81" t="s">
        <v>125</v>
      </c>
      <c r="J28" s="82" t="s">
        <v>125</v>
      </c>
    </row>
    <row r="29" spans="2:10" x14ac:dyDescent="0.3">
      <c r="B29" s="70" t="s">
        <v>371</v>
      </c>
      <c r="C29" s="70" t="s">
        <v>347</v>
      </c>
      <c r="D29" s="71" t="s">
        <v>360</v>
      </c>
      <c r="E29" s="71" t="s">
        <v>161</v>
      </c>
      <c r="F29" s="72">
        <v>272160</v>
      </c>
      <c r="G29" s="83">
        <v>0.27216000000000001</v>
      </c>
      <c r="H29" s="84" t="s">
        <v>125</v>
      </c>
      <c r="I29" s="84" t="s">
        <v>125</v>
      </c>
      <c r="J29" s="84" t="s">
        <v>125</v>
      </c>
    </row>
    <row r="30" spans="2:10" x14ac:dyDescent="0.3">
      <c r="B30" s="79" t="s">
        <v>371</v>
      </c>
      <c r="C30" s="79" t="s">
        <v>346</v>
      </c>
      <c r="D30" s="73" t="s">
        <v>360</v>
      </c>
      <c r="E30" s="73" t="s">
        <v>161</v>
      </c>
      <c r="F30" s="74">
        <v>316481</v>
      </c>
      <c r="G30" s="80">
        <v>0.31648100000000001</v>
      </c>
      <c r="H30" s="81" t="s">
        <v>125</v>
      </c>
      <c r="I30" s="81" t="s">
        <v>125</v>
      </c>
      <c r="J30" s="82" t="s">
        <v>125</v>
      </c>
    </row>
    <row r="31" spans="2:10" x14ac:dyDescent="0.3">
      <c r="B31" s="70" t="s">
        <v>371</v>
      </c>
      <c r="C31" s="70" t="s">
        <v>313</v>
      </c>
      <c r="D31" s="71" t="s">
        <v>360</v>
      </c>
      <c r="E31" s="71" t="s">
        <v>161</v>
      </c>
      <c r="F31" s="72">
        <v>8207969</v>
      </c>
      <c r="G31" s="83">
        <v>8.2079690000000003</v>
      </c>
      <c r="H31" s="84" t="s">
        <v>125</v>
      </c>
      <c r="I31" s="84" t="s">
        <v>125</v>
      </c>
      <c r="J31" s="84" t="s">
        <v>125</v>
      </c>
    </row>
    <row r="32" spans="2:10" x14ac:dyDescent="0.3">
      <c r="B32" s="79" t="s">
        <v>371</v>
      </c>
      <c r="C32" s="79" t="s">
        <v>200</v>
      </c>
      <c r="D32" s="73" t="s">
        <v>360</v>
      </c>
      <c r="E32" s="73" t="s">
        <v>161</v>
      </c>
      <c r="F32" s="74">
        <v>3394956</v>
      </c>
      <c r="G32" s="80">
        <v>3.3949560000000001</v>
      </c>
      <c r="H32" s="81" t="s">
        <v>125</v>
      </c>
      <c r="I32" s="81" t="s">
        <v>125</v>
      </c>
      <c r="J32" s="82" t="s">
        <v>125</v>
      </c>
    </row>
    <row r="33" spans="2:10" x14ac:dyDescent="0.3">
      <c r="B33" s="70" t="s">
        <v>371</v>
      </c>
      <c r="C33" s="70" t="s">
        <v>329</v>
      </c>
      <c r="D33" s="71" t="s">
        <v>360</v>
      </c>
      <c r="E33" s="71" t="s">
        <v>161</v>
      </c>
      <c r="F33" s="72">
        <v>2355696</v>
      </c>
      <c r="G33" s="83">
        <v>2.355696</v>
      </c>
      <c r="H33" s="84" t="s">
        <v>125</v>
      </c>
      <c r="I33" s="84" t="s">
        <v>125</v>
      </c>
      <c r="J33" s="84" t="s">
        <v>125</v>
      </c>
    </row>
    <row r="34" spans="2:10" x14ac:dyDescent="0.3">
      <c r="B34" s="79" t="s">
        <v>371</v>
      </c>
      <c r="C34" s="79" t="s">
        <v>349</v>
      </c>
      <c r="D34" s="73" t="s">
        <v>360</v>
      </c>
      <c r="E34" s="73" t="s">
        <v>161</v>
      </c>
      <c r="F34" s="74">
        <v>200000</v>
      </c>
      <c r="G34" s="80">
        <v>0.2</v>
      </c>
      <c r="H34" s="81" t="s">
        <v>125</v>
      </c>
      <c r="I34" s="81" t="s">
        <v>125</v>
      </c>
      <c r="J34" s="82" t="s">
        <v>125</v>
      </c>
    </row>
    <row r="35" spans="2:10" x14ac:dyDescent="0.3">
      <c r="B35" s="70" t="s">
        <v>371</v>
      </c>
      <c r="C35" s="70" t="s">
        <v>336</v>
      </c>
      <c r="D35" s="71" t="s">
        <v>360</v>
      </c>
      <c r="E35" s="71" t="s">
        <v>161</v>
      </c>
      <c r="F35" s="72">
        <v>1262520</v>
      </c>
      <c r="G35" s="83">
        <v>1.2625200000000001</v>
      </c>
      <c r="H35" s="84" t="s">
        <v>125</v>
      </c>
      <c r="I35" s="84" t="s">
        <v>125</v>
      </c>
      <c r="J35" s="84" t="s">
        <v>125</v>
      </c>
    </row>
    <row r="36" spans="2:10" x14ac:dyDescent="0.3">
      <c r="B36" s="79" t="s">
        <v>371</v>
      </c>
      <c r="C36" s="79" t="s">
        <v>193</v>
      </c>
      <c r="D36" s="73" t="s">
        <v>360</v>
      </c>
      <c r="E36" s="73" t="s">
        <v>161</v>
      </c>
      <c r="F36" s="74">
        <v>10790065</v>
      </c>
      <c r="G36" s="80">
        <v>10.790065</v>
      </c>
      <c r="H36" s="81" t="s">
        <v>125</v>
      </c>
      <c r="I36" s="81" t="s">
        <v>125</v>
      </c>
      <c r="J36" s="82" t="s">
        <v>125</v>
      </c>
    </row>
    <row r="37" spans="2:10" x14ac:dyDescent="0.3">
      <c r="B37" s="70" t="s">
        <v>371</v>
      </c>
      <c r="C37" s="70" t="s">
        <v>304</v>
      </c>
      <c r="D37" s="71" t="s">
        <v>360</v>
      </c>
      <c r="E37" s="71" t="s">
        <v>161</v>
      </c>
      <c r="F37" s="72">
        <v>10160349</v>
      </c>
      <c r="G37" s="83">
        <v>10.160349</v>
      </c>
      <c r="H37" s="84" t="s">
        <v>125</v>
      </c>
      <c r="I37" s="84" t="s">
        <v>125</v>
      </c>
      <c r="J37" s="84" t="s">
        <v>125</v>
      </c>
    </row>
    <row r="38" spans="2:10" x14ac:dyDescent="0.3">
      <c r="B38" s="79" t="s">
        <v>371</v>
      </c>
      <c r="C38" s="79" t="s">
        <v>226</v>
      </c>
      <c r="D38" s="73" t="s">
        <v>124</v>
      </c>
      <c r="E38" s="73" t="s">
        <v>161</v>
      </c>
      <c r="F38" s="74">
        <v>1104000</v>
      </c>
      <c r="G38" s="80">
        <v>1.1040000000000001</v>
      </c>
      <c r="H38" s="81" t="s">
        <v>287</v>
      </c>
      <c r="I38" s="81" t="s">
        <v>372</v>
      </c>
      <c r="J38" s="82" t="s">
        <v>373</v>
      </c>
    </row>
    <row r="39" spans="2:10" x14ac:dyDescent="0.3">
      <c r="B39" s="70" t="s">
        <v>371</v>
      </c>
      <c r="C39" s="70" t="s">
        <v>226</v>
      </c>
      <c r="D39" s="71" t="s">
        <v>124</v>
      </c>
      <c r="E39" s="71" t="s">
        <v>161</v>
      </c>
      <c r="F39" s="72">
        <v>1005500</v>
      </c>
      <c r="G39" s="83">
        <v>1.0055000000000001</v>
      </c>
      <c r="H39" s="84" t="s">
        <v>287</v>
      </c>
      <c r="I39" s="84" t="s">
        <v>372</v>
      </c>
      <c r="J39" s="84" t="s">
        <v>373</v>
      </c>
    </row>
    <row r="40" spans="2:10" x14ac:dyDescent="0.3">
      <c r="B40" s="79" t="s">
        <v>371</v>
      </c>
      <c r="C40" s="79" t="s">
        <v>330</v>
      </c>
      <c r="D40" s="73" t="s">
        <v>122</v>
      </c>
      <c r="E40" s="73" t="s">
        <v>161</v>
      </c>
      <c r="F40" s="74">
        <v>2000000</v>
      </c>
      <c r="G40" s="80">
        <v>2</v>
      </c>
      <c r="H40" s="81" t="s">
        <v>287</v>
      </c>
      <c r="I40" s="81" t="s">
        <v>372</v>
      </c>
      <c r="J40" s="82" t="s">
        <v>373</v>
      </c>
    </row>
    <row r="41" spans="2:10" x14ac:dyDescent="0.3">
      <c r="B41" s="70" t="s">
        <v>371</v>
      </c>
      <c r="C41" s="70" t="s">
        <v>305</v>
      </c>
      <c r="D41" s="71" t="s">
        <v>122</v>
      </c>
      <c r="E41" s="71" t="s">
        <v>161</v>
      </c>
      <c r="F41" s="72">
        <v>1000000</v>
      </c>
      <c r="G41" s="83">
        <v>1</v>
      </c>
      <c r="H41" s="84" t="s">
        <v>287</v>
      </c>
      <c r="I41" s="84" t="s">
        <v>372</v>
      </c>
      <c r="J41" s="84" t="s">
        <v>373</v>
      </c>
    </row>
    <row r="42" spans="2:10" x14ac:dyDescent="0.3">
      <c r="B42" s="79" t="s">
        <v>371</v>
      </c>
      <c r="C42" s="79" t="s">
        <v>317</v>
      </c>
      <c r="D42" s="73" t="s">
        <v>122</v>
      </c>
      <c r="E42" s="73" t="s">
        <v>161</v>
      </c>
      <c r="F42" s="74">
        <v>5000000</v>
      </c>
      <c r="G42" s="80">
        <v>5</v>
      </c>
      <c r="H42" s="81" t="s">
        <v>287</v>
      </c>
      <c r="I42" s="81" t="s">
        <v>372</v>
      </c>
      <c r="J42" s="82" t="s">
        <v>373</v>
      </c>
    </row>
    <row r="43" spans="2:10" x14ac:dyDescent="0.3">
      <c r="B43" s="70" t="s">
        <v>371</v>
      </c>
      <c r="C43" s="70" t="s">
        <v>317</v>
      </c>
      <c r="D43" s="71" t="s">
        <v>122</v>
      </c>
      <c r="E43" s="71" t="s">
        <v>161</v>
      </c>
      <c r="F43" s="72">
        <v>2100000</v>
      </c>
      <c r="G43" s="83">
        <v>2.1</v>
      </c>
      <c r="H43" s="84" t="s">
        <v>287</v>
      </c>
      <c r="I43" s="84" t="s">
        <v>372</v>
      </c>
      <c r="J43" s="84" t="s">
        <v>373</v>
      </c>
    </row>
    <row r="44" spans="2:10" x14ac:dyDescent="0.3">
      <c r="B44" s="79" t="s">
        <v>371</v>
      </c>
      <c r="C44" s="79" t="s">
        <v>217</v>
      </c>
      <c r="D44" s="73" t="s">
        <v>124</v>
      </c>
      <c r="E44" s="73" t="s">
        <v>161</v>
      </c>
      <c r="F44" s="74">
        <v>1000000</v>
      </c>
      <c r="G44" s="80">
        <v>1</v>
      </c>
      <c r="H44" s="81" t="s">
        <v>287</v>
      </c>
      <c r="I44" s="81" t="s">
        <v>372</v>
      </c>
      <c r="J44" s="82" t="s">
        <v>373</v>
      </c>
    </row>
    <row r="45" spans="2:10" x14ac:dyDescent="0.3">
      <c r="B45" s="70" t="s">
        <v>371</v>
      </c>
      <c r="C45" s="70" t="s">
        <v>217</v>
      </c>
      <c r="D45" s="71" t="s">
        <v>124</v>
      </c>
      <c r="E45" s="71" t="s">
        <v>161</v>
      </c>
      <c r="F45" s="72">
        <v>2000000</v>
      </c>
      <c r="G45" s="83">
        <v>2</v>
      </c>
      <c r="H45" s="84" t="s">
        <v>287</v>
      </c>
      <c r="I45" s="84" t="s">
        <v>372</v>
      </c>
      <c r="J45" s="84" t="s">
        <v>373</v>
      </c>
    </row>
    <row r="46" spans="2:10" x14ac:dyDescent="0.3">
      <c r="B46" s="79" t="s">
        <v>371</v>
      </c>
      <c r="C46" s="79" t="s">
        <v>218</v>
      </c>
      <c r="D46" s="73" t="s">
        <v>124</v>
      </c>
      <c r="E46" s="73" t="s">
        <v>161</v>
      </c>
      <c r="F46" s="74">
        <v>2400000</v>
      </c>
      <c r="G46" s="80">
        <v>2.4</v>
      </c>
      <c r="H46" s="81" t="s">
        <v>287</v>
      </c>
      <c r="I46" s="81" t="s">
        <v>372</v>
      </c>
      <c r="J46" s="82" t="s">
        <v>373</v>
      </c>
    </row>
    <row r="47" spans="2:10" x14ac:dyDescent="0.3">
      <c r="B47" s="70" t="s">
        <v>371</v>
      </c>
      <c r="C47" s="70" t="s">
        <v>218</v>
      </c>
      <c r="D47" s="71" t="s">
        <v>124</v>
      </c>
      <c r="E47" s="71" t="s">
        <v>161</v>
      </c>
      <c r="F47" s="72">
        <v>561000</v>
      </c>
      <c r="G47" s="83">
        <v>0.56100000000000005</v>
      </c>
      <c r="H47" s="84" t="s">
        <v>287</v>
      </c>
      <c r="I47" s="84" t="s">
        <v>372</v>
      </c>
      <c r="J47" s="84" t="s">
        <v>373</v>
      </c>
    </row>
    <row r="48" spans="2:10" x14ac:dyDescent="0.3">
      <c r="B48" s="79" t="s">
        <v>371</v>
      </c>
      <c r="C48" s="79" t="s">
        <v>374</v>
      </c>
      <c r="D48" s="73" t="s">
        <v>375</v>
      </c>
      <c r="E48" s="73" t="s">
        <v>161</v>
      </c>
      <c r="F48" s="74">
        <v>5000000</v>
      </c>
      <c r="G48" s="80">
        <v>5</v>
      </c>
      <c r="H48" s="81" t="s">
        <v>69</v>
      </c>
      <c r="I48" s="81" t="s">
        <v>372</v>
      </c>
      <c r="J48" s="82" t="s">
        <v>373</v>
      </c>
    </row>
    <row r="49" spans="2:10" x14ac:dyDescent="0.3">
      <c r="B49" s="70" t="s">
        <v>371</v>
      </c>
      <c r="C49" s="70" t="s">
        <v>374</v>
      </c>
      <c r="D49" s="71" t="s">
        <v>375</v>
      </c>
      <c r="E49" s="71" t="s">
        <v>161</v>
      </c>
      <c r="F49" s="72">
        <v>25000000</v>
      </c>
      <c r="G49" s="83">
        <v>25</v>
      </c>
      <c r="H49" s="84" t="s">
        <v>69</v>
      </c>
      <c r="I49" s="84" t="s">
        <v>372</v>
      </c>
      <c r="J49" s="84" t="s">
        <v>373</v>
      </c>
    </row>
    <row r="50" spans="2:10" x14ac:dyDescent="0.3">
      <c r="B50" s="79" t="s">
        <v>371</v>
      </c>
      <c r="C50" s="79" t="s">
        <v>374</v>
      </c>
      <c r="D50" s="73" t="s">
        <v>375</v>
      </c>
      <c r="E50" s="73" t="s">
        <v>161</v>
      </c>
      <c r="F50" s="74">
        <v>5000000</v>
      </c>
      <c r="G50" s="80">
        <v>5</v>
      </c>
      <c r="H50" s="81" t="s">
        <v>69</v>
      </c>
      <c r="I50" s="81" t="s">
        <v>372</v>
      </c>
      <c r="J50" s="82" t="s">
        <v>373</v>
      </c>
    </row>
    <row r="51" spans="2:10" x14ac:dyDescent="0.3">
      <c r="B51" s="70" t="s">
        <v>371</v>
      </c>
      <c r="C51" s="70" t="s">
        <v>299</v>
      </c>
      <c r="D51" s="71" t="s">
        <v>375</v>
      </c>
      <c r="E51" s="71" t="s">
        <v>161</v>
      </c>
      <c r="F51" s="72">
        <v>16590000</v>
      </c>
      <c r="G51" s="83">
        <v>16.59</v>
      </c>
      <c r="H51" s="84" t="s">
        <v>69</v>
      </c>
      <c r="I51" s="84" t="s">
        <v>372</v>
      </c>
      <c r="J51" s="84" t="s">
        <v>373</v>
      </c>
    </row>
    <row r="52" spans="2:10" x14ac:dyDescent="0.3">
      <c r="B52" s="79" t="s">
        <v>371</v>
      </c>
      <c r="C52" s="79" t="s">
        <v>293</v>
      </c>
      <c r="D52" s="73" t="s">
        <v>375</v>
      </c>
      <c r="E52" s="73" t="s">
        <v>161</v>
      </c>
      <c r="F52" s="74">
        <v>35000000</v>
      </c>
      <c r="G52" s="80">
        <v>35</v>
      </c>
      <c r="H52" s="81" t="s">
        <v>69</v>
      </c>
      <c r="I52" s="81" t="s">
        <v>372</v>
      </c>
      <c r="J52" s="82" t="s">
        <v>373</v>
      </c>
    </row>
    <row r="53" spans="2:10" x14ac:dyDescent="0.3">
      <c r="B53" s="70" t="s">
        <v>371</v>
      </c>
      <c r="C53" s="70" t="s">
        <v>293</v>
      </c>
      <c r="D53" s="71" t="s">
        <v>375</v>
      </c>
      <c r="E53" s="71" t="s">
        <v>161</v>
      </c>
      <c r="F53" s="72">
        <v>50000000</v>
      </c>
      <c r="G53" s="83">
        <v>50</v>
      </c>
      <c r="H53" s="84" t="s">
        <v>69</v>
      </c>
      <c r="I53" s="84" t="s">
        <v>372</v>
      </c>
      <c r="J53" s="84" t="s">
        <v>373</v>
      </c>
    </row>
    <row r="54" spans="2:10" x14ac:dyDescent="0.3">
      <c r="B54" s="79" t="s">
        <v>371</v>
      </c>
      <c r="C54" s="79" t="s">
        <v>188</v>
      </c>
      <c r="D54" s="73" t="s">
        <v>375</v>
      </c>
      <c r="E54" s="73" t="s">
        <v>161</v>
      </c>
      <c r="F54" s="74">
        <v>7155520</v>
      </c>
      <c r="G54" s="80">
        <v>7.1555200000000001</v>
      </c>
      <c r="H54" s="81" t="s">
        <v>69</v>
      </c>
      <c r="I54" s="81" t="s">
        <v>372</v>
      </c>
      <c r="J54" s="82" t="s">
        <v>373</v>
      </c>
    </row>
    <row r="55" spans="2:10" x14ac:dyDescent="0.3">
      <c r="B55" s="70" t="s">
        <v>371</v>
      </c>
      <c r="C55" s="70" t="s">
        <v>188</v>
      </c>
      <c r="D55" s="71" t="s">
        <v>375</v>
      </c>
      <c r="E55" s="71" t="s">
        <v>161</v>
      </c>
      <c r="F55" s="72">
        <v>140480</v>
      </c>
      <c r="G55" s="83">
        <v>0.14047999999999999</v>
      </c>
      <c r="H55" s="84" t="s">
        <v>69</v>
      </c>
      <c r="I55" s="84" t="s">
        <v>372</v>
      </c>
      <c r="J55" s="84" t="s">
        <v>373</v>
      </c>
    </row>
    <row r="56" spans="2:10" x14ac:dyDescent="0.3">
      <c r="B56" s="79" t="s">
        <v>371</v>
      </c>
      <c r="C56" s="79" t="s">
        <v>188</v>
      </c>
      <c r="D56" s="73" t="s">
        <v>70</v>
      </c>
      <c r="E56" s="73" t="s">
        <v>161</v>
      </c>
      <c r="F56" s="74">
        <v>30553777</v>
      </c>
      <c r="G56" s="80">
        <v>30.553777</v>
      </c>
      <c r="H56" s="81" t="s">
        <v>69</v>
      </c>
      <c r="I56" s="81" t="s">
        <v>372</v>
      </c>
      <c r="J56" s="82" t="s">
        <v>373</v>
      </c>
    </row>
    <row r="57" spans="2:10" x14ac:dyDescent="0.3">
      <c r="B57" s="70" t="s">
        <v>371</v>
      </c>
      <c r="C57" s="70" t="s">
        <v>296</v>
      </c>
      <c r="D57" s="71" t="s">
        <v>375</v>
      </c>
      <c r="E57" s="71" t="s">
        <v>161</v>
      </c>
      <c r="F57" s="72">
        <v>6468170</v>
      </c>
      <c r="G57" s="83">
        <v>6.4681699999999998</v>
      </c>
      <c r="H57" s="84" t="s">
        <v>69</v>
      </c>
      <c r="I57" s="84" t="s">
        <v>372</v>
      </c>
      <c r="J57" s="84" t="s">
        <v>373</v>
      </c>
    </row>
    <row r="58" spans="2:10" x14ac:dyDescent="0.3">
      <c r="B58" s="79" t="s">
        <v>371</v>
      </c>
      <c r="C58" s="79" t="s">
        <v>296</v>
      </c>
      <c r="D58" s="73" t="s">
        <v>375</v>
      </c>
      <c r="E58" s="73" t="s">
        <v>161</v>
      </c>
      <c r="F58" s="74">
        <v>3918780</v>
      </c>
      <c r="G58" s="80">
        <v>3.9187799999999999</v>
      </c>
      <c r="H58" s="81" t="s">
        <v>69</v>
      </c>
      <c r="I58" s="81" t="s">
        <v>372</v>
      </c>
      <c r="J58" s="82" t="s">
        <v>373</v>
      </c>
    </row>
    <row r="59" spans="2:10" x14ac:dyDescent="0.3">
      <c r="B59" s="70" t="s">
        <v>371</v>
      </c>
      <c r="C59" s="70" t="s">
        <v>296</v>
      </c>
      <c r="D59" s="71" t="s">
        <v>375</v>
      </c>
      <c r="E59" s="71" t="s">
        <v>161</v>
      </c>
      <c r="F59" s="72">
        <v>7428336</v>
      </c>
      <c r="G59" s="83">
        <v>7.4283359999999998</v>
      </c>
      <c r="H59" s="84" t="s">
        <v>69</v>
      </c>
      <c r="I59" s="84" t="s">
        <v>372</v>
      </c>
      <c r="J59" s="84" t="s">
        <v>373</v>
      </c>
    </row>
    <row r="60" spans="2:10" x14ac:dyDescent="0.3">
      <c r="B60" s="79" t="s">
        <v>371</v>
      </c>
      <c r="C60" s="79" t="s">
        <v>296</v>
      </c>
      <c r="D60" s="73" t="s">
        <v>375</v>
      </c>
      <c r="E60" s="73" t="s">
        <v>161</v>
      </c>
      <c r="F60" s="74">
        <v>3997250</v>
      </c>
      <c r="G60" s="80">
        <v>3.9972500000000002</v>
      </c>
      <c r="H60" s="81" t="s">
        <v>69</v>
      </c>
      <c r="I60" s="81" t="s">
        <v>372</v>
      </c>
      <c r="J60" s="82" t="s">
        <v>373</v>
      </c>
    </row>
    <row r="61" spans="2:10" x14ac:dyDescent="0.3">
      <c r="B61" s="70" t="s">
        <v>371</v>
      </c>
      <c r="C61" s="70" t="s">
        <v>296</v>
      </c>
      <c r="D61" s="71" t="s">
        <v>375</v>
      </c>
      <c r="E61" s="71" t="s">
        <v>161</v>
      </c>
      <c r="F61" s="72">
        <v>5899646</v>
      </c>
      <c r="G61" s="83">
        <v>5.8996459999999997</v>
      </c>
      <c r="H61" s="84" t="s">
        <v>69</v>
      </c>
      <c r="I61" s="84" t="s">
        <v>372</v>
      </c>
      <c r="J61" s="84" t="s">
        <v>373</v>
      </c>
    </row>
    <row r="62" spans="2:10" x14ac:dyDescent="0.3">
      <c r="B62" s="79" t="s">
        <v>371</v>
      </c>
      <c r="C62" s="79" t="s">
        <v>296</v>
      </c>
      <c r="D62" s="73" t="s">
        <v>375</v>
      </c>
      <c r="E62" s="73" t="s">
        <v>161</v>
      </c>
      <c r="F62" s="74">
        <v>5897640</v>
      </c>
      <c r="G62" s="80">
        <v>5.89764</v>
      </c>
      <c r="H62" s="81" t="s">
        <v>69</v>
      </c>
      <c r="I62" s="81" t="s">
        <v>372</v>
      </c>
      <c r="J62" s="82" t="s">
        <v>373</v>
      </c>
    </row>
    <row r="63" spans="2:10" x14ac:dyDescent="0.3">
      <c r="B63" s="70" t="s">
        <v>371</v>
      </c>
      <c r="C63" s="70" t="s">
        <v>183</v>
      </c>
      <c r="D63" s="71" t="s">
        <v>288</v>
      </c>
      <c r="E63" s="71" t="s">
        <v>161</v>
      </c>
      <c r="F63" s="72">
        <v>28876865</v>
      </c>
      <c r="G63" s="83">
        <v>28.876864999999999</v>
      </c>
      <c r="H63" s="84" t="s">
        <v>69</v>
      </c>
      <c r="I63" s="84" t="s">
        <v>372</v>
      </c>
      <c r="J63" s="84" t="s">
        <v>373</v>
      </c>
    </row>
    <row r="64" spans="2:10" x14ac:dyDescent="0.3">
      <c r="B64" s="79" t="s">
        <v>371</v>
      </c>
      <c r="C64" s="79" t="s">
        <v>183</v>
      </c>
      <c r="D64" s="73" t="s">
        <v>288</v>
      </c>
      <c r="E64" s="73" t="s">
        <v>161</v>
      </c>
      <c r="F64" s="74">
        <v>32930824</v>
      </c>
      <c r="G64" s="80">
        <v>32.930824000000001</v>
      </c>
      <c r="H64" s="81" t="s">
        <v>69</v>
      </c>
      <c r="I64" s="81" t="s">
        <v>372</v>
      </c>
      <c r="J64" s="82" t="s">
        <v>373</v>
      </c>
    </row>
    <row r="65" spans="2:10" x14ac:dyDescent="0.3">
      <c r="B65" s="70" t="s">
        <v>371</v>
      </c>
      <c r="C65" s="70" t="s">
        <v>183</v>
      </c>
      <c r="D65" s="71" t="s">
        <v>288</v>
      </c>
      <c r="E65" s="71" t="s">
        <v>161</v>
      </c>
      <c r="F65" s="72">
        <v>29352162</v>
      </c>
      <c r="G65" s="83">
        <v>29.352162</v>
      </c>
      <c r="H65" s="84" t="s">
        <v>69</v>
      </c>
      <c r="I65" s="84" t="s">
        <v>372</v>
      </c>
      <c r="J65" s="84" t="s">
        <v>373</v>
      </c>
    </row>
    <row r="66" spans="2:10" x14ac:dyDescent="0.3">
      <c r="B66" s="79" t="s">
        <v>371</v>
      </c>
      <c r="C66" s="79" t="s">
        <v>183</v>
      </c>
      <c r="D66" s="73" t="s">
        <v>288</v>
      </c>
      <c r="E66" s="73" t="s">
        <v>161</v>
      </c>
      <c r="F66" s="74">
        <v>3786382</v>
      </c>
      <c r="G66" s="80">
        <v>3.7863820000000001</v>
      </c>
      <c r="H66" s="81" t="s">
        <v>69</v>
      </c>
      <c r="I66" s="81" t="s">
        <v>372</v>
      </c>
      <c r="J66" s="82" t="s">
        <v>373</v>
      </c>
    </row>
    <row r="67" spans="2:10" x14ac:dyDescent="0.3">
      <c r="B67" s="70" t="s">
        <v>371</v>
      </c>
      <c r="C67" s="70" t="s">
        <v>183</v>
      </c>
      <c r="D67" s="71" t="s">
        <v>74</v>
      </c>
      <c r="E67" s="71" t="s">
        <v>161</v>
      </c>
      <c r="F67" s="72">
        <v>18938204</v>
      </c>
      <c r="G67" s="83">
        <v>18.938203999999999</v>
      </c>
      <c r="H67" s="84" t="s">
        <v>69</v>
      </c>
      <c r="I67" s="84" t="s">
        <v>372</v>
      </c>
      <c r="J67" s="84" t="s">
        <v>373</v>
      </c>
    </row>
    <row r="68" spans="2:10" x14ac:dyDescent="0.3">
      <c r="B68" s="79" t="s">
        <v>371</v>
      </c>
      <c r="C68" s="79" t="s">
        <v>183</v>
      </c>
      <c r="D68" s="73" t="s">
        <v>74</v>
      </c>
      <c r="E68" s="73" t="s">
        <v>161</v>
      </c>
      <c r="F68" s="74">
        <v>2959320</v>
      </c>
      <c r="G68" s="80">
        <v>2.95932</v>
      </c>
      <c r="H68" s="81" t="s">
        <v>69</v>
      </c>
      <c r="I68" s="81" t="s">
        <v>372</v>
      </c>
      <c r="J68" s="82" t="s">
        <v>373</v>
      </c>
    </row>
    <row r="69" spans="2:10" x14ac:dyDescent="0.3">
      <c r="B69" s="70" t="s">
        <v>371</v>
      </c>
      <c r="C69" s="70" t="s">
        <v>195</v>
      </c>
      <c r="D69" s="71" t="s">
        <v>74</v>
      </c>
      <c r="E69" s="71" t="s">
        <v>161</v>
      </c>
      <c r="F69" s="72">
        <v>226000</v>
      </c>
      <c r="G69" s="83">
        <v>0.22600000000000001</v>
      </c>
      <c r="H69" s="84" t="s">
        <v>69</v>
      </c>
      <c r="I69" s="84" t="s">
        <v>372</v>
      </c>
      <c r="J69" s="84" t="s">
        <v>373</v>
      </c>
    </row>
    <row r="70" spans="2:10" x14ac:dyDescent="0.3">
      <c r="B70" s="79" t="s">
        <v>371</v>
      </c>
      <c r="C70" s="79" t="s">
        <v>195</v>
      </c>
      <c r="D70" s="73" t="s">
        <v>74</v>
      </c>
      <c r="E70" s="73" t="s">
        <v>161</v>
      </c>
      <c r="F70" s="74">
        <v>226000</v>
      </c>
      <c r="G70" s="80">
        <v>0.22600000000000001</v>
      </c>
      <c r="H70" s="81" t="s">
        <v>69</v>
      </c>
      <c r="I70" s="81" t="s">
        <v>372</v>
      </c>
      <c r="J70" s="82" t="s">
        <v>373</v>
      </c>
    </row>
    <row r="71" spans="2:10" x14ac:dyDescent="0.3">
      <c r="B71" s="70" t="s">
        <v>371</v>
      </c>
      <c r="C71" s="70" t="s">
        <v>195</v>
      </c>
      <c r="D71" s="71" t="s">
        <v>70</v>
      </c>
      <c r="E71" s="71" t="s">
        <v>161</v>
      </c>
      <c r="F71" s="72">
        <v>6000000</v>
      </c>
      <c r="G71" s="83">
        <v>6</v>
      </c>
      <c r="H71" s="84" t="s">
        <v>69</v>
      </c>
      <c r="I71" s="84" t="s">
        <v>372</v>
      </c>
      <c r="J71" s="84" t="s">
        <v>373</v>
      </c>
    </row>
    <row r="72" spans="2:10" x14ac:dyDescent="0.3">
      <c r="B72" s="79" t="s">
        <v>371</v>
      </c>
      <c r="C72" s="79" t="s">
        <v>195</v>
      </c>
      <c r="D72" s="73" t="s">
        <v>74</v>
      </c>
      <c r="E72" s="73" t="s">
        <v>161</v>
      </c>
      <c r="F72" s="74">
        <v>226000</v>
      </c>
      <c r="G72" s="80">
        <v>0.22600000000000001</v>
      </c>
      <c r="H72" s="81" t="s">
        <v>69</v>
      </c>
      <c r="I72" s="81" t="s">
        <v>372</v>
      </c>
      <c r="J72" s="82" t="s">
        <v>373</v>
      </c>
    </row>
    <row r="73" spans="2:10" x14ac:dyDescent="0.3">
      <c r="B73" s="70" t="s">
        <v>371</v>
      </c>
      <c r="C73" s="70" t="s">
        <v>195</v>
      </c>
      <c r="D73" s="71" t="s">
        <v>70</v>
      </c>
      <c r="E73" s="71" t="s">
        <v>161</v>
      </c>
      <c r="F73" s="72">
        <v>30553747</v>
      </c>
      <c r="G73" s="83">
        <v>30.553747000000001</v>
      </c>
      <c r="H73" s="84" t="s">
        <v>69</v>
      </c>
      <c r="I73" s="84" t="s">
        <v>372</v>
      </c>
      <c r="J73" s="84" t="s">
        <v>373</v>
      </c>
    </row>
    <row r="74" spans="2:10" x14ac:dyDescent="0.3">
      <c r="B74" s="79" t="s">
        <v>371</v>
      </c>
      <c r="C74" s="79" t="s">
        <v>190</v>
      </c>
      <c r="D74" s="73" t="s">
        <v>70</v>
      </c>
      <c r="E74" s="73" t="s">
        <v>161</v>
      </c>
      <c r="F74" s="74">
        <v>32930824</v>
      </c>
      <c r="G74" s="80">
        <v>32.930824000000001</v>
      </c>
      <c r="H74" s="81" t="s">
        <v>69</v>
      </c>
      <c r="I74" s="81" t="s">
        <v>372</v>
      </c>
      <c r="J74" s="82" t="s">
        <v>373</v>
      </c>
    </row>
    <row r="75" spans="2:10" x14ac:dyDescent="0.3">
      <c r="B75" s="70" t="s">
        <v>371</v>
      </c>
      <c r="C75" s="70" t="s">
        <v>190</v>
      </c>
      <c r="D75" s="71" t="s">
        <v>70</v>
      </c>
      <c r="E75" s="71" t="s">
        <v>161</v>
      </c>
      <c r="F75" s="72">
        <v>29352162</v>
      </c>
      <c r="G75" s="83">
        <v>29.352162</v>
      </c>
      <c r="H75" s="84" t="s">
        <v>69</v>
      </c>
      <c r="I75" s="84" t="s">
        <v>372</v>
      </c>
      <c r="J75" s="84" t="s">
        <v>373</v>
      </c>
    </row>
    <row r="76" spans="2:10" x14ac:dyDescent="0.3">
      <c r="B76" s="79" t="s">
        <v>371</v>
      </c>
      <c r="C76" s="79" t="s">
        <v>193</v>
      </c>
      <c r="D76" s="73" t="s">
        <v>288</v>
      </c>
      <c r="E76" s="73" t="s">
        <v>161</v>
      </c>
      <c r="F76" s="74">
        <v>22348696</v>
      </c>
      <c r="G76" s="80">
        <v>22.348696</v>
      </c>
      <c r="H76" s="81" t="s">
        <v>69</v>
      </c>
      <c r="I76" s="81" t="s">
        <v>372</v>
      </c>
      <c r="J76" s="82" t="s">
        <v>373</v>
      </c>
    </row>
    <row r="77" spans="2:10" x14ac:dyDescent="0.3">
      <c r="B77" s="70" t="s">
        <v>371</v>
      </c>
      <c r="C77" s="70" t="s">
        <v>193</v>
      </c>
      <c r="D77" s="71" t="s">
        <v>288</v>
      </c>
      <c r="E77" s="71" t="s">
        <v>161</v>
      </c>
      <c r="F77" s="72">
        <v>25656472</v>
      </c>
      <c r="G77" s="83">
        <v>25.656472000000001</v>
      </c>
      <c r="H77" s="84" t="s">
        <v>69</v>
      </c>
      <c r="I77" s="84" t="s">
        <v>372</v>
      </c>
      <c r="J77" s="84" t="s">
        <v>373</v>
      </c>
    </row>
    <row r="78" spans="2:10" x14ac:dyDescent="0.3">
      <c r="B78" s="79" t="s">
        <v>371</v>
      </c>
      <c r="C78" s="79" t="s">
        <v>220</v>
      </c>
      <c r="D78" s="73" t="s">
        <v>72</v>
      </c>
      <c r="E78" s="73" t="s">
        <v>161</v>
      </c>
      <c r="F78" s="74">
        <v>2500000</v>
      </c>
      <c r="G78" s="80">
        <v>2.5</v>
      </c>
      <c r="H78" s="81" t="s">
        <v>69</v>
      </c>
      <c r="I78" s="81" t="s">
        <v>372</v>
      </c>
      <c r="J78" s="82" t="s">
        <v>373</v>
      </c>
    </row>
    <row r="79" spans="2:10" x14ac:dyDescent="0.3">
      <c r="B79" s="70" t="s">
        <v>371</v>
      </c>
      <c r="C79" s="70" t="s">
        <v>220</v>
      </c>
      <c r="D79" s="71" t="s">
        <v>74</v>
      </c>
      <c r="E79" s="71" t="s">
        <v>161</v>
      </c>
      <c r="F79" s="72">
        <v>344000</v>
      </c>
      <c r="G79" s="83">
        <v>0.34399999999999997</v>
      </c>
      <c r="H79" s="84" t="s">
        <v>69</v>
      </c>
      <c r="I79" s="84" t="s">
        <v>372</v>
      </c>
      <c r="J79" s="84" t="s">
        <v>373</v>
      </c>
    </row>
    <row r="80" spans="2:10" x14ac:dyDescent="0.3">
      <c r="B80" s="79" t="s">
        <v>371</v>
      </c>
      <c r="C80" s="79" t="s">
        <v>208</v>
      </c>
      <c r="D80" s="73" t="s">
        <v>74</v>
      </c>
      <c r="E80" s="73" t="s">
        <v>161</v>
      </c>
      <c r="F80" s="74">
        <v>4000000</v>
      </c>
      <c r="G80" s="80">
        <v>4</v>
      </c>
      <c r="H80" s="81" t="s">
        <v>69</v>
      </c>
      <c r="I80" s="81" t="s">
        <v>372</v>
      </c>
      <c r="J80" s="82" t="s">
        <v>373</v>
      </c>
    </row>
    <row r="81" spans="2:10" x14ac:dyDescent="0.3">
      <c r="B81" s="70" t="s">
        <v>371</v>
      </c>
      <c r="C81" s="70" t="s">
        <v>208</v>
      </c>
      <c r="D81" s="71" t="s">
        <v>74</v>
      </c>
      <c r="E81" s="71" t="s">
        <v>161</v>
      </c>
      <c r="F81" s="72">
        <v>5000000</v>
      </c>
      <c r="G81" s="83">
        <v>5</v>
      </c>
      <c r="H81" s="84" t="s">
        <v>69</v>
      </c>
      <c r="I81" s="84" t="s">
        <v>372</v>
      </c>
      <c r="J81" s="84" t="s">
        <v>373</v>
      </c>
    </row>
    <row r="82" spans="2:10" x14ac:dyDescent="0.3">
      <c r="B82" s="79" t="s">
        <v>371</v>
      </c>
      <c r="C82" s="79" t="s">
        <v>209</v>
      </c>
      <c r="D82" s="73" t="s">
        <v>74</v>
      </c>
      <c r="E82" s="73" t="s">
        <v>161</v>
      </c>
      <c r="F82" s="74">
        <v>4000000</v>
      </c>
      <c r="G82" s="80">
        <v>4</v>
      </c>
      <c r="H82" s="81" t="s">
        <v>69</v>
      </c>
      <c r="I82" s="81" t="s">
        <v>372</v>
      </c>
      <c r="J82" s="82" t="s">
        <v>373</v>
      </c>
    </row>
    <row r="83" spans="2:10" x14ac:dyDescent="0.3">
      <c r="B83" s="70" t="s">
        <v>371</v>
      </c>
      <c r="C83" s="70" t="s">
        <v>209</v>
      </c>
      <c r="D83" s="71" t="s">
        <v>74</v>
      </c>
      <c r="E83" s="71" t="s">
        <v>161</v>
      </c>
      <c r="F83" s="72">
        <v>5000000</v>
      </c>
      <c r="G83" s="83">
        <v>5</v>
      </c>
      <c r="H83" s="84" t="s">
        <v>69</v>
      </c>
      <c r="I83" s="84" t="s">
        <v>372</v>
      </c>
      <c r="J83" s="84" t="s">
        <v>373</v>
      </c>
    </row>
    <row r="84" spans="2:10" x14ac:dyDescent="0.3">
      <c r="B84" s="79" t="s">
        <v>371</v>
      </c>
      <c r="C84" s="79" t="s">
        <v>277</v>
      </c>
      <c r="D84" s="73" t="s">
        <v>74</v>
      </c>
      <c r="E84" s="73" t="s">
        <v>161</v>
      </c>
      <c r="F84" s="74">
        <v>248000</v>
      </c>
      <c r="G84" s="80">
        <v>0.248</v>
      </c>
      <c r="H84" s="81" t="s">
        <v>69</v>
      </c>
      <c r="I84" s="81" t="s">
        <v>372</v>
      </c>
      <c r="J84" s="82" t="s">
        <v>373</v>
      </c>
    </row>
    <row r="85" spans="2:10" x14ac:dyDescent="0.3">
      <c r="B85" s="70" t="s">
        <v>371</v>
      </c>
      <c r="C85" s="70" t="s">
        <v>212</v>
      </c>
      <c r="D85" s="71" t="s">
        <v>74</v>
      </c>
      <c r="E85" s="71" t="s">
        <v>161</v>
      </c>
      <c r="F85" s="72">
        <v>6445500</v>
      </c>
      <c r="G85" s="83">
        <v>6.4455</v>
      </c>
      <c r="H85" s="84" t="s">
        <v>69</v>
      </c>
      <c r="I85" s="84" t="s">
        <v>372</v>
      </c>
      <c r="J85" s="84" t="s">
        <v>373</v>
      </c>
    </row>
    <row r="86" spans="2:10" x14ac:dyDescent="0.3">
      <c r="B86" s="79" t="s">
        <v>371</v>
      </c>
      <c r="C86" s="79" t="s">
        <v>214</v>
      </c>
      <c r="D86" s="73" t="s">
        <v>74</v>
      </c>
      <c r="E86" s="73" t="s">
        <v>161</v>
      </c>
      <c r="F86" s="74">
        <v>4862500</v>
      </c>
      <c r="G86" s="80">
        <v>4.8624999999999998</v>
      </c>
      <c r="H86" s="81" t="s">
        <v>69</v>
      </c>
      <c r="I86" s="81" t="s">
        <v>372</v>
      </c>
      <c r="J86" s="82" t="s">
        <v>373</v>
      </c>
    </row>
    <row r="87" spans="2:10" x14ac:dyDescent="0.3">
      <c r="B87" s="70" t="s">
        <v>371</v>
      </c>
      <c r="C87" s="70" t="s">
        <v>219</v>
      </c>
      <c r="D87" s="71" t="s">
        <v>74</v>
      </c>
      <c r="E87" s="71" t="s">
        <v>161</v>
      </c>
      <c r="F87" s="72">
        <v>2884550</v>
      </c>
      <c r="G87" s="83">
        <v>2.8845499999999999</v>
      </c>
      <c r="H87" s="84" t="s">
        <v>69</v>
      </c>
      <c r="I87" s="84" t="s">
        <v>372</v>
      </c>
      <c r="J87" s="84" t="s">
        <v>373</v>
      </c>
    </row>
    <row r="88" spans="2:10" x14ac:dyDescent="0.3">
      <c r="B88" s="79" t="s">
        <v>371</v>
      </c>
      <c r="C88" s="79" t="s">
        <v>223</v>
      </c>
      <c r="D88" s="73" t="s">
        <v>72</v>
      </c>
      <c r="E88" s="73" t="s">
        <v>161</v>
      </c>
      <c r="F88" s="74">
        <v>2500000</v>
      </c>
      <c r="G88" s="80">
        <v>2.5</v>
      </c>
      <c r="H88" s="81" t="s">
        <v>69</v>
      </c>
      <c r="I88" s="81" t="s">
        <v>372</v>
      </c>
      <c r="J88" s="82" t="s">
        <v>373</v>
      </c>
    </row>
    <row r="89" spans="2:10" x14ac:dyDescent="0.3">
      <c r="B89" s="70" t="s">
        <v>371</v>
      </c>
      <c r="C89" s="70" t="s">
        <v>215</v>
      </c>
      <c r="D89" s="71" t="s">
        <v>74</v>
      </c>
      <c r="E89" s="71" t="s">
        <v>161</v>
      </c>
      <c r="F89" s="72">
        <v>4000000</v>
      </c>
      <c r="G89" s="83">
        <v>4</v>
      </c>
      <c r="H89" s="84" t="s">
        <v>69</v>
      </c>
      <c r="I89" s="84" t="s">
        <v>372</v>
      </c>
      <c r="J89" s="84" t="s">
        <v>373</v>
      </c>
    </row>
    <row r="90" spans="2:10" x14ac:dyDescent="0.3">
      <c r="B90" s="79" t="s">
        <v>371</v>
      </c>
      <c r="C90" s="79" t="s">
        <v>186</v>
      </c>
      <c r="D90" s="73" t="s">
        <v>74</v>
      </c>
      <c r="E90" s="73" t="s">
        <v>161</v>
      </c>
      <c r="F90" s="74">
        <v>90000000</v>
      </c>
      <c r="G90" s="80">
        <v>90</v>
      </c>
      <c r="H90" s="81" t="s">
        <v>69</v>
      </c>
      <c r="I90" s="81" t="s">
        <v>372</v>
      </c>
      <c r="J90" s="82" t="s">
        <v>373</v>
      </c>
    </row>
    <row r="91" spans="2:10" x14ac:dyDescent="0.3">
      <c r="B91" s="70" t="s">
        <v>371</v>
      </c>
      <c r="C91" s="70" t="s">
        <v>224</v>
      </c>
      <c r="D91" s="71" t="s">
        <v>72</v>
      </c>
      <c r="E91" s="71" t="s">
        <v>161</v>
      </c>
      <c r="F91" s="72">
        <v>2500000</v>
      </c>
      <c r="G91" s="83">
        <v>2.5</v>
      </c>
      <c r="H91" s="84" t="s">
        <v>69</v>
      </c>
      <c r="I91" s="84" t="s">
        <v>372</v>
      </c>
      <c r="J91" s="84" t="s">
        <v>373</v>
      </c>
    </row>
    <row r="92" spans="2:10" x14ac:dyDescent="0.3">
      <c r="B92" s="79" t="s">
        <v>371</v>
      </c>
      <c r="C92" s="79" t="s">
        <v>251</v>
      </c>
      <c r="D92" s="73" t="s">
        <v>72</v>
      </c>
      <c r="E92" s="73" t="s">
        <v>161</v>
      </c>
      <c r="F92" s="74">
        <v>1000000</v>
      </c>
      <c r="G92" s="80">
        <v>1</v>
      </c>
      <c r="H92" s="81" t="s">
        <v>69</v>
      </c>
      <c r="I92" s="81" t="s">
        <v>372</v>
      </c>
      <c r="J92" s="82" t="s">
        <v>373</v>
      </c>
    </row>
    <row r="93" spans="2:10" x14ac:dyDescent="0.3">
      <c r="B93" s="70" t="s">
        <v>371</v>
      </c>
      <c r="C93" s="70" t="s">
        <v>233</v>
      </c>
      <c r="D93" s="71" t="s">
        <v>72</v>
      </c>
      <c r="E93" s="71" t="s">
        <v>161</v>
      </c>
      <c r="F93" s="72">
        <v>1000000</v>
      </c>
      <c r="G93" s="83">
        <v>1</v>
      </c>
      <c r="H93" s="84" t="s">
        <v>69</v>
      </c>
      <c r="I93" s="84" t="s">
        <v>372</v>
      </c>
      <c r="J93" s="84" t="s">
        <v>373</v>
      </c>
    </row>
    <row r="94" spans="2:10" x14ac:dyDescent="0.3">
      <c r="B94" s="79" t="s">
        <v>371</v>
      </c>
      <c r="C94" s="79" t="s">
        <v>257</v>
      </c>
      <c r="D94" s="73" t="s">
        <v>72</v>
      </c>
      <c r="E94" s="73" t="s">
        <v>161</v>
      </c>
      <c r="F94" s="74">
        <v>1000000</v>
      </c>
      <c r="G94" s="80">
        <v>1</v>
      </c>
      <c r="H94" s="81" t="s">
        <v>69</v>
      </c>
      <c r="I94" s="81" t="s">
        <v>372</v>
      </c>
      <c r="J94" s="82" t="s">
        <v>373</v>
      </c>
    </row>
    <row r="95" spans="2:10" x14ac:dyDescent="0.3">
      <c r="B95" s="70" t="s">
        <v>371</v>
      </c>
      <c r="C95" s="70" t="s">
        <v>248</v>
      </c>
      <c r="D95" s="71" t="s">
        <v>72</v>
      </c>
      <c r="E95" s="71" t="s">
        <v>161</v>
      </c>
      <c r="F95" s="72">
        <v>1000000</v>
      </c>
      <c r="G95" s="83">
        <v>1</v>
      </c>
      <c r="H95" s="84" t="s">
        <v>69</v>
      </c>
      <c r="I95" s="84" t="s">
        <v>372</v>
      </c>
      <c r="J95" s="84" t="s">
        <v>373</v>
      </c>
    </row>
    <row r="96" spans="2:10" x14ac:dyDescent="0.3">
      <c r="B96" s="79" t="s">
        <v>371</v>
      </c>
      <c r="C96" s="79" t="s">
        <v>245</v>
      </c>
      <c r="D96" s="73" t="s">
        <v>72</v>
      </c>
      <c r="E96" s="73" t="s">
        <v>161</v>
      </c>
      <c r="F96" s="74">
        <v>1000000</v>
      </c>
      <c r="G96" s="80">
        <v>1</v>
      </c>
      <c r="H96" s="81" t="s">
        <v>69</v>
      </c>
      <c r="I96" s="81" t="s">
        <v>372</v>
      </c>
      <c r="J96" s="82" t="s">
        <v>373</v>
      </c>
    </row>
    <row r="97" spans="2:10" x14ac:dyDescent="0.3">
      <c r="B97" s="70" t="s">
        <v>371</v>
      </c>
      <c r="C97" s="70" t="s">
        <v>262</v>
      </c>
      <c r="D97" s="71" t="s">
        <v>72</v>
      </c>
      <c r="E97" s="71" t="s">
        <v>161</v>
      </c>
      <c r="F97" s="72">
        <v>1000000</v>
      </c>
      <c r="G97" s="83">
        <v>1</v>
      </c>
      <c r="H97" s="84" t="s">
        <v>69</v>
      </c>
      <c r="I97" s="84" t="s">
        <v>372</v>
      </c>
      <c r="J97" s="84" t="s">
        <v>373</v>
      </c>
    </row>
    <row r="98" spans="2:10" x14ac:dyDescent="0.3">
      <c r="B98" s="79" t="s">
        <v>371</v>
      </c>
      <c r="C98" s="79" t="s">
        <v>260</v>
      </c>
      <c r="D98" s="73" t="s">
        <v>72</v>
      </c>
      <c r="E98" s="73" t="s">
        <v>161</v>
      </c>
      <c r="F98" s="74">
        <v>1000000</v>
      </c>
      <c r="G98" s="80">
        <v>1</v>
      </c>
      <c r="H98" s="81" t="s">
        <v>69</v>
      </c>
      <c r="I98" s="81" t="s">
        <v>372</v>
      </c>
      <c r="J98" s="82" t="s">
        <v>373</v>
      </c>
    </row>
    <row r="99" spans="2:10" x14ac:dyDescent="0.3">
      <c r="B99" s="70" t="s">
        <v>371</v>
      </c>
      <c r="C99" s="70" t="s">
        <v>243</v>
      </c>
      <c r="D99" s="71" t="s">
        <v>72</v>
      </c>
      <c r="E99" s="71" t="s">
        <v>161</v>
      </c>
      <c r="F99" s="72">
        <v>1000000</v>
      </c>
      <c r="G99" s="83">
        <v>1</v>
      </c>
      <c r="H99" s="84" t="s">
        <v>69</v>
      </c>
      <c r="I99" s="84" t="s">
        <v>372</v>
      </c>
      <c r="J99" s="84" t="s">
        <v>373</v>
      </c>
    </row>
    <row r="100" spans="2:10" x14ac:dyDescent="0.3">
      <c r="B100" s="79" t="s">
        <v>371</v>
      </c>
      <c r="C100" s="79" t="s">
        <v>259</v>
      </c>
      <c r="D100" s="73" t="s">
        <v>72</v>
      </c>
      <c r="E100" s="73" t="s">
        <v>161</v>
      </c>
      <c r="F100" s="74">
        <v>1000000</v>
      </c>
      <c r="G100" s="80">
        <v>1</v>
      </c>
      <c r="H100" s="81" t="s">
        <v>69</v>
      </c>
      <c r="I100" s="81" t="s">
        <v>372</v>
      </c>
      <c r="J100" s="82" t="s">
        <v>373</v>
      </c>
    </row>
    <row r="101" spans="2:10" x14ac:dyDescent="0.3">
      <c r="B101" s="70" t="s">
        <v>371</v>
      </c>
      <c r="C101" s="70" t="s">
        <v>242</v>
      </c>
      <c r="D101" s="71" t="s">
        <v>72</v>
      </c>
      <c r="E101" s="71" t="s">
        <v>161</v>
      </c>
      <c r="F101" s="72">
        <v>1000000</v>
      </c>
      <c r="G101" s="83">
        <v>1</v>
      </c>
      <c r="H101" s="84" t="s">
        <v>69</v>
      </c>
      <c r="I101" s="84" t="s">
        <v>372</v>
      </c>
      <c r="J101" s="84" t="s">
        <v>373</v>
      </c>
    </row>
    <row r="102" spans="2:10" x14ac:dyDescent="0.3">
      <c r="B102" s="79" t="s">
        <v>371</v>
      </c>
      <c r="C102" s="79" t="s">
        <v>235</v>
      </c>
      <c r="D102" s="73" t="s">
        <v>72</v>
      </c>
      <c r="E102" s="73" t="s">
        <v>161</v>
      </c>
      <c r="F102" s="74">
        <v>1000000</v>
      </c>
      <c r="G102" s="80">
        <v>1</v>
      </c>
      <c r="H102" s="81" t="s">
        <v>69</v>
      </c>
      <c r="I102" s="81" t="s">
        <v>372</v>
      </c>
      <c r="J102" s="82" t="s">
        <v>373</v>
      </c>
    </row>
    <row r="103" spans="2:10" x14ac:dyDescent="0.3">
      <c r="B103" s="70" t="s">
        <v>371</v>
      </c>
      <c r="C103" s="70" t="s">
        <v>234</v>
      </c>
      <c r="D103" s="71" t="s">
        <v>72</v>
      </c>
      <c r="E103" s="71" t="s">
        <v>161</v>
      </c>
      <c r="F103" s="72">
        <v>1000000</v>
      </c>
      <c r="G103" s="83">
        <v>1</v>
      </c>
      <c r="H103" s="84" t="s">
        <v>69</v>
      </c>
      <c r="I103" s="84" t="s">
        <v>372</v>
      </c>
      <c r="J103" s="84" t="s">
        <v>373</v>
      </c>
    </row>
    <row r="104" spans="2:10" x14ac:dyDescent="0.3">
      <c r="B104" s="79" t="s">
        <v>371</v>
      </c>
      <c r="C104" s="79" t="s">
        <v>239</v>
      </c>
      <c r="D104" s="73" t="s">
        <v>72</v>
      </c>
      <c r="E104" s="73" t="s">
        <v>161</v>
      </c>
      <c r="F104" s="74">
        <v>1000000</v>
      </c>
      <c r="G104" s="80">
        <v>1</v>
      </c>
      <c r="H104" s="81" t="s">
        <v>69</v>
      </c>
      <c r="I104" s="81" t="s">
        <v>372</v>
      </c>
      <c r="J104" s="82" t="s">
        <v>373</v>
      </c>
    </row>
    <row r="105" spans="2:10" x14ac:dyDescent="0.3">
      <c r="B105" s="70" t="s">
        <v>371</v>
      </c>
      <c r="C105" s="70" t="s">
        <v>250</v>
      </c>
      <c r="D105" s="71" t="s">
        <v>72</v>
      </c>
      <c r="E105" s="71" t="s">
        <v>161</v>
      </c>
      <c r="F105" s="72">
        <v>1000000</v>
      </c>
      <c r="G105" s="83">
        <v>1</v>
      </c>
      <c r="H105" s="84" t="s">
        <v>69</v>
      </c>
      <c r="I105" s="84" t="s">
        <v>372</v>
      </c>
      <c r="J105" s="84" t="s">
        <v>373</v>
      </c>
    </row>
    <row r="106" spans="2:10" x14ac:dyDescent="0.3">
      <c r="B106" s="79" t="s">
        <v>371</v>
      </c>
      <c r="C106" s="79" t="s">
        <v>252</v>
      </c>
      <c r="D106" s="73" t="s">
        <v>72</v>
      </c>
      <c r="E106" s="73" t="s">
        <v>161</v>
      </c>
      <c r="F106" s="74">
        <v>1000000</v>
      </c>
      <c r="G106" s="80">
        <v>1</v>
      </c>
      <c r="H106" s="81" t="s">
        <v>69</v>
      </c>
      <c r="I106" s="81" t="s">
        <v>372</v>
      </c>
      <c r="J106" s="82" t="s">
        <v>373</v>
      </c>
    </row>
    <row r="107" spans="2:10" x14ac:dyDescent="0.3">
      <c r="B107" s="70" t="s">
        <v>371</v>
      </c>
      <c r="C107" s="70" t="s">
        <v>255</v>
      </c>
      <c r="D107" s="71" t="s">
        <v>72</v>
      </c>
      <c r="E107" s="71" t="s">
        <v>161</v>
      </c>
      <c r="F107" s="72">
        <v>1000000</v>
      </c>
      <c r="G107" s="83">
        <v>1</v>
      </c>
      <c r="H107" s="84" t="s">
        <v>69</v>
      </c>
      <c r="I107" s="84" t="s">
        <v>372</v>
      </c>
      <c r="J107" s="84" t="s">
        <v>373</v>
      </c>
    </row>
    <row r="108" spans="2:10" x14ac:dyDescent="0.3">
      <c r="B108" s="79" t="s">
        <v>371</v>
      </c>
      <c r="C108" s="79" t="s">
        <v>238</v>
      </c>
      <c r="D108" s="73" t="s">
        <v>72</v>
      </c>
      <c r="E108" s="73" t="s">
        <v>161</v>
      </c>
      <c r="F108" s="74">
        <v>1000000</v>
      </c>
      <c r="G108" s="80">
        <v>1</v>
      </c>
      <c r="H108" s="81" t="s">
        <v>69</v>
      </c>
      <c r="I108" s="81" t="s">
        <v>372</v>
      </c>
      <c r="J108" s="82" t="s">
        <v>373</v>
      </c>
    </row>
    <row r="109" spans="2:10" x14ac:dyDescent="0.3">
      <c r="B109" s="70" t="s">
        <v>371</v>
      </c>
      <c r="C109" s="70" t="s">
        <v>254</v>
      </c>
      <c r="D109" s="71" t="s">
        <v>72</v>
      </c>
      <c r="E109" s="71" t="s">
        <v>161</v>
      </c>
      <c r="F109" s="72">
        <v>1000000</v>
      </c>
      <c r="G109" s="83">
        <v>1</v>
      </c>
      <c r="H109" s="84" t="s">
        <v>69</v>
      </c>
      <c r="I109" s="84" t="s">
        <v>372</v>
      </c>
      <c r="J109" s="84" t="s">
        <v>373</v>
      </c>
    </row>
    <row r="110" spans="2:10" x14ac:dyDescent="0.3">
      <c r="B110" s="79" t="s">
        <v>371</v>
      </c>
      <c r="C110" s="79" t="s">
        <v>264</v>
      </c>
      <c r="D110" s="73" t="s">
        <v>72</v>
      </c>
      <c r="E110" s="73" t="s">
        <v>161</v>
      </c>
      <c r="F110" s="74">
        <v>1000000</v>
      </c>
      <c r="G110" s="80">
        <v>1</v>
      </c>
      <c r="H110" s="81" t="s">
        <v>69</v>
      </c>
      <c r="I110" s="81" t="s">
        <v>372</v>
      </c>
      <c r="J110" s="82" t="s">
        <v>373</v>
      </c>
    </row>
    <row r="111" spans="2:10" x14ac:dyDescent="0.3">
      <c r="B111" s="70" t="s">
        <v>371</v>
      </c>
      <c r="C111" s="70" t="s">
        <v>247</v>
      </c>
      <c r="D111" s="71" t="s">
        <v>72</v>
      </c>
      <c r="E111" s="71" t="s">
        <v>161</v>
      </c>
      <c r="F111" s="72">
        <v>1000000</v>
      </c>
      <c r="G111" s="83">
        <v>1</v>
      </c>
      <c r="H111" s="84" t="s">
        <v>69</v>
      </c>
      <c r="I111" s="84" t="s">
        <v>372</v>
      </c>
      <c r="J111" s="84" t="s">
        <v>373</v>
      </c>
    </row>
    <row r="112" spans="2:10" x14ac:dyDescent="0.3">
      <c r="B112" s="79" t="s">
        <v>371</v>
      </c>
      <c r="C112" s="79" t="s">
        <v>241</v>
      </c>
      <c r="D112" s="73" t="s">
        <v>72</v>
      </c>
      <c r="E112" s="73" t="s">
        <v>161</v>
      </c>
      <c r="F112" s="74">
        <v>1000000</v>
      </c>
      <c r="G112" s="80">
        <v>1</v>
      </c>
      <c r="H112" s="81" t="s">
        <v>69</v>
      </c>
      <c r="I112" s="81" t="s">
        <v>372</v>
      </c>
      <c r="J112" s="82" t="s">
        <v>373</v>
      </c>
    </row>
    <row r="113" spans="2:10" x14ac:dyDescent="0.3">
      <c r="B113" s="70" t="s">
        <v>371</v>
      </c>
      <c r="C113" s="70" t="s">
        <v>263</v>
      </c>
      <c r="D113" s="71" t="s">
        <v>72</v>
      </c>
      <c r="E113" s="71" t="s">
        <v>161</v>
      </c>
      <c r="F113" s="72">
        <v>1000000</v>
      </c>
      <c r="G113" s="83">
        <v>1</v>
      </c>
      <c r="H113" s="84" t="s">
        <v>69</v>
      </c>
      <c r="I113" s="84" t="s">
        <v>372</v>
      </c>
      <c r="J113" s="84" t="s">
        <v>373</v>
      </c>
    </row>
    <row r="114" spans="2:10" x14ac:dyDescent="0.3">
      <c r="B114" s="79" t="s">
        <v>371</v>
      </c>
      <c r="C114" s="79" t="s">
        <v>258</v>
      </c>
      <c r="D114" s="73" t="s">
        <v>72</v>
      </c>
      <c r="E114" s="73" t="s">
        <v>161</v>
      </c>
      <c r="F114" s="74">
        <v>1000000</v>
      </c>
      <c r="G114" s="80">
        <v>1</v>
      </c>
      <c r="H114" s="81" t="s">
        <v>69</v>
      </c>
      <c r="I114" s="81" t="s">
        <v>372</v>
      </c>
      <c r="J114" s="82" t="s">
        <v>373</v>
      </c>
    </row>
    <row r="115" spans="2:10" x14ac:dyDescent="0.3">
      <c r="B115" s="70" t="s">
        <v>371</v>
      </c>
      <c r="C115" s="70" t="s">
        <v>246</v>
      </c>
      <c r="D115" s="71" t="s">
        <v>72</v>
      </c>
      <c r="E115" s="71" t="s">
        <v>161</v>
      </c>
      <c r="F115" s="72">
        <v>1000000</v>
      </c>
      <c r="G115" s="83">
        <v>1</v>
      </c>
      <c r="H115" s="84" t="s">
        <v>69</v>
      </c>
      <c r="I115" s="84" t="s">
        <v>372</v>
      </c>
      <c r="J115" s="84" t="s">
        <v>373</v>
      </c>
    </row>
    <row r="116" spans="2:10" x14ac:dyDescent="0.3">
      <c r="B116" s="79" t="s">
        <v>371</v>
      </c>
      <c r="C116" s="79" t="s">
        <v>236</v>
      </c>
      <c r="D116" s="73" t="s">
        <v>72</v>
      </c>
      <c r="E116" s="73" t="s">
        <v>161</v>
      </c>
      <c r="F116" s="74">
        <v>1000000</v>
      </c>
      <c r="G116" s="80">
        <v>1</v>
      </c>
      <c r="H116" s="81" t="s">
        <v>69</v>
      </c>
      <c r="I116" s="81" t="s">
        <v>372</v>
      </c>
      <c r="J116" s="82" t="s">
        <v>373</v>
      </c>
    </row>
    <row r="117" spans="2:10" x14ac:dyDescent="0.3">
      <c r="B117" s="70" t="s">
        <v>371</v>
      </c>
      <c r="C117" s="70" t="s">
        <v>249</v>
      </c>
      <c r="D117" s="71" t="s">
        <v>72</v>
      </c>
      <c r="E117" s="71" t="s">
        <v>161</v>
      </c>
      <c r="F117" s="72">
        <v>1000000</v>
      </c>
      <c r="G117" s="83">
        <v>1</v>
      </c>
      <c r="H117" s="84" t="s">
        <v>69</v>
      </c>
      <c r="I117" s="84" t="s">
        <v>372</v>
      </c>
      <c r="J117" s="84" t="s">
        <v>373</v>
      </c>
    </row>
    <row r="118" spans="2:10" x14ac:dyDescent="0.3">
      <c r="B118" s="79" t="s">
        <v>371</v>
      </c>
      <c r="C118" s="79" t="s">
        <v>237</v>
      </c>
      <c r="D118" s="73" t="s">
        <v>72</v>
      </c>
      <c r="E118" s="73" t="s">
        <v>161</v>
      </c>
      <c r="F118" s="74">
        <v>1000000</v>
      </c>
      <c r="G118" s="80">
        <v>1</v>
      </c>
      <c r="H118" s="81" t="s">
        <v>69</v>
      </c>
      <c r="I118" s="81" t="s">
        <v>372</v>
      </c>
      <c r="J118" s="82" t="s">
        <v>373</v>
      </c>
    </row>
    <row r="119" spans="2:10" x14ac:dyDescent="0.3">
      <c r="B119" s="70" t="s">
        <v>371</v>
      </c>
      <c r="C119" s="70" t="s">
        <v>240</v>
      </c>
      <c r="D119" s="71" t="s">
        <v>72</v>
      </c>
      <c r="E119" s="71" t="s">
        <v>161</v>
      </c>
      <c r="F119" s="72">
        <v>1000000</v>
      </c>
      <c r="G119" s="83">
        <v>1</v>
      </c>
      <c r="H119" s="84" t="s">
        <v>69</v>
      </c>
      <c r="I119" s="84" t="s">
        <v>372</v>
      </c>
      <c r="J119" s="84" t="s">
        <v>373</v>
      </c>
    </row>
    <row r="120" spans="2:10" x14ac:dyDescent="0.3">
      <c r="B120" s="79" t="s">
        <v>371</v>
      </c>
      <c r="C120" s="79" t="s">
        <v>265</v>
      </c>
      <c r="D120" s="73" t="s">
        <v>72</v>
      </c>
      <c r="E120" s="73" t="s">
        <v>161</v>
      </c>
      <c r="F120" s="74">
        <v>1000000</v>
      </c>
      <c r="G120" s="80">
        <v>1</v>
      </c>
      <c r="H120" s="81" t="s">
        <v>69</v>
      </c>
      <c r="I120" s="81" t="s">
        <v>372</v>
      </c>
      <c r="J120" s="82" t="s">
        <v>373</v>
      </c>
    </row>
    <row r="121" spans="2:10" x14ac:dyDescent="0.3">
      <c r="B121" s="70" t="s">
        <v>371</v>
      </c>
      <c r="C121" s="70" t="s">
        <v>253</v>
      </c>
      <c r="D121" s="71" t="s">
        <v>72</v>
      </c>
      <c r="E121" s="71" t="s">
        <v>161</v>
      </c>
      <c r="F121" s="72">
        <v>1000000</v>
      </c>
      <c r="G121" s="83">
        <v>1</v>
      </c>
      <c r="H121" s="84" t="s">
        <v>69</v>
      </c>
      <c r="I121" s="84" t="s">
        <v>372</v>
      </c>
      <c r="J121" s="84" t="s">
        <v>373</v>
      </c>
    </row>
    <row r="122" spans="2:10" x14ac:dyDescent="0.3">
      <c r="B122" s="79" t="s">
        <v>371</v>
      </c>
      <c r="C122" s="79" t="s">
        <v>256</v>
      </c>
      <c r="D122" s="73" t="s">
        <v>72</v>
      </c>
      <c r="E122" s="73" t="s">
        <v>161</v>
      </c>
      <c r="F122" s="74">
        <v>1000000</v>
      </c>
      <c r="G122" s="80">
        <v>1</v>
      </c>
      <c r="H122" s="81" t="s">
        <v>69</v>
      </c>
      <c r="I122" s="81" t="s">
        <v>372</v>
      </c>
      <c r="J122" s="82" t="s">
        <v>373</v>
      </c>
    </row>
    <row r="123" spans="2:10" x14ac:dyDescent="0.3">
      <c r="B123" s="70" t="s">
        <v>371</v>
      </c>
      <c r="C123" s="70" t="s">
        <v>261</v>
      </c>
      <c r="D123" s="71" t="s">
        <v>72</v>
      </c>
      <c r="E123" s="71" t="s">
        <v>161</v>
      </c>
      <c r="F123" s="72">
        <v>1000000</v>
      </c>
      <c r="G123" s="83">
        <v>1</v>
      </c>
      <c r="H123" s="84" t="s">
        <v>69</v>
      </c>
      <c r="I123" s="84" t="s">
        <v>372</v>
      </c>
      <c r="J123" s="84" t="s">
        <v>373</v>
      </c>
    </row>
    <row r="124" spans="2:10" x14ac:dyDescent="0.3">
      <c r="B124" s="79" t="s">
        <v>371</v>
      </c>
      <c r="C124" s="79" t="s">
        <v>244</v>
      </c>
      <c r="D124" s="73" t="s">
        <v>72</v>
      </c>
      <c r="E124" s="73" t="s">
        <v>161</v>
      </c>
      <c r="F124" s="74">
        <v>1000000</v>
      </c>
      <c r="G124" s="80">
        <v>1</v>
      </c>
      <c r="H124" s="81" t="s">
        <v>69</v>
      </c>
      <c r="I124" s="81" t="s">
        <v>372</v>
      </c>
      <c r="J124" s="82" t="s">
        <v>373</v>
      </c>
    </row>
    <row r="125" spans="2:10" x14ac:dyDescent="0.3">
      <c r="B125" s="70" t="s">
        <v>371</v>
      </c>
      <c r="C125" s="70" t="s">
        <v>225</v>
      </c>
      <c r="D125" s="71" t="s">
        <v>288</v>
      </c>
      <c r="E125" s="71" t="s">
        <v>161</v>
      </c>
      <c r="F125" s="72">
        <v>2200000</v>
      </c>
      <c r="G125" s="83">
        <v>2.2000000000000002</v>
      </c>
      <c r="H125" s="84" t="s">
        <v>69</v>
      </c>
      <c r="I125" s="84" t="s">
        <v>372</v>
      </c>
      <c r="J125" s="84" t="s">
        <v>373</v>
      </c>
    </row>
    <row r="126" spans="2:10" x14ac:dyDescent="0.3">
      <c r="B126" s="79" t="s">
        <v>371</v>
      </c>
      <c r="C126" s="79" t="s">
        <v>221</v>
      </c>
      <c r="D126" s="73" t="s">
        <v>72</v>
      </c>
      <c r="E126" s="73" t="s">
        <v>161</v>
      </c>
      <c r="F126" s="74">
        <v>2500000</v>
      </c>
      <c r="G126" s="80">
        <v>2.5</v>
      </c>
      <c r="H126" s="81" t="s">
        <v>69</v>
      </c>
      <c r="I126" s="81" t="s">
        <v>372</v>
      </c>
      <c r="J126" s="82" t="s">
        <v>373</v>
      </c>
    </row>
    <row r="127" spans="2:10" x14ac:dyDescent="0.3">
      <c r="B127" s="70" t="s">
        <v>371</v>
      </c>
      <c r="C127" s="70" t="s">
        <v>221</v>
      </c>
      <c r="D127" s="71" t="s">
        <v>74</v>
      </c>
      <c r="E127" s="71" t="s">
        <v>161</v>
      </c>
      <c r="F127" s="72">
        <v>250000</v>
      </c>
      <c r="G127" s="83">
        <v>0.25</v>
      </c>
      <c r="H127" s="84" t="s">
        <v>69</v>
      </c>
      <c r="I127" s="84" t="s">
        <v>372</v>
      </c>
      <c r="J127" s="84" t="s">
        <v>373</v>
      </c>
    </row>
    <row r="128" spans="2:10" x14ac:dyDescent="0.3">
      <c r="B128" s="79" t="s">
        <v>371</v>
      </c>
      <c r="C128" s="79" t="s">
        <v>199</v>
      </c>
      <c r="D128" s="73" t="s">
        <v>289</v>
      </c>
      <c r="E128" s="73" t="s">
        <v>161</v>
      </c>
      <c r="F128" s="74">
        <v>214500</v>
      </c>
      <c r="G128" s="80">
        <v>0.2145</v>
      </c>
      <c r="H128" s="81" t="s">
        <v>84</v>
      </c>
      <c r="I128" s="81" t="s">
        <v>372</v>
      </c>
      <c r="J128" s="82" t="s">
        <v>373</v>
      </c>
    </row>
    <row r="129" spans="2:10" x14ac:dyDescent="0.3">
      <c r="B129" s="70" t="s">
        <v>371</v>
      </c>
      <c r="C129" s="70" t="s">
        <v>199</v>
      </c>
      <c r="D129" s="71" t="s">
        <v>289</v>
      </c>
      <c r="E129" s="71" t="s">
        <v>161</v>
      </c>
      <c r="F129" s="72">
        <v>4980000</v>
      </c>
      <c r="G129" s="83">
        <v>4.9800000000000004</v>
      </c>
      <c r="H129" s="84" t="s">
        <v>84</v>
      </c>
      <c r="I129" s="84" t="s">
        <v>372</v>
      </c>
      <c r="J129" s="84" t="s">
        <v>373</v>
      </c>
    </row>
    <row r="130" spans="2:10" x14ac:dyDescent="0.3">
      <c r="B130" s="79" t="s">
        <v>371</v>
      </c>
      <c r="C130" s="79" t="s">
        <v>199</v>
      </c>
      <c r="D130" s="73" t="s">
        <v>289</v>
      </c>
      <c r="E130" s="73" t="s">
        <v>161</v>
      </c>
      <c r="F130" s="74">
        <v>374400</v>
      </c>
      <c r="G130" s="80">
        <v>0.37440000000000001</v>
      </c>
      <c r="H130" s="81" t="s">
        <v>84</v>
      </c>
      <c r="I130" s="81" t="s">
        <v>372</v>
      </c>
      <c r="J130" s="82" t="s">
        <v>373</v>
      </c>
    </row>
    <row r="131" spans="2:10" x14ac:dyDescent="0.3">
      <c r="B131" s="70" t="s">
        <v>371</v>
      </c>
      <c r="C131" s="70" t="s">
        <v>199</v>
      </c>
      <c r="D131" s="71" t="s">
        <v>289</v>
      </c>
      <c r="E131" s="71" t="s">
        <v>161</v>
      </c>
      <c r="F131" s="72">
        <v>404000</v>
      </c>
      <c r="G131" s="83">
        <v>0.40400000000000003</v>
      </c>
      <c r="H131" s="84" t="s">
        <v>84</v>
      </c>
      <c r="I131" s="84" t="s">
        <v>372</v>
      </c>
      <c r="J131" s="84" t="s">
        <v>373</v>
      </c>
    </row>
    <row r="132" spans="2:10" x14ac:dyDescent="0.3">
      <c r="B132" s="79" t="s">
        <v>371</v>
      </c>
      <c r="C132" s="79" t="s">
        <v>199</v>
      </c>
      <c r="D132" s="73" t="s">
        <v>289</v>
      </c>
      <c r="E132" s="73" t="s">
        <v>161</v>
      </c>
      <c r="F132" s="74">
        <v>276000</v>
      </c>
      <c r="G132" s="80">
        <v>0.27600000000000002</v>
      </c>
      <c r="H132" s="81" t="s">
        <v>84</v>
      </c>
      <c r="I132" s="81" t="s">
        <v>372</v>
      </c>
      <c r="J132" s="82" t="s">
        <v>373</v>
      </c>
    </row>
    <row r="133" spans="2:10" x14ac:dyDescent="0.3">
      <c r="B133" s="70" t="s">
        <v>371</v>
      </c>
      <c r="C133" s="70" t="s">
        <v>274</v>
      </c>
      <c r="D133" s="71" t="s">
        <v>289</v>
      </c>
      <c r="E133" s="71" t="s">
        <v>161</v>
      </c>
      <c r="F133" s="72">
        <v>420000</v>
      </c>
      <c r="G133" s="83">
        <v>0.42</v>
      </c>
      <c r="H133" s="84" t="s">
        <v>84</v>
      </c>
      <c r="I133" s="84" t="s">
        <v>372</v>
      </c>
      <c r="J133" s="84" t="s">
        <v>373</v>
      </c>
    </row>
    <row r="134" spans="2:10" x14ac:dyDescent="0.3">
      <c r="B134" s="79" t="s">
        <v>371</v>
      </c>
      <c r="C134" s="79" t="s">
        <v>199</v>
      </c>
      <c r="D134" s="73" t="s">
        <v>289</v>
      </c>
      <c r="E134" s="73" t="s">
        <v>161</v>
      </c>
      <c r="F134" s="74">
        <v>132000</v>
      </c>
      <c r="G134" s="80">
        <v>0.13200000000000001</v>
      </c>
      <c r="H134" s="81" t="s">
        <v>84</v>
      </c>
      <c r="I134" s="81" t="s">
        <v>372</v>
      </c>
      <c r="J134" s="82" t="s">
        <v>373</v>
      </c>
    </row>
    <row r="135" spans="2:10" x14ac:dyDescent="0.3">
      <c r="B135" s="70" t="s">
        <v>371</v>
      </c>
      <c r="C135" s="70" t="s">
        <v>199</v>
      </c>
      <c r="D135" s="71" t="s">
        <v>289</v>
      </c>
      <c r="E135" s="71" t="s">
        <v>161</v>
      </c>
      <c r="F135" s="72">
        <v>600000</v>
      </c>
      <c r="G135" s="83">
        <v>0.6</v>
      </c>
      <c r="H135" s="84" t="s">
        <v>84</v>
      </c>
      <c r="I135" s="84" t="s">
        <v>372</v>
      </c>
      <c r="J135" s="84" t="s">
        <v>373</v>
      </c>
    </row>
    <row r="136" spans="2:10" x14ac:dyDescent="0.3">
      <c r="B136" s="79" t="s">
        <v>371</v>
      </c>
      <c r="C136" s="79" t="s">
        <v>199</v>
      </c>
      <c r="D136" s="73" t="s">
        <v>289</v>
      </c>
      <c r="E136" s="73" t="s">
        <v>161</v>
      </c>
      <c r="F136" s="74">
        <v>294000</v>
      </c>
      <c r="G136" s="80">
        <v>0.29399999999999998</v>
      </c>
      <c r="H136" s="81" t="s">
        <v>84</v>
      </c>
      <c r="I136" s="81" t="s">
        <v>372</v>
      </c>
      <c r="J136" s="82" t="s">
        <v>373</v>
      </c>
    </row>
    <row r="137" spans="2:10" x14ac:dyDescent="0.3">
      <c r="B137" s="70" t="s">
        <v>371</v>
      </c>
      <c r="C137" s="70" t="s">
        <v>199</v>
      </c>
      <c r="D137" s="71" t="s">
        <v>289</v>
      </c>
      <c r="E137" s="71" t="s">
        <v>161</v>
      </c>
      <c r="F137" s="72">
        <v>2688000</v>
      </c>
      <c r="G137" s="83">
        <v>2.6880000000000002</v>
      </c>
      <c r="H137" s="84" t="s">
        <v>84</v>
      </c>
      <c r="I137" s="84" t="s">
        <v>372</v>
      </c>
      <c r="J137" s="84" t="s">
        <v>373</v>
      </c>
    </row>
    <row r="138" spans="2:10" x14ac:dyDescent="0.3">
      <c r="B138" s="79" t="s">
        <v>371</v>
      </c>
      <c r="C138" s="79" t="s">
        <v>199</v>
      </c>
      <c r="D138" s="73" t="s">
        <v>289</v>
      </c>
      <c r="E138" s="73" t="s">
        <v>161</v>
      </c>
      <c r="F138" s="74">
        <v>1170000</v>
      </c>
      <c r="G138" s="80">
        <v>1.17</v>
      </c>
      <c r="H138" s="81" t="s">
        <v>84</v>
      </c>
      <c r="I138" s="81" t="s">
        <v>372</v>
      </c>
      <c r="J138" s="82" t="s">
        <v>373</v>
      </c>
    </row>
    <row r="139" spans="2:10" x14ac:dyDescent="0.3">
      <c r="B139" s="70" t="s">
        <v>371</v>
      </c>
      <c r="C139" s="70" t="s">
        <v>199</v>
      </c>
      <c r="D139" s="71" t="s">
        <v>289</v>
      </c>
      <c r="E139" s="71" t="s">
        <v>161</v>
      </c>
      <c r="F139" s="72">
        <v>581000</v>
      </c>
      <c r="G139" s="83">
        <v>0.58099999999999996</v>
      </c>
      <c r="H139" s="84" t="s">
        <v>84</v>
      </c>
      <c r="I139" s="84" t="s">
        <v>372</v>
      </c>
      <c r="J139" s="84" t="s">
        <v>373</v>
      </c>
    </row>
    <row r="140" spans="2:10" x14ac:dyDescent="0.3">
      <c r="B140" s="79" t="s">
        <v>371</v>
      </c>
      <c r="C140" s="79" t="s">
        <v>269</v>
      </c>
      <c r="D140" s="73" t="s">
        <v>289</v>
      </c>
      <c r="E140" s="73" t="s">
        <v>161</v>
      </c>
      <c r="F140" s="74">
        <v>600000</v>
      </c>
      <c r="G140" s="80">
        <v>0.6</v>
      </c>
      <c r="H140" s="81" t="s">
        <v>84</v>
      </c>
      <c r="I140" s="81" t="s">
        <v>372</v>
      </c>
      <c r="J140" s="82" t="s">
        <v>373</v>
      </c>
    </row>
    <row r="141" spans="2:10" x14ac:dyDescent="0.3">
      <c r="B141" s="70" t="s">
        <v>371</v>
      </c>
      <c r="C141" s="70" t="s">
        <v>199</v>
      </c>
      <c r="D141" s="71" t="s">
        <v>289</v>
      </c>
      <c r="E141" s="71" t="s">
        <v>161</v>
      </c>
      <c r="F141" s="72">
        <v>2500000</v>
      </c>
      <c r="G141" s="83">
        <v>2.5</v>
      </c>
      <c r="H141" s="84" t="s">
        <v>84</v>
      </c>
      <c r="I141" s="84" t="s">
        <v>372</v>
      </c>
      <c r="J141" s="84" t="s">
        <v>373</v>
      </c>
    </row>
    <row r="142" spans="2:10" x14ac:dyDescent="0.3">
      <c r="B142" s="79" t="s">
        <v>371</v>
      </c>
      <c r="C142" s="79" t="s">
        <v>199</v>
      </c>
      <c r="D142" s="73" t="s">
        <v>289</v>
      </c>
      <c r="E142" s="73" t="s">
        <v>161</v>
      </c>
      <c r="F142" s="74">
        <v>2500000</v>
      </c>
      <c r="G142" s="80">
        <v>2.5</v>
      </c>
      <c r="H142" s="81" t="s">
        <v>84</v>
      </c>
      <c r="I142" s="81" t="s">
        <v>372</v>
      </c>
      <c r="J142" s="82" t="s">
        <v>373</v>
      </c>
    </row>
    <row r="143" spans="2:10" x14ac:dyDescent="0.3">
      <c r="B143" s="70" t="s">
        <v>371</v>
      </c>
      <c r="C143" s="70" t="s">
        <v>199</v>
      </c>
      <c r="D143" s="71" t="s">
        <v>289</v>
      </c>
      <c r="E143" s="71" t="s">
        <v>161</v>
      </c>
      <c r="F143" s="72">
        <v>220000</v>
      </c>
      <c r="G143" s="83">
        <v>0.22</v>
      </c>
      <c r="H143" s="84" t="s">
        <v>84</v>
      </c>
      <c r="I143" s="84" t="s">
        <v>372</v>
      </c>
      <c r="J143" s="84" t="s">
        <v>373</v>
      </c>
    </row>
    <row r="144" spans="2:10" x14ac:dyDescent="0.3">
      <c r="B144" s="79" t="s">
        <v>371</v>
      </c>
      <c r="C144" s="79" t="s">
        <v>199</v>
      </c>
      <c r="D144" s="73" t="s">
        <v>289</v>
      </c>
      <c r="E144" s="73" t="s">
        <v>161</v>
      </c>
      <c r="F144" s="74">
        <v>4980000</v>
      </c>
      <c r="G144" s="80">
        <v>4.9800000000000004</v>
      </c>
      <c r="H144" s="81" t="s">
        <v>84</v>
      </c>
      <c r="I144" s="81" t="s">
        <v>372</v>
      </c>
      <c r="J144" s="82" t="s">
        <v>373</v>
      </c>
    </row>
    <row r="145" spans="2:10" x14ac:dyDescent="0.3">
      <c r="B145" s="70" t="s">
        <v>371</v>
      </c>
      <c r="C145" s="70" t="s">
        <v>216</v>
      </c>
      <c r="D145" s="71" t="s">
        <v>289</v>
      </c>
      <c r="E145" s="71" t="s">
        <v>161</v>
      </c>
      <c r="F145" s="72">
        <v>1254000</v>
      </c>
      <c r="G145" s="83">
        <v>1.254</v>
      </c>
      <c r="H145" s="84" t="s">
        <v>84</v>
      </c>
      <c r="I145" s="84" t="s">
        <v>372</v>
      </c>
      <c r="J145" s="84" t="s">
        <v>373</v>
      </c>
    </row>
    <row r="146" spans="2:10" x14ac:dyDescent="0.3">
      <c r="B146" s="79" t="s">
        <v>371</v>
      </c>
      <c r="C146" s="79" t="s">
        <v>216</v>
      </c>
      <c r="D146" s="73" t="s">
        <v>289</v>
      </c>
      <c r="E146" s="73" t="s">
        <v>161</v>
      </c>
      <c r="F146" s="74">
        <v>1254000</v>
      </c>
      <c r="G146" s="80">
        <v>1.254</v>
      </c>
      <c r="H146" s="81" t="s">
        <v>84</v>
      </c>
      <c r="I146" s="81" t="s">
        <v>372</v>
      </c>
      <c r="J146" s="82" t="s">
        <v>373</v>
      </c>
    </row>
    <row r="147" spans="2:10" x14ac:dyDescent="0.3">
      <c r="B147" s="70" t="s">
        <v>371</v>
      </c>
      <c r="C147" s="70" t="s">
        <v>216</v>
      </c>
      <c r="D147" s="71" t="s">
        <v>289</v>
      </c>
      <c r="E147" s="71" t="s">
        <v>161</v>
      </c>
      <c r="F147" s="72">
        <v>1254000</v>
      </c>
      <c r="G147" s="83">
        <v>1.254</v>
      </c>
      <c r="H147" s="84" t="s">
        <v>84</v>
      </c>
      <c r="I147" s="84" t="s">
        <v>372</v>
      </c>
      <c r="J147" s="84" t="s">
        <v>373</v>
      </c>
    </row>
    <row r="148" spans="2:10" x14ac:dyDescent="0.3">
      <c r="B148" s="79" t="s">
        <v>371</v>
      </c>
      <c r="C148" s="79" t="s">
        <v>273</v>
      </c>
      <c r="D148" s="73" t="s">
        <v>289</v>
      </c>
      <c r="E148" s="73" t="s">
        <v>161</v>
      </c>
      <c r="F148" s="74">
        <v>460000</v>
      </c>
      <c r="G148" s="80">
        <v>0.46</v>
      </c>
      <c r="H148" s="81" t="s">
        <v>84</v>
      </c>
      <c r="I148" s="81" t="s">
        <v>372</v>
      </c>
      <c r="J148" s="82" t="s">
        <v>373</v>
      </c>
    </row>
    <row r="149" spans="2:10" x14ac:dyDescent="0.3">
      <c r="B149" s="70" t="s">
        <v>371</v>
      </c>
      <c r="C149" s="70" t="s">
        <v>211</v>
      </c>
      <c r="D149" s="71" t="s">
        <v>289</v>
      </c>
      <c r="E149" s="71" t="s">
        <v>161</v>
      </c>
      <c r="F149" s="72">
        <v>300000</v>
      </c>
      <c r="G149" s="83">
        <v>0.3</v>
      </c>
      <c r="H149" s="84" t="s">
        <v>84</v>
      </c>
      <c r="I149" s="84" t="s">
        <v>372</v>
      </c>
      <c r="J149" s="84" t="s">
        <v>373</v>
      </c>
    </row>
    <row r="150" spans="2:10" x14ac:dyDescent="0.3">
      <c r="B150" s="79" t="s">
        <v>371</v>
      </c>
      <c r="C150" s="79" t="s">
        <v>211</v>
      </c>
      <c r="D150" s="73" t="s">
        <v>289</v>
      </c>
      <c r="E150" s="73" t="s">
        <v>161</v>
      </c>
      <c r="F150" s="74">
        <v>500000</v>
      </c>
      <c r="G150" s="80">
        <v>0.5</v>
      </c>
      <c r="H150" s="81" t="s">
        <v>84</v>
      </c>
      <c r="I150" s="81" t="s">
        <v>372</v>
      </c>
      <c r="J150" s="82" t="s">
        <v>373</v>
      </c>
    </row>
    <row r="151" spans="2:10" x14ac:dyDescent="0.3">
      <c r="B151" s="70" t="s">
        <v>371</v>
      </c>
      <c r="C151" s="70" t="s">
        <v>211</v>
      </c>
      <c r="D151" s="71" t="s">
        <v>289</v>
      </c>
      <c r="E151" s="71" t="s">
        <v>161</v>
      </c>
      <c r="F151" s="72">
        <v>1500000</v>
      </c>
      <c r="G151" s="83">
        <v>1.5</v>
      </c>
      <c r="H151" s="84" t="s">
        <v>84</v>
      </c>
      <c r="I151" s="84" t="s">
        <v>372</v>
      </c>
      <c r="J151" s="84" t="s">
        <v>373</v>
      </c>
    </row>
    <row r="152" spans="2:10" x14ac:dyDescent="0.3">
      <c r="B152" s="79" t="s">
        <v>371</v>
      </c>
      <c r="C152" s="79" t="s">
        <v>211</v>
      </c>
      <c r="D152" s="73" t="s">
        <v>289</v>
      </c>
      <c r="E152" s="73" t="s">
        <v>161</v>
      </c>
      <c r="F152" s="74">
        <v>500000</v>
      </c>
      <c r="G152" s="80">
        <v>0.5</v>
      </c>
      <c r="H152" s="81" t="s">
        <v>84</v>
      </c>
      <c r="I152" s="81" t="s">
        <v>372</v>
      </c>
      <c r="J152" s="82" t="s">
        <v>373</v>
      </c>
    </row>
    <row r="153" spans="2:10" x14ac:dyDescent="0.3">
      <c r="B153" s="70" t="s">
        <v>371</v>
      </c>
      <c r="C153" s="70" t="s">
        <v>211</v>
      </c>
      <c r="D153" s="71" t="s">
        <v>289</v>
      </c>
      <c r="E153" s="71" t="s">
        <v>161</v>
      </c>
      <c r="F153" s="72">
        <v>573000</v>
      </c>
      <c r="G153" s="83">
        <v>0.57299999999999995</v>
      </c>
      <c r="H153" s="84" t="s">
        <v>84</v>
      </c>
      <c r="I153" s="84" t="s">
        <v>372</v>
      </c>
      <c r="J153" s="84" t="s">
        <v>373</v>
      </c>
    </row>
    <row r="154" spans="2:10" x14ac:dyDescent="0.3">
      <c r="B154" s="79" t="s">
        <v>371</v>
      </c>
      <c r="C154" s="79" t="s">
        <v>211</v>
      </c>
      <c r="D154" s="73" t="s">
        <v>289</v>
      </c>
      <c r="E154" s="73" t="s">
        <v>161</v>
      </c>
      <c r="F154" s="74">
        <v>390000</v>
      </c>
      <c r="G154" s="80">
        <v>0.39</v>
      </c>
      <c r="H154" s="81" t="s">
        <v>84</v>
      </c>
      <c r="I154" s="81" t="s">
        <v>372</v>
      </c>
      <c r="J154" s="82" t="s">
        <v>373</v>
      </c>
    </row>
    <row r="155" spans="2:10" x14ac:dyDescent="0.3">
      <c r="B155" s="70" t="s">
        <v>371</v>
      </c>
      <c r="C155" s="70" t="s">
        <v>211</v>
      </c>
      <c r="D155" s="71" t="s">
        <v>289</v>
      </c>
      <c r="E155" s="71" t="s">
        <v>161</v>
      </c>
      <c r="F155" s="72">
        <v>216000</v>
      </c>
      <c r="G155" s="83">
        <v>0.216</v>
      </c>
      <c r="H155" s="84" t="s">
        <v>84</v>
      </c>
      <c r="I155" s="84" t="s">
        <v>372</v>
      </c>
      <c r="J155" s="84" t="s">
        <v>373</v>
      </c>
    </row>
    <row r="156" spans="2:10" x14ac:dyDescent="0.3">
      <c r="B156" s="79" t="s">
        <v>371</v>
      </c>
      <c r="C156" s="79" t="s">
        <v>211</v>
      </c>
      <c r="D156" s="73" t="s">
        <v>289</v>
      </c>
      <c r="E156" s="73" t="s">
        <v>161</v>
      </c>
      <c r="F156" s="74">
        <v>1010000</v>
      </c>
      <c r="G156" s="80">
        <v>1.01</v>
      </c>
      <c r="H156" s="81" t="s">
        <v>84</v>
      </c>
      <c r="I156" s="81" t="s">
        <v>372</v>
      </c>
      <c r="J156" s="82" t="s">
        <v>373</v>
      </c>
    </row>
    <row r="157" spans="2:10" x14ac:dyDescent="0.3">
      <c r="B157" s="70" t="s">
        <v>371</v>
      </c>
      <c r="C157" s="70" t="s">
        <v>211</v>
      </c>
      <c r="D157" s="71" t="s">
        <v>289</v>
      </c>
      <c r="E157" s="71" t="s">
        <v>161</v>
      </c>
      <c r="F157" s="72">
        <v>1300000</v>
      </c>
      <c r="G157" s="83">
        <v>1.3</v>
      </c>
      <c r="H157" s="84" t="s">
        <v>84</v>
      </c>
      <c r="I157" s="84" t="s">
        <v>372</v>
      </c>
      <c r="J157" s="84" t="s">
        <v>373</v>
      </c>
    </row>
    <row r="158" spans="2:10" x14ac:dyDescent="0.3">
      <c r="B158" s="79" t="s">
        <v>371</v>
      </c>
      <c r="C158" s="79" t="s">
        <v>222</v>
      </c>
      <c r="D158" s="73" t="s">
        <v>289</v>
      </c>
      <c r="E158" s="73" t="s">
        <v>161</v>
      </c>
      <c r="F158" s="74">
        <v>2590000</v>
      </c>
      <c r="G158" s="80">
        <v>2.59</v>
      </c>
      <c r="H158" s="81" t="s">
        <v>84</v>
      </c>
      <c r="I158" s="81" t="s">
        <v>372</v>
      </c>
      <c r="J158" s="82" t="s">
        <v>373</v>
      </c>
    </row>
    <row r="159" spans="2:10" x14ac:dyDescent="0.3">
      <c r="B159" s="70" t="s">
        <v>371</v>
      </c>
      <c r="C159" s="70" t="s">
        <v>211</v>
      </c>
      <c r="D159" s="71" t="s">
        <v>289</v>
      </c>
      <c r="E159" s="71" t="s">
        <v>161</v>
      </c>
      <c r="F159" s="72">
        <v>276000</v>
      </c>
      <c r="G159" s="83">
        <v>0.27600000000000002</v>
      </c>
      <c r="H159" s="84" t="s">
        <v>84</v>
      </c>
      <c r="I159" s="84" t="s">
        <v>372</v>
      </c>
      <c r="J159" s="84" t="s">
        <v>373</v>
      </c>
    </row>
    <row r="160" spans="2:10" x14ac:dyDescent="0.3">
      <c r="B160" s="79" t="s">
        <v>371</v>
      </c>
      <c r="C160" s="79" t="s">
        <v>272</v>
      </c>
      <c r="D160" s="73" t="s">
        <v>113</v>
      </c>
      <c r="E160" s="73" t="s">
        <v>161</v>
      </c>
      <c r="F160" s="74">
        <v>134038</v>
      </c>
      <c r="G160" s="80">
        <v>0.13403799999999999</v>
      </c>
      <c r="H160" s="81" t="s">
        <v>110</v>
      </c>
      <c r="I160" s="81" t="s">
        <v>372</v>
      </c>
      <c r="J160" s="82" t="s">
        <v>376</v>
      </c>
    </row>
    <row r="161" spans="2:10" x14ac:dyDescent="0.3">
      <c r="B161" s="70" t="s">
        <v>371</v>
      </c>
      <c r="C161" s="70" t="s">
        <v>272</v>
      </c>
      <c r="D161" s="71" t="s">
        <v>115</v>
      </c>
      <c r="E161" s="71" t="s">
        <v>161</v>
      </c>
      <c r="F161" s="72">
        <v>12420</v>
      </c>
      <c r="G161" s="83">
        <v>1.242E-2</v>
      </c>
      <c r="H161" s="84" t="s">
        <v>110</v>
      </c>
      <c r="I161" s="84" t="s">
        <v>372</v>
      </c>
      <c r="J161" s="84" t="s">
        <v>377</v>
      </c>
    </row>
    <row r="162" spans="2:10" x14ac:dyDescent="0.3">
      <c r="B162" s="79" t="s">
        <v>371</v>
      </c>
      <c r="C162" s="79" t="s">
        <v>272</v>
      </c>
      <c r="D162" s="73" t="s">
        <v>114</v>
      </c>
      <c r="E162" s="73" t="s">
        <v>161</v>
      </c>
      <c r="F162" s="74">
        <v>109040</v>
      </c>
      <c r="G162" s="80">
        <v>0.10904</v>
      </c>
      <c r="H162" s="81" t="s">
        <v>110</v>
      </c>
      <c r="I162" s="81" t="s">
        <v>372</v>
      </c>
      <c r="J162" s="82" t="s">
        <v>373</v>
      </c>
    </row>
    <row r="163" spans="2:10" x14ac:dyDescent="0.3">
      <c r="B163" s="70" t="s">
        <v>371</v>
      </c>
      <c r="C163" s="70" t="s">
        <v>272</v>
      </c>
      <c r="D163" s="71" t="s">
        <v>112</v>
      </c>
      <c r="E163" s="71" t="s">
        <v>161</v>
      </c>
      <c r="F163" s="72">
        <v>19872</v>
      </c>
      <c r="G163" s="83">
        <v>1.9872000000000001E-2</v>
      </c>
      <c r="H163" s="84" t="s">
        <v>110</v>
      </c>
      <c r="I163" s="84" t="s">
        <v>372</v>
      </c>
      <c r="J163" s="84" t="s">
        <v>378</v>
      </c>
    </row>
    <row r="164" spans="2:10" x14ac:dyDescent="0.3">
      <c r="B164" s="79" t="s">
        <v>371</v>
      </c>
      <c r="C164" s="79" t="s">
        <v>272</v>
      </c>
      <c r="D164" s="73" t="s">
        <v>114</v>
      </c>
      <c r="E164" s="73" t="s">
        <v>161</v>
      </c>
      <c r="F164" s="74">
        <v>85555</v>
      </c>
      <c r="G164" s="80">
        <v>8.5555000000000006E-2</v>
      </c>
      <c r="H164" s="81" t="s">
        <v>110</v>
      </c>
      <c r="I164" s="81" t="s">
        <v>372</v>
      </c>
      <c r="J164" s="82" t="s">
        <v>373</v>
      </c>
    </row>
    <row r="165" spans="2:10" x14ac:dyDescent="0.3">
      <c r="B165" s="70" t="s">
        <v>371</v>
      </c>
      <c r="C165" s="70" t="s">
        <v>272</v>
      </c>
      <c r="D165" s="71" t="s">
        <v>113</v>
      </c>
      <c r="E165" s="71" t="s">
        <v>161</v>
      </c>
      <c r="F165" s="72">
        <v>24840</v>
      </c>
      <c r="G165" s="83">
        <v>2.4840000000000001E-2</v>
      </c>
      <c r="H165" s="84" t="s">
        <v>110</v>
      </c>
      <c r="I165" s="84" t="s">
        <v>372</v>
      </c>
      <c r="J165" s="84" t="s">
        <v>376</v>
      </c>
    </row>
    <row r="166" spans="2:10" x14ac:dyDescent="0.3">
      <c r="B166" s="79" t="s">
        <v>371</v>
      </c>
      <c r="C166" s="79" t="s">
        <v>272</v>
      </c>
      <c r="D166" s="73" t="s">
        <v>115</v>
      </c>
      <c r="E166" s="73" t="s">
        <v>161</v>
      </c>
      <c r="F166" s="74">
        <v>67019</v>
      </c>
      <c r="G166" s="80">
        <v>6.7018999999999995E-2</v>
      </c>
      <c r="H166" s="81" t="s">
        <v>110</v>
      </c>
      <c r="I166" s="81" t="s">
        <v>372</v>
      </c>
      <c r="J166" s="82" t="s">
        <v>377</v>
      </c>
    </row>
    <row r="167" spans="2:10" x14ac:dyDescent="0.3">
      <c r="B167" s="70" t="s">
        <v>371</v>
      </c>
      <c r="C167" s="70" t="s">
        <v>272</v>
      </c>
      <c r="D167" s="71" t="s">
        <v>115</v>
      </c>
      <c r="E167" s="71" t="s">
        <v>161</v>
      </c>
      <c r="F167" s="72">
        <v>197374</v>
      </c>
      <c r="G167" s="83">
        <v>0.19737399999999999</v>
      </c>
      <c r="H167" s="84" t="s">
        <v>110</v>
      </c>
      <c r="I167" s="84" t="s">
        <v>372</v>
      </c>
      <c r="J167" s="84" t="s">
        <v>377</v>
      </c>
    </row>
    <row r="168" spans="2:10" x14ac:dyDescent="0.3">
      <c r="B168" s="79" t="s">
        <v>371</v>
      </c>
      <c r="C168" s="79" t="s">
        <v>272</v>
      </c>
      <c r="D168" s="73" t="s">
        <v>112</v>
      </c>
      <c r="E168" s="73" t="s">
        <v>161</v>
      </c>
      <c r="F168" s="74">
        <v>9166</v>
      </c>
      <c r="G168" s="80">
        <v>9.1660000000000005E-3</v>
      </c>
      <c r="H168" s="81" t="s">
        <v>110</v>
      </c>
      <c r="I168" s="81" t="s">
        <v>372</v>
      </c>
      <c r="J168" s="82" t="s">
        <v>378</v>
      </c>
    </row>
    <row r="169" spans="2:10" x14ac:dyDescent="0.3">
      <c r="B169" s="70" t="s">
        <v>371</v>
      </c>
      <c r="C169" s="70" t="s">
        <v>272</v>
      </c>
      <c r="D169" s="71" t="s">
        <v>112</v>
      </c>
      <c r="E169" s="71" t="s">
        <v>161</v>
      </c>
      <c r="F169" s="72">
        <v>315798</v>
      </c>
      <c r="G169" s="83">
        <v>0.31579800000000002</v>
      </c>
      <c r="H169" s="84" t="s">
        <v>110</v>
      </c>
      <c r="I169" s="84" t="s">
        <v>372</v>
      </c>
      <c r="J169" s="84" t="s">
        <v>378</v>
      </c>
    </row>
    <row r="170" spans="2:10" x14ac:dyDescent="0.3">
      <c r="B170" s="79" t="s">
        <v>371</v>
      </c>
      <c r="C170" s="79" t="s">
        <v>272</v>
      </c>
      <c r="D170" s="73" t="s">
        <v>111</v>
      </c>
      <c r="E170" s="73" t="s">
        <v>161</v>
      </c>
      <c r="F170" s="74">
        <v>118745</v>
      </c>
      <c r="G170" s="80">
        <v>0.118745</v>
      </c>
      <c r="H170" s="81" t="s">
        <v>110</v>
      </c>
      <c r="I170" s="81" t="s">
        <v>372</v>
      </c>
      <c r="J170" s="82" t="s">
        <v>373</v>
      </c>
    </row>
    <row r="171" spans="2:10" x14ac:dyDescent="0.3">
      <c r="B171" s="70" t="s">
        <v>371</v>
      </c>
      <c r="C171" s="70" t="s">
        <v>272</v>
      </c>
      <c r="D171" s="71" t="s">
        <v>113</v>
      </c>
      <c r="E171" s="71" t="s">
        <v>161</v>
      </c>
      <c r="F171" s="72">
        <v>394747</v>
      </c>
      <c r="G171" s="83">
        <v>0.39474700000000001</v>
      </c>
      <c r="H171" s="84" t="s">
        <v>110</v>
      </c>
      <c r="I171" s="84" t="s">
        <v>372</v>
      </c>
      <c r="J171" s="84" t="s">
        <v>376</v>
      </c>
    </row>
    <row r="172" spans="2:10" x14ac:dyDescent="0.3">
      <c r="B172" s="79" t="s">
        <v>371</v>
      </c>
      <c r="C172" s="79" t="s">
        <v>272</v>
      </c>
      <c r="D172" s="73" t="s">
        <v>115</v>
      </c>
      <c r="E172" s="73" t="s">
        <v>161</v>
      </c>
      <c r="F172" s="74">
        <v>2726</v>
      </c>
      <c r="G172" s="80">
        <v>2.7260000000000001E-3</v>
      </c>
      <c r="H172" s="81" t="s">
        <v>110</v>
      </c>
      <c r="I172" s="81" t="s">
        <v>372</v>
      </c>
      <c r="J172" s="82" t="s">
        <v>377</v>
      </c>
    </row>
    <row r="173" spans="2:10" x14ac:dyDescent="0.3">
      <c r="B173" s="70" t="s">
        <v>371</v>
      </c>
      <c r="C173" s="70" t="s">
        <v>272</v>
      </c>
      <c r="D173" s="71" t="s">
        <v>115</v>
      </c>
      <c r="E173" s="71" t="s">
        <v>161</v>
      </c>
      <c r="F173" s="72">
        <v>250950</v>
      </c>
      <c r="G173" s="83">
        <v>0.25095000000000001</v>
      </c>
      <c r="H173" s="84" t="s">
        <v>110</v>
      </c>
      <c r="I173" s="84" t="s">
        <v>372</v>
      </c>
      <c r="J173" s="84" t="s">
        <v>377</v>
      </c>
    </row>
    <row r="174" spans="2:10" x14ac:dyDescent="0.3">
      <c r="B174" s="79" t="s">
        <v>371</v>
      </c>
      <c r="C174" s="79" t="s">
        <v>272</v>
      </c>
      <c r="D174" s="73" t="s">
        <v>115</v>
      </c>
      <c r="E174" s="73" t="s">
        <v>161</v>
      </c>
      <c r="F174" s="74">
        <v>5728</v>
      </c>
      <c r="G174" s="80">
        <v>5.7279999999999996E-3</v>
      </c>
      <c r="H174" s="81" t="s">
        <v>110</v>
      </c>
      <c r="I174" s="81" t="s">
        <v>372</v>
      </c>
      <c r="J174" s="82" t="s">
        <v>377</v>
      </c>
    </row>
    <row r="175" spans="2:10" x14ac:dyDescent="0.3">
      <c r="B175" s="70" t="s">
        <v>371</v>
      </c>
      <c r="C175" s="70" t="s">
        <v>272</v>
      </c>
      <c r="D175" s="71" t="s">
        <v>112</v>
      </c>
      <c r="E175" s="71" t="s">
        <v>161</v>
      </c>
      <c r="F175" s="72">
        <v>401520</v>
      </c>
      <c r="G175" s="83">
        <v>0.40151999999999999</v>
      </c>
      <c r="H175" s="84" t="s">
        <v>110</v>
      </c>
      <c r="I175" s="84" t="s">
        <v>372</v>
      </c>
      <c r="J175" s="84" t="s">
        <v>378</v>
      </c>
    </row>
    <row r="176" spans="2:10" x14ac:dyDescent="0.3">
      <c r="B176" s="79" t="s">
        <v>371</v>
      </c>
      <c r="C176" s="79" t="s">
        <v>272</v>
      </c>
      <c r="D176" s="73" t="s">
        <v>112</v>
      </c>
      <c r="E176" s="73" t="s">
        <v>161</v>
      </c>
      <c r="F176" s="74">
        <v>6844</v>
      </c>
      <c r="G176" s="80">
        <v>6.8440000000000003E-3</v>
      </c>
      <c r="H176" s="81" t="s">
        <v>110</v>
      </c>
      <c r="I176" s="81" t="s">
        <v>372</v>
      </c>
      <c r="J176" s="82" t="s">
        <v>378</v>
      </c>
    </row>
    <row r="177" spans="2:10" x14ac:dyDescent="0.3">
      <c r="B177" s="70" t="s">
        <v>371</v>
      </c>
      <c r="C177" s="70" t="s">
        <v>272</v>
      </c>
      <c r="D177" s="71" t="s">
        <v>112</v>
      </c>
      <c r="E177" s="71" t="s">
        <v>161</v>
      </c>
      <c r="F177" s="72">
        <v>149341</v>
      </c>
      <c r="G177" s="83">
        <v>0.149341</v>
      </c>
      <c r="H177" s="84" t="s">
        <v>110</v>
      </c>
      <c r="I177" s="84" t="s">
        <v>372</v>
      </c>
      <c r="J177" s="84" t="s">
        <v>378</v>
      </c>
    </row>
    <row r="178" spans="2:10" x14ac:dyDescent="0.3">
      <c r="B178" s="79" t="s">
        <v>371</v>
      </c>
      <c r="C178" s="79" t="s">
        <v>272</v>
      </c>
      <c r="D178" s="73" t="s">
        <v>111</v>
      </c>
      <c r="E178" s="73" t="s">
        <v>161</v>
      </c>
      <c r="F178" s="74">
        <v>170939</v>
      </c>
      <c r="G178" s="80">
        <v>0.17093900000000001</v>
      </c>
      <c r="H178" s="81" t="s">
        <v>110</v>
      </c>
      <c r="I178" s="81" t="s">
        <v>372</v>
      </c>
      <c r="J178" s="82" t="s">
        <v>373</v>
      </c>
    </row>
    <row r="179" spans="2:10" x14ac:dyDescent="0.3">
      <c r="B179" s="70" t="s">
        <v>371</v>
      </c>
      <c r="C179" s="70" t="s">
        <v>272</v>
      </c>
      <c r="D179" s="71" t="s">
        <v>113</v>
      </c>
      <c r="E179" s="71" t="s">
        <v>161</v>
      </c>
      <c r="F179" s="72">
        <v>501900</v>
      </c>
      <c r="G179" s="83">
        <v>0.50190000000000001</v>
      </c>
      <c r="H179" s="84" t="s">
        <v>110</v>
      </c>
      <c r="I179" s="84" t="s">
        <v>372</v>
      </c>
      <c r="J179" s="84" t="s">
        <v>376</v>
      </c>
    </row>
    <row r="180" spans="2:10" x14ac:dyDescent="0.3">
      <c r="B180" s="79" t="s">
        <v>371</v>
      </c>
      <c r="C180" s="79" t="s">
        <v>272</v>
      </c>
      <c r="D180" s="73" t="s">
        <v>113</v>
      </c>
      <c r="E180" s="73" t="s">
        <v>161</v>
      </c>
      <c r="F180" s="74">
        <v>11457</v>
      </c>
      <c r="G180" s="80">
        <v>1.1457E-2</v>
      </c>
      <c r="H180" s="81" t="s">
        <v>110</v>
      </c>
      <c r="I180" s="81" t="s">
        <v>372</v>
      </c>
      <c r="J180" s="82" t="s">
        <v>376</v>
      </c>
    </row>
    <row r="181" spans="2:10" x14ac:dyDescent="0.3">
      <c r="B181" s="70" t="s">
        <v>371</v>
      </c>
      <c r="C181" s="70" t="s">
        <v>272</v>
      </c>
      <c r="D181" s="71" t="s">
        <v>115</v>
      </c>
      <c r="E181" s="71" t="s">
        <v>161</v>
      </c>
      <c r="F181" s="72">
        <v>11010</v>
      </c>
      <c r="G181" s="83">
        <v>1.1010000000000001E-2</v>
      </c>
      <c r="H181" s="84" t="s">
        <v>110</v>
      </c>
      <c r="I181" s="84" t="s">
        <v>372</v>
      </c>
      <c r="J181" s="84" t="s">
        <v>377</v>
      </c>
    </row>
    <row r="182" spans="2:10" x14ac:dyDescent="0.3">
      <c r="B182" s="79" t="s">
        <v>371</v>
      </c>
      <c r="C182" s="79" t="s">
        <v>272</v>
      </c>
      <c r="D182" s="73" t="s">
        <v>112</v>
      </c>
      <c r="E182" s="73" t="s">
        <v>161</v>
      </c>
      <c r="F182" s="74">
        <v>107231</v>
      </c>
      <c r="G182" s="80">
        <v>0.10723100000000001</v>
      </c>
      <c r="H182" s="81" t="s">
        <v>110</v>
      </c>
      <c r="I182" s="81" t="s">
        <v>372</v>
      </c>
      <c r="J182" s="82" t="s">
        <v>378</v>
      </c>
    </row>
    <row r="183" spans="2:10" x14ac:dyDescent="0.3">
      <c r="B183" s="70" t="s">
        <v>371</v>
      </c>
      <c r="C183" s="70" t="s">
        <v>272</v>
      </c>
      <c r="D183" s="71" t="s">
        <v>113</v>
      </c>
      <c r="E183" s="71" t="s">
        <v>161</v>
      </c>
      <c r="F183" s="72">
        <v>20032</v>
      </c>
      <c r="G183" s="83">
        <v>2.0032000000000001E-2</v>
      </c>
      <c r="H183" s="84" t="s">
        <v>110</v>
      </c>
      <c r="I183" s="84" t="s">
        <v>372</v>
      </c>
      <c r="J183" s="84" t="s">
        <v>376</v>
      </c>
    </row>
    <row r="184" spans="2:10" x14ac:dyDescent="0.3">
      <c r="B184" s="79" t="s">
        <v>371</v>
      </c>
      <c r="C184" s="79" t="s">
        <v>272</v>
      </c>
      <c r="D184" s="73" t="s">
        <v>113</v>
      </c>
      <c r="E184" s="73" t="s">
        <v>161</v>
      </c>
      <c r="F184" s="74">
        <v>8556</v>
      </c>
      <c r="G184" s="80">
        <v>8.5559999999999994E-3</v>
      </c>
      <c r="H184" s="81" t="s">
        <v>110</v>
      </c>
      <c r="I184" s="81" t="s">
        <v>372</v>
      </c>
      <c r="J184" s="82" t="s">
        <v>376</v>
      </c>
    </row>
    <row r="185" spans="2:10" x14ac:dyDescent="0.3">
      <c r="B185" s="70" t="s">
        <v>371</v>
      </c>
      <c r="C185" s="70" t="s">
        <v>272</v>
      </c>
      <c r="D185" s="71" t="s">
        <v>115</v>
      </c>
      <c r="E185" s="71" t="s">
        <v>161</v>
      </c>
      <c r="F185" s="72">
        <v>2641</v>
      </c>
      <c r="G185" s="83">
        <v>2.6410000000000001E-3</v>
      </c>
      <c r="H185" s="84" t="s">
        <v>110</v>
      </c>
      <c r="I185" s="84" t="s">
        <v>372</v>
      </c>
      <c r="J185" s="84" t="s">
        <v>377</v>
      </c>
    </row>
    <row r="186" spans="2:10" x14ac:dyDescent="0.3">
      <c r="B186" s="79" t="s">
        <v>371</v>
      </c>
      <c r="C186" s="79" t="s">
        <v>272</v>
      </c>
      <c r="D186" s="73" t="s">
        <v>115</v>
      </c>
      <c r="E186" s="73" t="s">
        <v>161</v>
      </c>
      <c r="F186" s="74">
        <v>4278</v>
      </c>
      <c r="G186" s="80">
        <v>4.2779999999999997E-3</v>
      </c>
      <c r="H186" s="81" t="s">
        <v>110</v>
      </c>
      <c r="I186" s="81" t="s">
        <v>372</v>
      </c>
      <c r="J186" s="82" t="s">
        <v>377</v>
      </c>
    </row>
    <row r="187" spans="2:10" x14ac:dyDescent="0.3">
      <c r="B187" s="70" t="s">
        <v>371</v>
      </c>
      <c r="C187" s="70" t="s">
        <v>272</v>
      </c>
      <c r="D187" s="71" t="s">
        <v>112</v>
      </c>
      <c r="E187" s="71" t="s">
        <v>161</v>
      </c>
      <c r="F187" s="72">
        <v>4226</v>
      </c>
      <c r="G187" s="83">
        <v>4.2259999999999997E-3</v>
      </c>
      <c r="H187" s="84" t="s">
        <v>110</v>
      </c>
      <c r="I187" s="84" t="s">
        <v>372</v>
      </c>
      <c r="J187" s="84" t="s">
        <v>378</v>
      </c>
    </row>
    <row r="188" spans="2:10" x14ac:dyDescent="0.3">
      <c r="B188" s="79" t="s">
        <v>371</v>
      </c>
      <c r="C188" s="79" t="s">
        <v>272</v>
      </c>
      <c r="D188" s="73" t="s">
        <v>112</v>
      </c>
      <c r="E188" s="73" t="s">
        <v>161</v>
      </c>
      <c r="F188" s="74">
        <v>4362</v>
      </c>
      <c r="G188" s="80">
        <v>4.3620000000000004E-3</v>
      </c>
      <c r="H188" s="81" t="s">
        <v>110</v>
      </c>
      <c r="I188" s="81" t="s">
        <v>372</v>
      </c>
      <c r="J188" s="82" t="s">
        <v>378</v>
      </c>
    </row>
    <row r="189" spans="2:10" x14ac:dyDescent="0.3">
      <c r="B189" s="70" t="s">
        <v>371</v>
      </c>
      <c r="C189" s="70" t="s">
        <v>272</v>
      </c>
      <c r="D189" s="71" t="s">
        <v>113</v>
      </c>
      <c r="E189" s="71" t="s">
        <v>161</v>
      </c>
      <c r="F189" s="72">
        <v>5282</v>
      </c>
      <c r="G189" s="83">
        <v>5.2820000000000002E-3</v>
      </c>
      <c r="H189" s="84" t="s">
        <v>110</v>
      </c>
      <c r="I189" s="84" t="s">
        <v>372</v>
      </c>
      <c r="J189" s="84" t="s">
        <v>376</v>
      </c>
    </row>
    <row r="190" spans="2:10" x14ac:dyDescent="0.3">
      <c r="B190" s="79" t="s">
        <v>371</v>
      </c>
      <c r="C190" s="79" t="s">
        <v>272</v>
      </c>
      <c r="D190" s="73" t="s">
        <v>113</v>
      </c>
      <c r="E190" s="73" t="s">
        <v>161</v>
      </c>
      <c r="F190" s="74">
        <v>5452</v>
      </c>
      <c r="G190" s="80">
        <v>5.4520000000000002E-3</v>
      </c>
      <c r="H190" s="81" t="s">
        <v>110</v>
      </c>
      <c r="I190" s="81" t="s">
        <v>372</v>
      </c>
      <c r="J190" s="82" t="s">
        <v>376</v>
      </c>
    </row>
    <row r="191" spans="2:10" x14ac:dyDescent="0.3">
      <c r="B191" s="70" t="s">
        <v>371</v>
      </c>
      <c r="C191" s="70" t="s">
        <v>272</v>
      </c>
      <c r="D191" s="71" t="s">
        <v>115</v>
      </c>
      <c r="E191" s="71" t="s">
        <v>161</v>
      </c>
      <c r="F191" s="72">
        <v>10016</v>
      </c>
      <c r="G191" s="83">
        <v>1.0016000000000001E-2</v>
      </c>
      <c r="H191" s="84" t="s">
        <v>110</v>
      </c>
      <c r="I191" s="84" t="s">
        <v>372</v>
      </c>
      <c r="J191" s="84" t="s">
        <v>377</v>
      </c>
    </row>
    <row r="192" spans="2:10" x14ac:dyDescent="0.3">
      <c r="B192" s="79" t="s">
        <v>371</v>
      </c>
      <c r="C192" s="79" t="s">
        <v>272</v>
      </c>
      <c r="D192" s="73" t="s">
        <v>112</v>
      </c>
      <c r="E192" s="73" t="s">
        <v>161</v>
      </c>
      <c r="F192" s="74">
        <v>16026</v>
      </c>
      <c r="G192" s="80">
        <v>1.6025999999999999E-2</v>
      </c>
      <c r="H192" s="81" t="s">
        <v>110</v>
      </c>
      <c r="I192" s="81" t="s">
        <v>372</v>
      </c>
      <c r="J192" s="82" t="s">
        <v>378</v>
      </c>
    </row>
    <row r="193" spans="2:10" x14ac:dyDescent="0.3">
      <c r="B193" s="70" t="s">
        <v>371</v>
      </c>
      <c r="C193" s="70" t="s">
        <v>272</v>
      </c>
      <c r="D193" s="71" t="s">
        <v>112</v>
      </c>
      <c r="E193" s="71" t="s">
        <v>161</v>
      </c>
      <c r="F193" s="72">
        <v>17616</v>
      </c>
      <c r="G193" s="83">
        <v>1.7616E-2</v>
      </c>
      <c r="H193" s="84" t="s">
        <v>110</v>
      </c>
      <c r="I193" s="84" t="s">
        <v>372</v>
      </c>
      <c r="J193" s="84" t="s">
        <v>378</v>
      </c>
    </row>
    <row r="194" spans="2:10" x14ac:dyDescent="0.3">
      <c r="B194" s="79" t="s">
        <v>371</v>
      </c>
      <c r="C194" s="79" t="s">
        <v>272</v>
      </c>
      <c r="D194" s="73" t="s">
        <v>115</v>
      </c>
      <c r="E194" s="73" t="s">
        <v>161</v>
      </c>
      <c r="F194" s="74">
        <v>9709</v>
      </c>
      <c r="G194" s="80">
        <v>9.7090000000000006E-3</v>
      </c>
      <c r="H194" s="81" t="s">
        <v>110</v>
      </c>
      <c r="I194" s="81" t="s">
        <v>372</v>
      </c>
      <c r="J194" s="82" t="s">
        <v>377</v>
      </c>
    </row>
    <row r="195" spans="2:10" x14ac:dyDescent="0.3">
      <c r="B195" s="70" t="s">
        <v>371</v>
      </c>
      <c r="C195" s="70" t="s">
        <v>272</v>
      </c>
      <c r="D195" s="71" t="s">
        <v>112</v>
      </c>
      <c r="E195" s="71" t="s">
        <v>161</v>
      </c>
      <c r="F195" s="72">
        <v>15535</v>
      </c>
      <c r="G195" s="83">
        <v>1.5535E-2</v>
      </c>
      <c r="H195" s="84" t="s">
        <v>110</v>
      </c>
      <c r="I195" s="84" t="s">
        <v>372</v>
      </c>
      <c r="J195" s="84" t="s">
        <v>378</v>
      </c>
    </row>
    <row r="196" spans="2:10" x14ac:dyDescent="0.3">
      <c r="B196" s="79" t="s">
        <v>371</v>
      </c>
      <c r="C196" s="79" t="s">
        <v>272</v>
      </c>
      <c r="D196" s="73" t="s">
        <v>113</v>
      </c>
      <c r="E196" s="73" t="s">
        <v>161</v>
      </c>
      <c r="F196" s="74">
        <v>19419</v>
      </c>
      <c r="G196" s="80">
        <v>1.9418999999999999E-2</v>
      </c>
      <c r="H196" s="81" t="s">
        <v>110</v>
      </c>
      <c r="I196" s="81" t="s">
        <v>372</v>
      </c>
      <c r="J196" s="82" t="s">
        <v>376</v>
      </c>
    </row>
    <row r="197" spans="2:10" x14ac:dyDescent="0.3">
      <c r="B197" s="70" t="s">
        <v>371</v>
      </c>
      <c r="C197" s="70" t="s">
        <v>272</v>
      </c>
      <c r="D197" s="71" t="s">
        <v>115</v>
      </c>
      <c r="E197" s="71" t="s">
        <v>161</v>
      </c>
      <c r="F197" s="72">
        <v>93338</v>
      </c>
      <c r="G197" s="83">
        <v>9.3338000000000004E-2</v>
      </c>
      <c r="H197" s="84" t="s">
        <v>110</v>
      </c>
      <c r="I197" s="84" t="s">
        <v>372</v>
      </c>
      <c r="J197" s="84" t="s">
        <v>377</v>
      </c>
    </row>
    <row r="198" spans="2:10" x14ac:dyDescent="0.3">
      <c r="B198" s="79" t="s">
        <v>371</v>
      </c>
      <c r="C198" s="79" t="s">
        <v>272</v>
      </c>
      <c r="D198" s="73" t="s">
        <v>113</v>
      </c>
      <c r="E198" s="73" t="s">
        <v>161</v>
      </c>
      <c r="F198" s="74">
        <v>22020</v>
      </c>
      <c r="G198" s="80">
        <v>2.2020000000000001E-2</v>
      </c>
      <c r="H198" s="81" t="s">
        <v>110</v>
      </c>
      <c r="I198" s="81" t="s">
        <v>372</v>
      </c>
      <c r="J198" s="82" t="s">
        <v>376</v>
      </c>
    </row>
    <row r="199" spans="2:10" x14ac:dyDescent="0.3">
      <c r="B199" s="70" t="s">
        <v>371</v>
      </c>
      <c r="C199" s="70" t="s">
        <v>272</v>
      </c>
      <c r="D199" s="71" t="s">
        <v>113</v>
      </c>
      <c r="E199" s="71" t="s">
        <v>161</v>
      </c>
      <c r="F199" s="72">
        <v>186676</v>
      </c>
      <c r="G199" s="83">
        <v>0.18667600000000001</v>
      </c>
      <c r="H199" s="84" t="s">
        <v>110</v>
      </c>
      <c r="I199" s="84" t="s">
        <v>372</v>
      </c>
      <c r="J199" s="84" t="s">
        <v>376</v>
      </c>
    </row>
    <row r="200" spans="2:10" x14ac:dyDescent="0.3">
      <c r="B200" s="79" t="s">
        <v>371</v>
      </c>
      <c r="C200" s="79" t="s">
        <v>194</v>
      </c>
      <c r="D200" s="73" t="s">
        <v>96</v>
      </c>
      <c r="E200" s="73" t="s">
        <v>161</v>
      </c>
      <c r="F200" s="74">
        <v>25737</v>
      </c>
      <c r="G200" s="80">
        <v>2.5736999999999999E-2</v>
      </c>
      <c r="H200" s="81" t="s">
        <v>94</v>
      </c>
      <c r="I200" s="81" t="s">
        <v>372</v>
      </c>
      <c r="J200" s="82" t="s">
        <v>373</v>
      </c>
    </row>
    <row r="201" spans="2:10" x14ac:dyDescent="0.3">
      <c r="B201" s="70" t="s">
        <v>371</v>
      </c>
      <c r="C201" s="70" t="s">
        <v>194</v>
      </c>
      <c r="D201" s="71" t="s">
        <v>98</v>
      </c>
      <c r="E201" s="71" t="s">
        <v>161</v>
      </c>
      <c r="F201" s="72">
        <v>2527375</v>
      </c>
      <c r="G201" s="83">
        <v>2.5273750000000001</v>
      </c>
      <c r="H201" s="84" t="s">
        <v>94</v>
      </c>
      <c r="I201" s="84" t="s">
        <v>372</v>
      </c>
      <c r="J201" s="84" t="s">
        <v>373</v>
      </c>
    </row>
    <row r="202" spans="2:10" x14ac:dyDescent="0.3">
      <c r="B202" s="79" t="s">
        <v>371</v>
      </c>
      <c r="C202" s="79" t="s">
        <v>194</v>
      </c>
      <c r="D202" s="73" t="s">
        <v>98</v>
      </c>
      <c r="E202" s="73" t="s">
        <v>161</v>
      </c>
      <c r="F202" s="74">
        <v>-2527375</v>
      </c>
      <c r="G202" s="80">
        <v>-2.5273750000000001</v>
      </c>
      <c r="H202" s="81" t="s">
        <v>94</v>
      </c>
      <c r="I202" s="81" t="s">
        <v>372</v>
      </c>
      <c r="J202" s="82" t="s">
        <v>373</v>
      </c>
    </row>
    <row r="203" spans="2:10" x14ac:dyDescent="0.3">
      <c r="B203" s="70" t="s">
        <v>371</v>
      </c>
      <c r="C203" s="70" t="s">
        <v>194</v>
      </c>
      <c r="D203" s="71" t="s">
        <v>102</v>
      </c>
      <c r="E203" s="71" t="s">
        <v>161</v>
      </c>
      <c r="F203" s="72">
        <v>34046</v>
      </c>
      <c r="G203" s="83">
        <v>3.4046E-2</v>
      </c>
      <c r="H203" s="84" t="s">
        <v>94</v>
      </c>
      <c r="I203" s="84" t="s">
        <v>372</v>
      </c>
      <c r="J203" s="84" t="s">
        <v>373</v>
      </c>
    </row>
    <row r="204" spans="2:10" x14ac:dyDescent="0.3">
      <c r="B204" s="79" t="s">
        <v>371</v>
      </c>
      <c r="C204" s="79" t="s">
        <v>194</v>
      </c>
      <c r="D204" s="73" t="s">
        <v>96</v>
      </c>
      <c r="E204" s="73" t="s">
        <v>161</v>
      </c>
      <c r="F204" s="74">
        <v>3494283</v>
      </c>
      <c r="G204" s="80">
        <v>3.4942829999999998</v>
      </c>
      <c r="H204" s="81" t="s">
        <v>94</v>
      </c>
      <c r="I204" s="81" t="s">
        <v>372</v>
      </c>
      <c r="J204" s="82" t="s">
        <v>373</v>
      </c>
    </row>
    <row r="205" spans="2:10" x14ac:dyDescent="0.3">
      <c r="B205" s="70" t="s">
        <v>371</v>
      </c>
      <c r="C205" s="70" t="s">
        <v>194</v>
      </c>
      <c r="D205" s="71" t="s">
        <v>96</v>
      </c>
      <c r="E205" s="71" t="s">
        <v>161</v>
      </c>
      <c r="F205" s="72">
        <v>3534209</v>
      </c>
      <c r="G205" s="83">
        <v>3.5342090000000002</v>
      </c>
      <c r="H205" s="84" t="s">
        <v>94</v>
      </c>
      <c r="I205" s="84" t="s">
        <v>372</v>
      </c>
      <c r="J205" s="84" t="s">
        <v>373</v>
      </c>
    </row>
    <row r="206" spans="2:10" x14ac:dyDescent="0.3">
      <c r="B206" s="79" t="s">
        <v>371</v>
      </c>
      <c r="C206" s="79" t="s">
        <v>194</v>
      </c>
      <c r="D206" s="73" t="s">
        <v>98</v>
      </c>
      <c r="E206" s="73" t="s">
        <v>161</v>
      </c>
      <c r="F206" s="74">
        <v>2527375</v>
      </c>
      <c r="G206" s="80">
        <v>2.5273750000000001</v>
      </c>
      <c r="H206" s="81" t="s">
        <v>94</v>
      </c>
      <c r="I206" s="81" t="s">
        <v>372</v>
      </c>
      <c r="J206" s="82" t="s">
        <v>373</v>
      </c>
    </row>
    <row r="207" spans="2:10" x14ac:dyDescent="0.3">
      <c r="B207" s="70" t="s">
        <v>371</v>
      </c>
      <c r="C207" s="70" t="s">
        <v>194</v>
      </c>
      <c r="D207" s="71" t="s">
        <v>96</v>
      </c>
      <c r="E207" s="71" t="s">
        <v>161</v>
      </c>
      <c r="F207" s="72">
        <v>36305</v>
      </c>
      <c r="G207" s="83">
        <v>3.6304999999999997E-2</v>
      </c>
      <c r="H207" s="84" t="s">
        <v>94</v>
      </c>
      <c r="I207" s="84" t="s">
        <v>372</v>
      </c>
      <c r="J207" s="84" t="s">
        <v>373</v>
      </c>
    </row>
    <row r="208" spans="2:10" x14ac:dyDescent="0.3">
      <c r="B208" s="79" t="s">
        <v>371</v>
      </c>
      <c r="C208" s="79" t="s">
        <v>194</v>
      </c>
      <c r="D208" s="73" t="s">
        <v>96</v>
      </c>
      <c r="E208" s="73" t="s">
        <v>161</v>
      </c>
      <c r="F208" s="74">
        <v>3539117</v>
      </c>
      <c r="G208" s="80">
        <v>3.5391170000000001</v>
      </c>
      <c r="H208" s="81" t="s">
        <v>94</v>
      </c>
      <c r="I208" s="81" t="s">
        <v>372</v>
      </c>
      <c r="J208" s="82" t="s">
        <v>373</v>
      </c>
    </row>
    <row r="209" spans="2:10" x14ac:dyDescent="0.3">
      <c r="B209" s="70" t="s">
        <v>371</v>
      </c>
      <c r="C209" s="70" t="s">
        <v>194</v>
      </c>
      <c r="D209" s="71" t="s">
        <v>96</v>
      </c>
      <c r="E209" s="71" t="s">
        <v>161</v>
      </c>
      <c r="F209" s="72">
        <v>3840246</v>
      </c>
      <c r="G209" s="83">
        <v>3.840246</v>
      </c>
      <c r="H209" s="84" t="s">
        <v>94</v>
      </c>
      <c r="I209" s="84" t="s">
        <v>372</v>
      </c>
      <c r="J209" s="84" t="s">
        <v>373</v>
      </c>
    </row>
    <row r="210" spans="2:10" x14ac:dyDescent="0.3">
      <c r="B210" s="79" t="s">
        <v>371</v>
      </c>
      <c r="C210" s="79" t="s">
        <v>194</v>
      </c>
      <c r="D210" s="73" t="s">
        <v>102</v>
      </c>
      <c r="E210" s="73" t="s">
        <v>161</v>
      </c>
      <c r="F210" s="74">
        <v>34046</v>
      </c>
      <c r="G210" s="80">
        <v>3.4046E-2</v>
      </c>
      <c r="H210" s="81" t="s">
        <v>94</v>
      </c>
      <c r="I210" s="81" t="s">
        <v>372</v>
      </c>
      <c r="J210" s="82" t="s">
        <v>373</v>
      </c>
    </row>
    <row r="211" spans="2:10" x14ac:dyDescent="0.3">
      <c r="B211" s="70" t="s">
        <v>371</v>
      </c>
      <c r="C211" s="70" t="s">
        <v>194</v>
      </c>
      <c r="D211" s="71" t="s">
        <v>96</v>
      </c>
      <c r="E211" s="71" t="s">
        <v>161</v>
      </c>
      <c r="F211" s="72">
        <v>33124</v>
      </c>
      <c r="G211" s="83">
        <v>3.3124000000000001E-2</v>
      </c>
      <c r="H211" s="84" t="s">
        <v>94</v>
      </c>
      <c r="I211" s="84" t="s">
        <v>372</v>
      </c>
      <c r="J211" s="84" t="s">
        <v>373</v>
      </c>
    </row>
    <row r="212" spans="2:10" x14ac:dyDescent="0.3">
      <c r="B212" s="79" t="s">
        <v>371</v>
      </c>
      <c r="C212" s="79" t="s">
        <v>194</v>
      </c>
      <c r="D212" s="73" t="s">
        <v>102</v>
      </c>
      <c r="E212" s="73" t="s">
        <v>161</v>
      </c>
      <c r="F212" s="74">
        <v>34046</v>
      </c>
      <c r="G212" s="80">
        <v>3.4046E-2</v>
      </c>
      <c r="H212" s="81" t="s">
        <v>94</v>
      </c>
      <c r="I212" s="81" t="s">
        <v>372</v>
      </c>
      <c r="J212" s="82" t="s">
        <v>373</v>
      </c>
    </row>
    <row r="213" spans="2:10" x14ac:dyDescent="0.3">
      <c r="B213" s="70" t="s">
        <v>371</v>
      </c>
      <c r="C213" s="70" t="s">
        <v>194</v>
      </c>
      <c r="D213" s="71" t="s">
        <v>102</v>
      </c>
      <c r="E213" s="71" t="s">
        <v>161</v>
      </c>
      <c r="F213" s="72">
        <v>34046</v>
      </c>
      <c r="G213" s="83">
        <v>3.4046E-2</v>
      </c>
      <c r="H213" s="84" t="s">
        <v>94</v>
      </c>
      <c r="I213" s="84" t="s">
        <v>372</v>
      </c>
      <c r="J213" s="84" t="s">
        <v>373</v>
      </c>
    </row>
    <row r="214" spans="2:10" x14ac:dyDescent="0.3">
      <c r="B214" s="79" t="s">
        <v>371</v>
      </c>
      <c r="C214" s="79" t="s">
        <v>194</v>
      </c>
      <c r="D214" s="73" t="s">
        <v>96</v>
      </c>
      <c r="E214" s="73" t="s">
        <v>161</v>
      </c>
      <c r="F214" s="74">
        <v>3540409</v>
      </c>
      <c r="G214" s="80">
        <v>3.5404089999999999</v>
      </c>
      <c r="H214" s="81" t="s">
        <v>94</v>
      </c>
      <c r="I214" s="81" t="s">
        <v>372</v>
      </c>
      <c r="J214" s="82" t="s">
        <v>373</v>
      </c>
    </row>
    <row r="215" spans="2:10" x14ac:dyDescent="0.3">
      <c r="B215" s="70" t="s">
        <v>371</v>
      </c>
      <c r="C215" s="70" t="s">
        <v>194</v>
      </c>
      <c r="D215" s="71" t="s">
        <v>96</v>
      </c>
      <c r="E215" s="71" t="s">
        <v>161</v>
      </c>
      <c r="F215" s="72">
        <v>26276</v>
      </c>
      <c r="G215" s="83">
        <v>2.6276000000000001E-2</v>
      </c>
      <c r="H215" s="84" t="s">
        <v>94</v>
      </c>
      <c r="I215" s="84" t="s">
        <v>372</v>
      </c>
      <c r="J215" s="84" t="s">
        <v>373</v>
      </c>
    </row>
    <row r="216" spans="2:10" x14ac:dyDescent="0.3">
      <c r="B216" s="79" t="s">
        <v>371</v>
      </c>
      <c r="C216" s="79" t="s">
        <v>194</v>
      </c>
      <c r="D216" s="73" t="s">
        <v>96</v>
      </c>
      <c r="E216" s="73" t="s">
        <v>161</v>
      </c>
      <c r="F216" s="74">
        <v>26432</v>
      </c>
      <c r="G216" s="80">
        <v>2.6432000000000001E-2</v>
      </c>
      <c r="H216" s="81" t="s">
        <v>94</v>
      </c>
      <c r="I216" s="81" t="s">
        <v>372</v>
      </c>
      <c r="J216" s="82" t="s">
        <v>373</v>
      </c>
    </row>
    <row r="217" spans="2:10" x14ac:dyDescent="0.3">
      <c r="B217" s="70" t="s">
        <v>371</v>
      </c>
      <c r="C217" s="70" t="s">
        <v>194</v>
      </c>
      <c r="D217" s="71" t="s">
        <v>96</v>
      </c>
      <c r="E217" s="71" t="s">
        <v>161</v>
      </c>
      <c r="F217" s="72">
        <v>3154488</v>
      </c>
      <c r="G217" s="83">
        <v>3.1544880000000002</v>
      </c>
      <c r="H217" s="84" t="s">
        <v>94</v>
      </c>
      <c r="I217" s="84" t="s">
        <v>372</v>
      </c>
      <c r="J217" s="84" t="s">
        <v>373</v>
      </c>
    </row>
    <row r="218" spans="2:10" x14ac:dyDescent="0.3">
      <c r="B218" s="79" t="s">
        <v>371</v>
      </c>
      <c r="C218" s="79" t="s">
        <v>194</v>
      </c>
      <c r="D218" s="73" t="s">
        <v>96</v>
      </c>
      <c r="E218" s="73" t="s">
        <v>161</v>
      </c>
      <c r="F218" s="74">
        <v>3335246</v>
      </c>
      <c r="G218" s="80">
        <v>3.3352460000000002</v>
      </c>
      <c r="H218" s="81" t="s">
        <v>94</v>
      </c>
      <c r="I218" s="81" t="s">
        <v>372</v>
      </c>
      <c r="J218" s="82" t="s">
        <v>373</v>
      </c>
    </row>
    <row r="219" spans="2:10" x14ac:dyDescent="0.3">
      <c r="B219" s="70" t="s">
        <v>371</v>
      </c>
      <c r="C219" s="70" t="s">
        <v>194</v>
      </c>
      <c r="D219" s="71" t="s">
        <v>102</v>
      </c>
      <c r="E219" s="71" t="s">
        <v>161</v>
      </c>
      <c r="F219" s="72">
        <v>34046</v>
      </c>
      <c r="G219" s="83">
        <v>3.4046E-2</v>
      </c>
      <c r="H219" s="84" t="s">
        <v>94</v>
      </c>
      <c r="I219" s="84" t="s">
        <v>372</v>
      </c>
      <c r="J219" s="84" t="s">
        <v>373</v>
      </c>
    </row>
    <row r="220" spans="2:10" x14ac:dyDescent="0.3">
      <c r="B220" s="79" t="s">
        <v>371</v>
      </c>
      <c r="C220" s="79" t="s">
        <v>194</v>
      </c>
      <c r="D220" s="73" t="s">
        <v>96</v>
      </c>
      <c r="E220" s="73" t="s">
        <v>161</v>
      </c>
      <c r="F220" s="74">
        <v>27298</v>
      </c>
      <c r="G220" s="80">
        <v>2.7297999999999999E-2</v>
      </c>
      <c r="H220" s="81" t="s">
        <v>94</v>
      </c>
      <c r="I220" s="81" t="s">
        <v>372</v>
      </c>
      <c r="J220" s="82" t="s">
        <v>373</v>
      </c>
    </row>
    <row r="221" spans="2:10" x14ac:dyDescent="0.3">
      <c r="B221" s="70" t="s">
        <v>371</v>
      </c>
      <c r="C221" s="70" t="s">
        <v>194</v>
      </c>
      <c r="D221" s="71" t="s">
        <v>102</v>
      </c>
      <c r="E221" s="71" t="s">
        <v>161</v>
      </c>
      <c r="F221" s="72">
        <v>34046</v>
      </c>
      <c r="G221" s="83">
        <v>3.4046E-2</v>
      </c>
      <c r="H221" s="84" t="s">
        <v>94</v>
      </c>
      <c r="I221" s="84" t="s">
        <v>372</v>
      </c>
      <c r="J221" s="84" t="s">
        <v>373</v>
      </c>
    </row>
    <row r="222" spans="2:10" x14ac:dyDescent="0.3">
      <c r="B222" s="79" t="s">
        <v>371</v>
      </c>
      <c r="C222" s="79" t="s">
        <v>194</v>
      </c>
      <c r="D222" s="73" t="s">
        <v>96</v>
      </c>
      <c r="E222" s="73" t="s">
        <v>161</v>
      </c>
      <c r="F222" s="74">
        <v>29746</v>
      </c>
      <c r="G222" s="80">
        <v>2.9746000000000002E-2</v>
      </c>
      <c r="H222" s="81" t="s">
        <v>94</v>
      </c>
      <c r="I222" s="81" t="s">
        <v>372</v>
      </c>
      <c r="J222" s="82" t="s">
        <v>373</v>
      </c>
    </row>
    <row r="223" spans="2:10" x14ac:dyDescent="0.3">
      <c r="B223" s="70" t="s">
        <v>371</v>
      </c>
      <c r="C223" s="70" t="s">
        <v>194</v>
      </c>
      <c r="D223" s="71" t="s">
        <v>96</v>
      </c>
      <c r="E223" s="71" t="s">
        <v>161</v>
      </c>
      <c r="F223" s="72">
        <v>3534209</v>
      </c>
      <c r="G223" s="83">
        <v>3.5342090000000002</v>
      </c>
      <c r="H223" s="84" t="s">
        <v>94</v>
      </c>
      <c r="I223" s="84" t="s">
        <v>372</v>
      </c>
      <c r="J223" s="84" t="s">
        <v>373</v>
      </c>
    </row>
    <row r="224" spans="2:10" x14ac:dyDescent="0.3">
      <c r="B224" s="79" t="s">
        <v>371</v>
      </c>
      <c r="C224" s="79" t="s">
        <v>194</v>
      </c>
      <c r="D224" s="73" t="s">
        <v>102</v>
      </c>
      <c r="E224" s="73" t="s">
        <v>161</v>
      </c>
      <c r="F224" s="74">
        <v>34046</v>
      </c>
      <c r="G224" s="80">
        <v>3.4046E-2</v>
      </c>
      <c r="H224" s="81" t="s">
        <v>94</v>
      </c>
      <c r="I224" s="81" t="s">
        <v>372</v>
      </c>
      <c r="J224" s="82" t="s">
        <v>373</v>
      </c>
    </row>
    <row r="225" spans="2:10" x14ac:dyDescent="0.3">
      <c r="B225" s="70" t="s">
        <v>371</v>
      </c>
      <c r="C225" s="70" t="s">
        <v>194</v>
      </c>
      <c r="D225" s="71" t="s">
        <v>96</v>
      </c>
      <c r="E225" s="71" t="s">
        <v>161</v>
      </c>
      <c r="F225" s="72">
        <v>3438641</v>
      </c>
      <c r="G225" s="83">
        <v>3.4386410000000001</v>
      </c>
      <c r="H225" s="84" t="s">
        <v>94</v>
      </c>
      <c r="I225" s="84" t="s">
        <v>372</v>
      </c>
      <c r="J225" s="84" t="s">
        <v>373</v>
      </c>
    </row>
    <row r="226" spans="2:10" x14ac:dyDescent="0.3">
      <c r="B226" s="79" t="s">
        <v>371</v>
      </c>
      <c r="C226" s="79" t="s">
        <v>194</v>
      </c>
      <c r="D226" s="73" t="s">
        <v>96</v>
      </c>
      <c r="E226" s="73" t="s">
        <v>161</v>
      </c>
      <c r="F226" s="74">
        <v>28231</v>
      </c>
      <c r="G226" s="80">
        <v>2.8230999999999999E-2</v>
      </c>
      <c r="H226" s="81" t="s">
        <v>94</v>
      </c>
      <c r="I226" s="81" t="s">
        <v>372</v>
      </c>
      <c r="J226" s="82" t="s">
        <v>373</v>
      </c>
    </row>
    <row r="227" spans="2:10" x14ac:dyDescent="0.3">
      <c r="B227" s="70" t="s">
        <v>371</v>
      </c>
      <c r="C227" s="70" t="s">
        <v>194</v>
      </c>
      <c r="D227" s="71" t="s">
        <v>102</v>
      </c>
      <c r="E227" s="71" t="s">
        <v>161</v>
      </c>
      <c r="F227" s="72">
        <v>34046</v>
      </c>
      <c r="G227" s="83">
        <v>3.4046E-2</v>
      </c>
      <c r="H227" s="84" t="s">
        <v>94</v>
      </c>
      <c r="I227" s="84" t="s">
        <v>372</v>
      </c>
      <c r="J227" s="84" t="s">
        <v>373</v>
      </c>
    </row>
    <row r="228" spans="2:10" x14ac:dyDescent="0.3">
      <c r="B228" s="79" t="s">
        <v>371</v>
      </c>
      <c r="C228" s="79" t="s">
        <v>194</v>
      </c>
      <c r="D228" s="73" t="s">
        <v>96</v>
      </c>
      <c r="E228" s="73" t="s">
        <v>161</v>
      </c>
      <c r="F228" s="74">
        <v>26123</v>
      </c>
      <c r="G228" s="80">
        <v>2.6123E-2</v>
      </c>
      <c r="H228" s="81" t="s">
        <v>94</v>
      </c>
      <c r="I228" s="81" t="s">
        <v>372</v>
      </c>
      <c r="J228" s="82" t="s">
        <v>373</v>
      </c>
    </row>
    <row r="229" spans="2:10" x14ac:dyDescent="0.3">
      <c r="B229" s="70" t="s">
        <v>371</v>
      </c>
      <c r="C229" s="70" t="s">
        <v>194</v>
      </c>
      <c r="D229" s="71" t="s">
        <v>102</v>
      </c>
      <c r="E229" s="71" t="s">
        <v>161</v>
      </c>
      <c r="F229" s="72">
        <v>34046</v>
      </c>
      <c r="G229" s="83">
        <v>3.4046E-2</v>
      </c>
      <c r="H229" s="84" t="s">
        <v>94</v>
      </c>
      <c r="I229" s="84" t="s">
        <v>372</v>
      </c>
      <c r="J229" s="84" t="s">
        <v>373</v>
      </c>
    </row>
    <row r="230" spans="2:10" x14ac:dyDescent="0.3">
      <c r="B230" s="79" t="s">
        <v>371</v>
      </c>
      <c r="C230" s="79" t="s">
        <v>194</v>
      </c>
      <c r="D230" s="73" t="s">
        <v>96</v>
      </c>
      <c r="E230" s="73" t="s">
        <v>161</v>
      </c>
      <c r="F230" s="74">
        <v>25737</v>
      </c>
      <c r="G230" s="80">
        <v>2.5736999999999999E-2</v>
      </c>
      <c r="H230" s="81" t="s">
        <v>94</v>
      </c>
      <c r="I230" s="81" t="s">
        <v>372</v>
      </c>
      <c r="J230" s="82" t="s">
        <v>373</v>
      </c>
    </row>
    <row r="231" spans="2:10" x14ac:dyDescent="0.3">
      <c r="B231" s="70" t="s">
        <v>371</v>
      </c>
      <c r="C231" s="70" t="s">
        <v>194</v>
      </c>
      <c r="D231" s="71" t="s">
        <v>96</v>
      </c>
      <c r="E231" s="71" t="s">
        <v>161</v>
      </c>
      <c r="F231" s="72">
        <v>3534209</v>
      </c>
      <c r="G231" s="83">
        <v>3.5342090000000002</v>
      </c>
      <c r="H231" s="84" t="s">
        <v>94</v>
      </c>
      <c r="I231" s="84" t="s">
        <v>372</v>
      </c>
      <c r="J231" s="84" t="s">
        <v>373</v>
      </c>
    </row>
    <row r="232" spans="2:10" x14ac:dyDescent="0.3">
      <c r="B232" s="79" t="s">
        <v>371</v>
      </c>
      <c r="C232" s="79" t="s">
        <v>270</v>
      </c>
      <c r="D232" s="73" t="s">
        <v>96</v>
      </c>
      <c r="E232" s="73" t="s">
        <v>161</v>
      </c>
      <c r="F232" s="74">
        <v>500000</v>
      </c>
      <c r="G232" s="80">
        <v>0.5</v>
      </c>
      <c r="H232" s="81" t="s">
        <v>94</v>
      </c>
      <c r="I232" s="81" t="s">
        <v>372</v>
      </c>
      <c r="J232" s="82" t="s">
        <v>373</v>
      </c>
    </row>
    <row r="233" spans="2:10" x14ac:dyDescent="0.3">
      <c r="B233" s="70" t="s">
        <v>371</v>
      </c>
      <c r="C233" s="70" t="s">
        <v>188</v>
      </c>
      <c r="D233" s="71" t="s">
        <v>96</v>
      </c>
      <c r="E233" s="71" t="s">
        <v>161</v>
      </c>
      <c r="F233" s="72">
        <v>139400</v>
      </c>
      <c r="G233" s="83">
        <v>0.1394</v>
      </c>
      <c r="H233" s="84" t="s">
        <v>94</v>
      </c>
      <c r="I233" s="84" t="s">
        <v>372</v>
      </c>
      <c r="J233" s="84" t="s">
        <v>373</v>
      </c>
    </row>
    <row r="234" spans="2:10" x14ac:dyDescent="0.3">
      <c r="B234" s="79" t="s">
        <v>371</v>
      </c>
      <c r="C234" s="79" t="s">
        <v>188</v>
      </c>
      <c r="D234" s="73" t="s">
        <v>96</v>
      </c>
      <c r="E234" s="73" t="s">
        <v>161</v>
      </c>
      <c r="F234" s="74">
        <v>3018545</v>
      </c>
      <c r="G234" s="80">
        <v>3.018545</v>
      </c>
      <c r="H234" s="81" t="s">
        <v>94</v>
      </c>
      <c r="I234" s="81" t="s">
        <v>372</v>
      </c>
      <c r="J234" s="82" t="s">
        <v>373</v>
      </c>
    </row>
    <row r="235" spans="2:10" x14ac:dyDescent="0.3">
      <c r="B235" s="70" t="s">
        <v>371</v>
      </c>
      <c r="C235" s="70" t="s">
        <v>188</v>
      </c>
      <c r="D235" s="71" t="s">
        <v>96</v>
      </c>
      <c r="E235" s="71" t="s">
        <v>161</v>
      </c>
      <c r="F235" s="72">
        <v>2825143</v>
      </c>
      <c r="G235" s="83">
        <v>2.8251430000000002</v>
      </c>
      <c r="H235" s="84" t="s">
        <v>94</v>
      </c>
      <c r="I235" s="84" t="s">
        <v>372</v>
      </c>
      <c r="J235" s="84" t="s">
        <v>373</v>
      </c>
    </row>
    <row r="236" spans="2:10" x14ac:dyDescent="0.3">
      <c r="B236" s="79" t="s">
        <v>371</v>
      </c>
      <c r="C236" s="79" t="s">
        <v>188</v>
      </c>
      <c r="D236" s="73" t="s">
        <v>96</v>
      </c>
      <c r="E236" s="73" t="s">
        <v>161</v>
      </c>
      <c r="F236" s="74">
        <v>140100</v>
      </c>
      <c r="G236" s="80">
        <v>0.1401</v>
      </c>
      <c r="H236" s="81" t="s">
        <v>94</v>
      </c>
      <c r="I236" s="81" t="s">
        <v>372</v>
      </c>
      <c r="J236" s="82" t="s">
        <v>373</v>
      </c>
    </row>
    <row r="237" spans="2:10" x14ac:dyDescent="0.3">
      <c r="B237" s="70" t="s">
        <v>371</v>
      </c>
      <c r="C237" s="70" t="s">
        <v>188</v>
      </c>
      <c r="D237" s="71" t="s">
        <v>96</v>
      </c>
      <c r="E237" s="71" t="s">
        <v>161</v>
      </c>
      <c r="F237" s="72">
        <v>2530808</v>
      </c>
      <c r="G237" s="83">
        <v>2.5308079999999999</v>
      </c>
      <c r="H237" s="84" t="s">
        <v>94</v>
      </c>
      <c r="I237" s="84" t="s">
        <v>372</v>
      </c>
      <c r="J237" s="84" t="s">
        <v>373</v>
      </c>
    </row>
    <row r="238" spans="2:10" x14ac:dyDescent="0.3">
      <c r="B238" s="79" t="s">
        <v>371</v>
      </c>
      <c r="C238" s="79" t="s">
        <v>188</v>
      </c>
      <c r="D238" s="73" t="s">
        <v>102</v>
      </c>
      <c r="E238" s="73" t="s">
        <v>161</v>
      </c>
      <c r="F238" s="74">
        <v>58620</v>
      </c>
      <c r="G238" s="80">
        <v>5.8619999999999998E-2</v>
      </c>
      <c r="H238" s="81" t="s">
        <v>94</v>
      </c>
      <c r="I238" s="81" t="s">
        <v>372</v>
      </c>
      <c r="J238" s="82" t="s">
        <v>373</v>
      </c>
    </row>
    <row r="239" spans="2:10" x14ac:dyDescent="0.3">
      <c r="B239" s="70" t="s">
        <v>371</v>
      </c>
      <c r="C239" s="70" t="s">
        <v>188</v>
      </c>
      <c r="D239" s="71" t="s">
        <v>107</v>
      </c>
      <c r="E239" s="71" t="s">
        <v>161</v>
      </c>
      <c r="F239" s="72">
        <v>1200000</v>
      </c>
      <c r="G239" s="83">
        <v>1.2</v>
      </c>
      <c r="H239" s="84" t="s">
        <v>94</v>
      </c>
      <c r="I239" s="84" t="s">
        <v>372</v>
      </c>
      <c r="J239" s="84" t="s">
        <v>373</v>
      </c>
    </row>
    <row r="240" spans="2:10" x14ac:dyDescent="0.3">
      <c r="B240" s="79" t="s">
        <v>371</v>
      </c>
      <c r="C240" s="79" t="s">
        <v>188</v>
      </c>
      <c r="D240" s="73" t="s">
        <v>102</v>
      </c>
      <c r="E240" s="73" t="s">
        <v>161</v>
      </c>
      <c r="F240" s="74">
        <v>135025</v>
      </c>
      <c r="G240" s="80">
        <v>0.13502500000000001</v>
      </c>
      <c r="H240" s="81" t="s">
        <v>94</v>
      </c>
      <c r="I240" s="81" t="s">
        <v>372</v>
      </c>
      <c r="J240" s="82" t="s">
        <v>373</v>
      </c>
    </row>
    <row r="241" spans="2:10" x14ac:dyDescent="0.3">
      <c r="B241" s="70" t="s">
        <v>371</v>
      </c>
      <c r="C241" s="70" t="s">
        <v>188</v>
      </c>
      <c r="D241" s="71" t="s">
        <v>96</v>
      </c>
      <c r="E241" s="71" t="s">
        <v>161</v>
      </c>
      <c r="F241" s="72">
        <v>2903445</v>
      </c>
      <c r="G241" s="83">
        <v>2.9034450000000001</v>
      </c>
      <c r="H241" s="84" t="s">
        <v>94</v>
      </c>
      <c r="I241" s="84" t="s">
        <v>372</v>
      </c>
      <c r="J241" s="84" t="s">
        <v>373</v>
      </c>
    </row>
    <row r="242" spans="2:10" x14ac:dyDescent="0.3">
      <c r="B242" s="79" t="s">
        <v>371</v>
      </c>
      <c r="C242" s="79" t="s">
        <v>188</v>
      </c>
      <c r="D242" s="73" t="s">
        <v>102</v>
      </c>
      <c r="E242" s="73" t="s">
        <v>161</v>
      </c>
      <c r="F242" s="74">
        <v>176867</v>
      </c>
      <c r="G242" s="80">
        <v>0.176867</v>
      </c>
      <c r="H242" s="81" t="s">
        <v>94</v>
      </c>
      <c r="I242" s="81" t="s">
        <v>372</v>
      </c>
      <c r="J242" s="82" t="s">
        <v>373</v>
      </c>
    </row>
    <row r="243" spans="2:10" x14ac:dyDescent="0.3">
      <c r="B243" s="70" t="s">
        <v>371</v>
      </c>
      <c r="C243" s="70" t="s">
        <v>188</v>
      </c>
      <c r="D243" s="71" t="s">
        <v>96</v>
      </c>
      <c r="E243" s="71" t="s">
        <v>161</v>
      </c>
      <c r="F243" s="72">
        <v>159800</v>
      </c>
      <c r="G243" s="83">
        <v>0.1598</v>
      </c>
      <c r="H243" s="84" t="s">
        <v>94</v>
      </c>
      <c r="I243" s="84" t="s">
        <v>372</v>
      </c>
      <c r="J243" s="84" t="s">
        <v>373</v>
      </c>
    </row>
    <row r="244" spans="2:10" x14ac:dyDescent="0.3">
      <c r="B244" s="79" t="s">
        <v>371</v>
      </c>
      <c r="C244" s="79" t="s">
        <v>188</v>
      </c>
      <c r="D244" s="73" t="s">
        <v>96</v>
      </c>
      <c r="E244" s="73" t="s">
        <v>161</v>
      </c>
      <c r="F244" s="74">
        <v>140400</v>
      </c>
      <c r="G244" s="80">
        <v>0.1404</v>
      </c>
      <c r="H244" s="81" t="s">
        <v>94</v>
      </c>
      <c r="I244" s="81" t="s">
        <v>372</v>
      </c>
      <c r="J244" s="82" t="s">
        <v>373</v>
      </c>
    </row>
    <row r="245" spans="2:10" x14ac:dyDescent="0.3">
      <c r="B245" s="70" t="s">
        <v>371</v>
      </c>
      <c r="C245" s="70" t="s">
        <v>188</v>
      </c>
      <c r="D245" s="71" t="s">
        <v>96</v>
      </c>
      <c r="E245" s="71" t="s">
        <v>161</v>
      </c>
      <c r="F245" s="72">
        <v>143900</v>
      </c>
      <c r="G245" s="83">
        <v>0.1439</v>
      </c>
      <c r="H245" s="84" t="s">
        <v>94</v>
      </c>
      <c r="I245" s="84" t="s">
        <v>372</v>
      </c>
      <c r="J245" s="84" t="s">
        <v>373</v>
      </c>
    </row>
    <row r="246" spans="2:10" x14ac:dyDescent="0.3">
      <c r="B246" s="79" t="s">
        <v>371</v>
      </c>
      <c r="C246" s="79" t="s">
        <v>188</v>
      </c>
      <c r="D246" s="73" t="s">
        <v>96</v>
      </c>
      <c r="E246" s="73" t="s">
        <v>161</v>
      </c>
      <c r="F246" s="74">
        <v>2736000</v>
      </c>
      <c r="G246" s="80">
        <v>2.7360000000000002</v>
      </c>
      <c r="H246" s="81" t="s">
        <v>94</v>
      </c>
      <c r="I246" s="81" t="s">
        <v>372</v>
      </c>
      <c r="J246" s="82" t="s">
        <v>373</v>
      </c>
    </row>
    <row r="247" spans="2:10" x14ac:dyDescent="0.3">
      <c r="B247" s="70" t="s">
        <v>371</v>
      </c>
      <c r="C247" s="70" t="s">
        <v>188</v>
      </c>
      <c r="D247" s="71" t="s">
        <v>96</v>
      </c>
      <c r="E247" s="71" t="s">
        <v>161</v>
      </c>
      <c r="F247" s="72">
        <v>146000</v>
      </c>
      <c r="G247" s="83">
        <v>0.14599999999999999</v>
      </c>
      <c r="H247" s="84" t="s">
        <v>94</v>
      </c>
      <c r="I247" s="84" t="s">
        <v>372</v>
      </c>
      <c r="J247" s="84" t="s">
        <v>373</v>
      </c>
    </row>
    <row r="248" spans="2:10" x14ac:dyDescent="0.3">
      <c r="B248" s="79" t="s">
        <v>371</v>
      </c>
      <c r="C248" s="79" t="s">
        <v>188</v>
      </c>
      <c r="D248" s="73" t="s">
        <v>96</v>
      </c>
      <c r="E248" s="73" t="s">
        <v>161</v>
      </c>
      <c r="F248" s="74">
        <v>2790595</v>
      </c>
      <c r="G248" s="80">
        <v>2.7905950000000002</v>
      </c>
      <c r="H248" s="81" t="s">
        <v>94</v>
      </c>
      <c r="I248" s="81" t="s">
        <v>372</v>
      </c>
      <c r="J248" s="82" t="s">
        <v>373</v>
      </c>
    </row>
    <row r="249" spans="2:10" x14ac:dyDescent="0.3">
      <c r="B249" s="70" t="s">
        <v>371</v>
      </c>
      <c r="C249" s="70" t="s">
        <v>188</v>
      </c>
      <c r="D249" s="71" t="s">
        <v>96</v>
      </c>
      <c r="E249" s="71" t="s">
        <v>161</v>
      </c>
      <c r="F249" s="72">
        <v>2906614</v>
      </c>
      <c r="G249" s="83">
        <v>2.9066139999999998</v>
      </c>
      <c r="H249" s="84" t="s">
        <v>94</v>
      </c>
      <c r="I249" s="84" t="s">
        <v>372</v>
      </c>
      <c r="J249" s="84" t="s">
        <v>373</v>
      </c>
    </row>
    <row r="250" spans="2:10" x14ac:dyDescent="0.3">
      <c r="B250" s="79" t="s">
        <v>371</v>
      </c>
      <c r="C250" s="79" t="s">
        <v>188</v>
      </c>
      <c r="D250" s="73" t="s">
        <v>102</v>
      </c>
      <c r="E250" s="73" t="s">
        <v>161</v>
      </c>
      <c r="F250" s="74">
        <v>245800</v>
      </c>
      <c r="G250" s="80">
        <v>0.24579999999999999</v>
      </c>
      <c r="H250" s="81" t="s">
        <v>94</v>
      </c>
      <c r="I250" s="81" t="s">
        <v>372</v>
      </c>
      <c r="J250" s="82" t="s">
        <v>373</v>
      </c>
    </row>
    <row r="251" spans="2:10" x14ac:dyDescent="0.3">
      <c r="B251" s="70" t="s">
        <v>371</v>
      </c>
      <c r="C251" s="70" t="s">
        <v>188</v>
      </c>
      <c r="D251" s="71" t="s">
        <v>96</v>
      </c>
      <c r="E251" s="71" t="s">
        <v>161</v>
      </c>
      <c r="F251" s="72">
        <v>6186789</v>
      </c>
      <c r="G251" s="83">
        <v>6.1867890000000001</v>
      </c>
      <c r="H251" s="84" t="s">
        <v>94</v>
      </c>
      <c r="I251" s="84" t="s">
        <v>372</v>
      </c>
      <c r="J251" s="84" t="s">
        <v>373</v>
      </c>
    </row>
    <row r="252" spans="2:10" x14ac:dyDescent="0.3">
      <c r="B252" s="79" t="s">
        <v>371</v>
      </c>
      <c r="C252" s="79" t="s">
        <v>188</v>
      </c>
      <c r="D252" s="73" t="s">
        <v>96</v>
      </c>
      <c r="E252" s="73" t="s">
        <v>161</v>
      </c>
      <c r="F252" s="74">
        <v>2194589</v>
      </c>
      <c r="G252" s="80">
        <v>2.1945890000000001</v>
      </c>
      <c r="H252" s="81" t="s">
        <v>94</v>
      </c>
      <c r="I252" s="81" t="s">
        <v>372</v>
      </c>
      <c r="J252" s="82" t="s">
        <v>373</v>
      </c>
    </row>
    <row r="253" spans="2:10" x14ac:dyDescent="0.3">
      <c r="B253" s="70" t="s">
        <v>371</v>
      </c>
      <c r="C253" s="70" t="s">
        <v>188</v>
      </c>
      <c r="D253" s="71" t="s">
        <v>96</v>
      </c>
      <c r="E253" s="71" t="s">
        <v>161</v>
      </c>
      <c r="F253" s="72">
        <v>148200</v>
      </c>
      <c r="G253" s="83">
        <v>0.1482</v>
      </c>
      <c r="H253" s="84" t="s">
        <v>94</v>
      </c>
      <c r="I253" s="84" t="s">
        <v>372</v>
      </c>
      <c r="J253" s="84" t="s">
        <v>373</v>
      </c>
    </row>
    <row r="254" spans="2:10" x14ac:dyDescent="0.3">
      <c r="B254" s="79" t="s">
        <v>371</v>
      </c>
      <c r="C254" s="79" t="s">
        <v>188</v>
      </c>
      <c r="D254" s="73" t="s">
        <v>96</v>
      </c>
      <c r="E254" s="73" t="s">
        <v>161</v>
      </c>
      <c r="F254" s="74">
        <v>3509657</v>
      </c>
      <c r="G254" s="80">
        <v>3.5096569999999998</v>
      </c>
      <c r="H254" s="81" t="s">
        <v>94</v>
      </c>
      <c r="I254" s="81" t="s">
        <v>372</v>
      </c>
      <c r="J254" s="82" t="s">
        <v>373</v>
      </c>
    </row>
    <row r="255" spans="2:10" x14ac:dyDescent="0.3">
      <c r="B255" s="70" t="s">
        <v>371</v>
      </c>
      <c r="C255" s="70" t="s">
        <v>188</v>
      </c>
      <c r="D255" s="71" t="s">
        <v>102</v>
      </c>
      <c r="E255" s="71" t="s">
        <v>161</v>
      </c>
      <c r="F255" s="72">
        <v>64262</v>
      </c>
      <c r="G255" s="83">
        <v>6.4262E-2</v>
      </c>
      <c r="H255" s="84" t="s">
        <v>94</v>
      </c>
      <c r="I255" s="84" t="s">
        <v>372</v>
      </c>
      <c r="J255" s="84" t="s">
        <v>373</v>
      </c>
    </row>
    <row r="256" spans="2:10" x14ac:dyDescent="0.3">
      <c r="B256" s="79" t="s">
        <v>371</v>
      </c>
      <c r="C256" s="79" t="s">
        <v>188</v>
      </c>
      <c r="D256" s="73" t="s">
        <v>102</v>
      </c>
      <c r="E256" s="73" t="s">
        <v>161</v>
      </c>
      <c r="F256" s="74">
        <v>238387</v>
      </c>
      <c r="G256" s="80">
        <v>0.23838699999999999</v>
      </c>
      <c r="H256" s="81" t="s">
        <v>94</v>
      </c>
      <c r="I256" s="81" t="s">
        <v>372</v>
      </c>
      <c r="J256" s="82" t="s">
        <v>373</v>
      </c>
    </row>
    <row r="257" spans="2:10" x14ac:dyDescent="0.3">
      <c r="B257" s="70" t="s">
        <v>371</v>
      </c>
      <c r="C257" s="70" t="s">
        <v>188</v>
      </c>
      <c r="D257" s="71" t="s">
        <v>96</v>
      </c>
      <c r="E257" s="71" t="s">
        <v>161</v>
      </c>
      <c r="F257" s="72">
        <v>125200</v>
      </c>
      <c r="G257" s="83">
        <v>0.12520000000000001</v>
      </c>
      <c r="H257" s="84" t="s">
        <v>94</v>
      </c>
      <c r="I257" s="84" t="s">
        <v>372</v>
      </c>
      <c r="J257" s="84" t="s">
        <v>373</v>
      </c>
    </row>
    <row r="258" spans="2:10" x14ac:dyDescent="0.3">
      <c r="B258" s="79" t="s">
        <v>371</v>
      </c>
      <c r="C258" s="79" t="s">
        <v>188</v>
      </c>
      <c r="D258" s="73" t="s">
        <v>96</v>
      </c>
      <c r="E258" s="73" t="s">
        <v>161</v>
      </c>
      <c r="F258" s="74">
        <v>149800</v>
      </c>
      <c r="G258" s="80">
        <v>0.14979999999999999</v>
      </c>
      <c r="H258" s="81" t="s">
        <v>94</v>
      </c>
      <c r="I258" s="81" t="s">
        <v>372</v>
      </c>
      <c r="J258" s="82" t="s">
        <v>373</v>
      </c>
    </row>
    <row r="259" spans="2:10" x14ac:dyDescent="0.3">
      <c r="B259" s="70" t="s">
        <v>371</v>
      </c>
      <c r="C259" s="70" t="s">
        <v>188</v>
      </c>
      <c r="D259" s="71" t="s">
        <v>96</v>
      </c>
      <c r="E259" s="71" t="s">
        <v>161</v>
      </c>
      <c r="F259" s="72">
        <v>529843</v>
      </c>
      <c r="G259" s="83">
        <v>0.52984299999999995</v>
      </c>
      <c r="H259" s="84" t="s">
        <v>94</v>
      </c>
      <c r="I259" s="84" t="s">
        <v>372</v>
      </c>
      <c r="J259" s="84" t="s">
        <v>373</v>
      </c>
    </row>
    <row r="260" spans="2:10" x14ac:dyDescent="0.3">
      <c r="B260" s="79" t="s">
        <v>371</v>
      </c>
      <c r="C260" s="79" t="s">
        <v>188</v>
      </c>
      <c r="D260" s="73" t="s">
        <v>96</v>
      </c>
      <c r="E260" s="73" t="s">
        <v>161</v>
      </c>
      <c r="F260" s="74">
        <v>774030</v>
      </c>
      <c r="G260" s="80">
        <v>0.77403</v>
      </c>
      <c r="H260" s="81" t="s">
        <v>94</v>
      </c>
      <c r="I260" s="81" t="s">
        <v>372</v>
      </c>
      <c r="J260" s="82" t="s">
        <v>373</v>
      </c>
    </row>
    <row r="261" spans="2:10" x14ac:dyDescent="0.3">
      <c r="B261" s="70" t="s">
        <v>371</v>
      </c>
      <c r="C261" s="70" t="s">
        <v>188</v>
      </c>
      <c r="D261" s="71" t="s">
        <v>102</v>
      </c>
      <c r="E261" s="71" t="s">
        <v>161</v>
      </c>
      <c r="F261" s="72">
        <v>214907</v>
      </c>
      <c r="G261" s="83">
        <v>0.21490699999999999</v>
      </c>
      <c r="H261" s="84" t="s">
        <v>94</v>
      </c>
      <c r="I261" s="84" t="s">
        <v>372</v>
      </c>
      <c r="J261" s="84" t="s">
        <v>373</v>
      </c>
    </row>
    <row r="262" spans="2:10" x14ac:dyDescent="0.3">
      <c r="B262" s="79" t="s">
        <v>371</v>
      </c>
      <c r="C262" s="79" t="s">
        <v>188</v>
      </c>
      <c r="D262" s="73" t="s">
        <v>96</v>
      </c>
      <c r="E262" s="73" t="s">
        <v>161</v>
      </c>
      <c r="F262" s="74">
        <v>109400</v>
      </c>
      <c r="G262" s="80">
        <v>0.1094</v>
      </c>
      <c r="H262" s="81" t="s">
        <v>94</v>
      </c>
      <c r="I262" s="81" t="s">
        <v>372</v>
      </c>
      <c r="J262" s="82" t="s">
        <v>373</v>
      </c>
    </row>
    <row r="263" spans="2:10" x14ac:dyDescent="0.3">
      <c r="B263" s="70" t="s">
        <v>371</v>
      </c>
      <c r="C263" s="70" t="s">
        <v>188</v>
      </c>
      <c r="D263" s="71" t="s">
        <v>102</v>
      </c>
      <c r="E263" s="71" t="s">
        <v>161</v>
      </c>
      <c r="F263" s="72">
        <v>137580</v>
      </c>
      <c r="G263" s="83">
        <v>0.13758000000000001</v>
      </c>
      <c r="H263" s="84" t="s">
        <v>94</v>
      </c>
      <c r="I263" s="84" t="s">
        <v>372</v>
      </c>
      <c r="J263" s="84" t="s">
        <v>373</v>
      </c>
    </row>
    <row r="264" spans="2:10" x14ac:dyDescent="0.3">
      <c r="B264" s="79" t="s">
        <v>371</v>
      </c>
      <c r="C264" s="79" t="s">
        <v>188</v>
      </c>
      <c r="D264" s="73" t="s">
        <v>96</v>
      </c>
      <c r="E264" s="73" t="s">
        <v>161</v>
      </c>
      <c r="F264" s="74">
        <v>759707</v>
      </c>
      <c r="G264" s="80">
        <v>0.75970700000000002</v>
      </c>
      <c r="H264" s="81" t="s">
        <v>94</v>
      </c>
      <c r="I264" s="81" t="s">
        <v>372</v>
      </c>
      <c r="J264" s="82" t="s">
        <v>373</v>
      </c>
    </row>
    <row r="265" spans="2:10" x14ac:dyDescent="0.3">
      <c r="B265" s="70" t="s">
        <v>371</v>
      </c>
      <c r="C265" s="70" t="s">
        <v>188</v>
      </c>
      <c r="D265" s="71" t="s">
        <v>102</v>
      </c>
      <c r="E265" s="71" t="s">
        <v>161</v>
      </c>
      <c r="F265" s="72">
        <v>98520</v>
      </c>
      <c r="G265" s="83">
        <v>9.8519999999999996E-2</v>
      </c>
      <c r="H265" s="84" t="s">
        <v>94</v>
      </c>
      <c r="I265" s="84" t="s">
        <v>372</v>
      </c>
      <c r="J265" s="84" t="s">
        <v>373</v>
      </c>
    </row>
    <row r="266" spans="2:10" x14ac:dyDescent="0.3">
      <c r="B266" s="79" t="s">
        <v>371</v>
      </c>
      <c r="C266" s="79" t="s">
        <v>188</v>
      </c>
      <c r="D266" s="73" t="s">
        <v>96</v>
      </c>
      <c r="E266" s="73" t="s">
        <v>161</v>
      </c>
      <c r="F266" s="74">
        <v>2643327</v>
      </c>
      <c r="G266" s="80">
        <v>2.6433270000000002</v>
      </c>
      <c r="H266" s="81" t="s">
        <v>94</v>
      </c>
      <c r="I266" s="81" t="s">
        <v>372</v>
      </c>
      <c r="J266" s="82" t="s">
        <v>373</v>
      </c>
    </row>
    <row r="267" spans="2:10" x14ac:dyDescent="0.3">
      <c r="B267" s="70" t="s">
        <v>371</v>
      </c>
      <c r="C267" s="70" t="s">
        <v>188</v>
      </c>
      <c r="D267" s="71" t="s">
        <v>96</v>
      </c>
      <c r="E267" s="71" t="s">
        <v>161</v>
      </c>
      <c r="F267" s="72">
        <v>2764233</v>
      </c>
      <c r="G267" s="83">
        <v>2.7642329999999999</v>
      </c>
      <c r="H267" s="84" t="s">
        <v>94</v>
      </c>
      <c r="I267" s="84" t="s">
        <v>372</v>
      </c>
      <c r="J267" s="84" t="s">
        <v>373</v>
      </c>
    </row>
    <row r="268" spans="2:10" x14ac:dyDescent="0.3">
      <c r="B268" s="79" t="s">
        <v>371</v>
      </c>
      <c r="C268" s="79" t="s">
        <v>188</v>
      </c>
      <c r="D268" s="73" t="s">
        <v>102</v>
      </c>
      <c r="E268" s="73" t="s">
        <v>161</v>
      </c>
      <c r="F268" s="74">
        <v>178300</v>
      </c>
      <c r="G268" s="80">
        <v>0.17829999999999999</v>
      </c>
      <c r="H268" s="81" t="s">
        <v>94</v>
      </c>
      <c r="I268" s="81" t="s">
        <v>372</v>
      </c>
      <c r="J268" s="82" t="s">
        <v>373</v>
      </c>
    </row>
    <row r="269" spans="2:10" x14ac:dyDescent="0.3">
      <c r="B269" s="70" t="s">
        <v>371</v>
      </c>
      <c r="C269" s="70" t="s">
        <v>188</v>
      </c>
      <c r="D269" s="71" t="s">
        <v>102</v>
      </c>
      <c r="E269" s="71" t="s">
        <v>161</v>
      </c>
      <c r="F269" s="72">
        <v>75720</v>
      </c>
      <c r="G269" s="83">
        <v>7.5719999999999996E-2</v>
      </c>
      <c r="H269" s="84" t="s">
        <v>94</v>
      </c>
      <c r="I269" s="84" t="s">
        <v>372</v>
      </c>
      <c r="J269" s="84" t="s">
        <v>373</v>
      </c>
    </row>
    <row r="270" spans="2:10" x14ac:dyDescent="0.3">
      <c r="B270" s="79" t="s">
        <v>371</v>
      </c>
      <c r="C270" s="79" t="s">
        <v>188</v>
      </c>
      <c r="D270" s="73" t="s">
        <v>96</v>
      </c>
      <c r="E270" s="73" t="s">
        <v>161</v>
      </c>
      <c r="F270" s="74">
        <v>148800</v>
      </c>
      <c r="G270" s="80">
        <v>0.14879999999999999</v>
      </c>
      <c r="H270" s="81" t="s">
        <v>94</v>
      </c>
      <c r="I270" s="81" t="s">
        <v>372</v>
      </c>
      <c r="J270" s="82" t="s">
        <v>373</v>
      </c>
    </row>
    <row r="271" spans="2:10" x14ac:dyDescent="0.3">
      <c r="B271" s="70" t="s">
        <v>371</v>
      </c>
      <c r="C271" s="70" t="s">
        <v>188</v>
      </c>
      <c r="D271" s="71" t="s">
        <v>102</v>
      </c>
      <c r="E271" s="71" t="s">
        <v>161</v>
      </c>
      <c r="F271" s="72">
        <v>319646</v>
      </c>
      <c r="G271" s="83">
        <v>0.31964599999999999</v>
      </c>
      <c r="H271" s="84" t="s">
        <v>94</v>
      </c>
      <c r="I271" s="84" t="s">
        <v>372</v>
      </c>
      <c r="J271" s="84" t="s">
        <v>373</v>
      </c>
    </row>
    <row r="272" spans="2:10" x14ac:dyDescent="0.3">
      <c r="B272" s="79" t="s">
        <v>371</v>
      </c>
      <c r="C272" s="79" t="s">
        <v>268</v>
      </c>
      <c r="D272" s="73" t="s">
        <v>96</v>
      </c>
      <c r="E272" s="73" t="s">
        <v>161</v>
      </c>
      <c r="F272" s="74">
        <v>11200</v>
      </c>
      <c r="G272" s="80">
        <v>1.12E-2</v>
      </c>
      <c r="H272" s="81" t="s">
        <v>94</v>
      </c>
      <c r="I272" s="81" t="s">
        <v>372</v>
      </c>
      <c r="J272" s="82" t="s">
        <v>373</v>
      </c>
    </row>
    <row r="273" spans="2:10" x14ac:dyDescent="0.3">
      <c r="B273" s="70" t="s">
        <v>371</v>
      </c>
      <c r="C273" s="70" t="s">
        <v>268</v>
      </c>
      <c r="D273" s="71" t="s">
        <v>96</v>
      </c>
      <c r="E273" s="71" t="s">
        <v>161</v>
      </c>
      <c r="F273" s="72">
        <v>17051</v>
      </c>
      <c r="G273" s="83">
        <v>1.7051E-2</v>
      </c>
      <c r="H273" s="84" t="s">
        <v>94</v>
      </c>
      <c r="I273" s="84" t="s">
        <v>372</v>
      </c>
      <c r="J273" s="84" t="s">
        <v>373</v>
      </c>
    </row>
    <row r="274" spans="2:10" x14ac:dyDescent="0.3">
      <c r="B274" s="79" t="s">
        <v>371</v>
      </c>
      <c r="C274" s="79" t="s">
        <v>268</v>
      </c>
      <c r="D274" s="73" t="s">
        <v>96</v>
      </c>
      <c r="E274" s="73" t="s">
        <v>161</v>
      </c>
      <c r="F274" s="74">
        <v>11200</v>
      </c>
      <c r="G274" s="80">
        <v>1.12E-2</v>
      </c>
      <c r="H274" s="81" t="s">
        <v>94</v>
      </c>
      <c r="I274" s="81" t="s">
        <v>372</v>
      </c>
      <c r="J274" s="82" t="s">
        <v>373</v>
      </c>
    </row>
    <row r="275" spans="2:10" x14ac:dyDescent="0.3">
      <c r="B275" s="70" t="s">
        <v>371</v>
      </c>
      <c r="C275" s="70" t="s">
        <v>268</v>
      </c>
      <c r="D275" s="71" t="s">
        <v>98</v>
      </c>
      <c r="E275" s="71" t="s">
        <v>161</v>
      </c>
      <c r="F275" s="72">
        <v>500000</v>
      </c>
      <c r="G275" s="83">
        <v>0.5</v>
      </c>
      <c r="H275" s="84" t="s">
        <v>94</v>
      </c>
      <c r="I275" s="84" t="s">
        <v>372</v>
      </c>
      <c r="J275" s="84" t="s">
        <v>373</v>
      </c>
    </row>
    <row r="276" spans="2:10" x14ac:dyDescent="0.3">
      <c r="B276" s="79" t="s">
        <v>371</v>
      </c>
      <c r="C276" s="79" t="s">
        <v>268</v>
      </c>
      <c r="D276" s="73" t="s">
        <v>98</v>
      </c>
      <c r="E276" s="73" t="s">
        <v>161</v>
      </c>
      <c r="F276" s="74">
        <v>-500000</v>
      </c>
      <c r="G276" s="80">
        <v>-0.5</v>
      </c>
      <c r="H276" s="81" t="s">
        <v>94</v>
      </c>
      <c r="I276" s="81" t="s">
        <v>372</v>
      </c>
      <c r="J276" s="82" t="s">
        <v>373</v>
      </c>
    </row>
    <row r="277" spans="2:10" x14ac:dyDescent="0.3">
      <c r="B277" s="70" t="s">
        <v>371</v>
      </c>
      <c r="C277" s="70" t="s">
        <v>268</v>
      </c>
      <c r="D277" s="71" t="s">
        <v>96</v>
      </c>
      <c r="E277" s="71" t="s">
        <v>161</v>
      </c>
      <c r="F277" s="72">
        <v>17051</v>
      </c>
      <c r="G277" s="83">
        <v>1.7051E-2</v>
      </c>
      <c r="H277" s="84" t="s">
        <v>94</v>
      </c>
      <c r="I277" s="84" t="s">
        <v>372</v>
      </c>
      <c r="J277" s="84" t="s">
        <v>373</v>
      </c>
    </row>
    <row r="278" spans="2:10" x14ac:dyDescent="0.3">
      <c r="B278" s="79" t="s">
        <v>371</v>
      </c>
      <c r="C278" s="79" t="s">
        <v>268</v>
      </c>
      <c r="D278" s="73" t="s">
        <v>96</v>
      </c>
      <c r="E278" s="73" t="s">
        <v>161</v>
      </c>
      <c r="F278" s="74">
        <v>3400</v>
      </c>
      <c r="G278" s="80">
        <v>3.3999999999999998E-3</v>
      </c>
      <c r="H278" s="81" t="s">
        <v>94</v>
      </c>
      <c r="I278" s="81" t="s">
        <v>372</v>
      </c>
      <c r="J278" s="82" t="s">
        <v>373</v>
      </c>
    </row>
    <row r="279" spans="2:10" x14ac:dyDescent="0.3">
      <c r="B279" s="70" t="s">
        <v>371</v>
      </c>
      <c r="C279" s="70" t="s">
        <v>268</v>
      </c>
      <c r="D279" s="71" t="s">
        <v>96</v>
      </c>
      <c r="E279" s="71" t="s">
        <v>161</v>
      </c>
      <c r="F279" s="72">
        <v>11200</v>
      </c>
      <c r="G279" s="83">
        <v>1.12E-2</v>
      </c>
      <c r="H279" s="84" t="s">
        <v>94</v>
      </c>
      <c r="I279" s="84" t="s">
        <v>372</v>
      </c>
      <c r="J279" s="84" t="s">
        <v>373</v>
      </c>
    </row>
    <row r="280" spans="2:10" x14ac:dyDescent="0.3">
      <c r="B280" s="79" t="s">
        <v>371</v>
      </c>
      <c r="C280" s="79" t="s">
        <v>268</v>
      </c>
      <c r="D280" s="73" t="s">
        <v>96</v>
      </c>
      <c r="E280" s="73" t="s">
        <v>161</v>
      </c>
      <c r="F280" s="74">
        <v>17051</v>
      </c>
      <c r="G280" s="80">
        <v>1.7051E-2</v>
      </c>
      <c r="H280" s="81" t="s">
        <v>94</v>
      </c>
      <c r="I280" s="81" t="s">
        <v>372</v>
      </c>
      <c r="J280" s="82" t="s">
        <v>373</v>
      </c>
    </row>
    <row r="281" spans="2:10" x14ac:dyDescent="0.3">
      <c r="B281" s="70" t="s">
        <v>371</v>
      </c>
      <c r="C281" s="70" t="s">
        <v>268</v>
      </c>
      <c r="D281" s="71" t="s">
        <v>96</v>
      </c>
      <c r="E281" s="71" t="s">
        <v>161</v>
      </c>
      <c r="F281" s="72">
        <v>11200</v>
      </c>
      <c r="G281" s="83">
        <v>1.12E-2</v>
      </c>
      <c r="H281" s="84" t="s">
        <v>94</v>
      </c>
      <c r="I281" s="84" t="s">
        <v>372</v>
      </c>
      <c r="J281" s="84" t="s">
        <v>373</v>
      </c>
    </row>
    <row r="282" spans="2:10" x14ac:dyDescent="0.3">
      <c r="B282" s="79" t="s">
        <v>371</v>
      </c>
      <c r="C282" s="79" t="s">
        <v>268</v>
      </c>
      <c r="D282" s="73" t="s">
        <v>96</v>
      </c>
      <c r="E282" s="73" t="s">
        <v>161</v>
      </c>
      <c r="F282" s="74">
        <v>11200</v>
      </c>
      <c r="G282" s="80">
        <v>1.12E-2</v>
      </c>
      <c r="H282" s="81" t="s">
        <v>94</v>
      </c>
      <c r="I282" s="81" t="s">
        <v>372</v>
      </c>
      <c r="J282" s="82" t="s">
        <v>373</v>
      </c>
    </row>
    <row r="283" spans="2:10" x14ac:dyDescent="0.3">
      <c r="B283" s="70" t="s">
        <v>371</v>
      </c>
      <c r="C283" s="70" t="s">
        <v>268</v>
      </c>
      <c r="D283" s="71" t="s">
        <v>96</v>
      </c>
      <c r="E283" s="71" t="s">
        <v>161</v>
      </c>
      <c r="F283" s="72">
        <v>17051</v>
      </c>
      <c r="G283" s="83">
        <v>1.7051E-2</v>
      </c>
      <c r="H283" s="84" t="s">
        <v>94</v>
      </c>
      <c r="I283" s="84" t="s">
        <v>372</v>
      </c>
      <c r="J283" s="84" t="s">
        <v>373</v>
      </c>
    </row>
    <row r="284" spans="2:10" x14ac:dyDescent="0.3">
      <c r="B284" s="79" t="s">
        <v>371</v>
      </c>
      <c r="C284" s="79" t="s">
        <v>268</v>
      </c>
      <c r="D284" s="73" t="s">
        <v>98</v>
      </c>
      <c r="E284" s="73" t="s">
        <v>161</v>
      </c>
      <c r="F284" s="74">
        <v>500000</v>
      </c>
      <c r="G284" s="80">
        <v>0.5</v>
      </c>
      <c r="H284" s="81" t="s">
        <v>94</v>
      </c>
      <c r="I284" s="81" t="s">
        <v>372</v>
      </c>
      <c r="J284" s="82" t="s">
        <v>373</v>
      </c>
    </row>
    <row r="285" spans="2:10" x14ac:dyDescent="0.3">
      <c r="B285" s="70" t="s">
        <v>371</v>
      </c>
      <c r="C285" s="70" t="s">
        <v>268</v>
      </c>
      <c r="D285" s="71" t="s">
        <v>96</v>
      </c>
      <c r="E285" s="71" t="s">
        <v>161</v>
      </c>
      <c r="F285" s="72">
        <v>3400</v>
      </c>
      <c r="G285" s="83">
        <v>3.3999999999999998E-3</v>
      </c>
      <c r="H285" s="84" t="s">
        <v>94</v>
      </c>
      <c r="I285" s="84" t="s">
        <v>372</v>
      </c>
      <c r="J285" s="84" t="s">
        <v>373</v>
      </c>
    </row>
    <row r="286" spans="2:10" x14ac:dyDescent="0.3">
      <c r="B286" s="79" t="s">
        <v>371</v>
      </c>
      <c r="C286" s="79" t="s">
        <v>268</v>
      </c>
      <c r="D286" s="73" t="s">
        <v>96</v>
      </c>
      <c r="E286" s="73" t="s">
        <v>161</v>
      </c>
      <c r="F286" s="74">
        <v>3400</v>
      </c>
      <c r="G286" s="80">
        <v>3.3999999999999998E-3</v>
      </c>
      <c r="H286" s="81" t="s">
        <v>94</v>
      </c>
      <c r="I286" s="81" t="s">
        <v>372</v>
      </c>
      <c r="J286" s="82" t="s">
        <v>373</v>
      </c>
    </row>
    <row r="287" spans="2:10" x14ac:dyDescent="0.3">
      <c r="B287" s="70" t="s">
        <v>371</v>
      </c>
      <c r="C287" s="70" t="s">
        <v>268</v>
      </c>
      <c r="D287" s="71" t="s">
        <v>96</v>
      </c>
      <c r="E287" s="71" t="s">
        <v>161</v>
      </c>
      <c r="F287" s="72">
        <v>17051</v>
      </c>
      <c r="G287" s="83">
        <v>1.7051E-2</v>
      </c>
      <c r="H287" s="84" t="s">
        <v>94</v>
      </c>
      <c r="I287" s="84" t="s">
        <v>372</v>
      </c>
      <c r="J287" s="84" t="s">
        <v>373</v>
      </c>
    </row>
    <row r="288" spans="2:10" x14ac:dyDescent="0.3">
      <c r="B288" s="79" t="s">
        <v>371</v>
      </c>
      <c r="C288" s="79" t="s">
        <v>268</v>
      </c>
      <c r="D288" s="73" t="s">
        <v>96</v>
      </c>
      <c r="E288" s="73" t="s">
        <v>161</v>
      </c>
      <c r="F288" s="74">
        <v>17051</v>
      </c>
      <c r="G288" s="80">
        <v>1.7051E-2</v>
      </c>
      <c r="H288" s="81" t="s">
        <v>94</v>
      </c>
      <c r="I288" s="81" t="s">
        <v>372</v>
      </c>
      <c r="J288" s="82" t="s">
        <v>373</v>
      </c>
    </row>
    <row r="289" spans="2:10" x14ac:dyDescent="0.3">
      <c r="B289" s="70" t="s">
        <v>371</v>
      </c>
      <c r="C289" s="70" t="s">
        <v>268</v>
      </c>
      <c r="D289" s="71" t="s">
        <v>96</v>
      </c>
      <c r="E289" s="71" t="s">
        <v>161</v>
      </c>
      <c r="F289" s="72">
        <v>3400</v>
      </c>
      <c r="G289" s="83">
        <v>3.3999999999999998E-3</v>
      </c>
      <c r="H289" s="84" t="s">
        <v>94</v>
      </c>
      <c r="I289" s="84" t="s">
        <v>372</v>
      </c>
      <c r="J289" s="84" t="s">
        <v>373</v>
      </c>
    </row>
    <row r="290" spans="2:10" x14ac:dyDescent="0.3">
      <c r="B290" s="79" t="s">
        <v>371</v>
      </c>
      <c r="C290" s="79" t="s">
        <v>268</v>
      </c>
      <c r="D290" s="73" t="s">
        <v>96</v>
      </c>
      <c r="E290" s="73" t="s">
        <v>161</v>
      </c>
      <c r="F290" s="74">
        <v>3400</v>
      </c>
      <c r="G290" s="80">
        <v>3.3999999999999998E-3</v>
      </c>
      <c r="H290" s="81" t="s">
        <v>94</v>
      </c>
      <c r="I290" s="81" t="s">
        <v>372</v>
      </c>
      <c r="J290" s="82" t="s">
        <v>373</v>
      </c>
    </row>
    <row r="291" spans="2:10" x14ac:dyDescent="0.3">
      <c r="B291" s="70" t="s">
        <v>371</v>
      </c>
      <c r="C291" s="70" t="s">
        <v>268</v>
      </c>
      <c r="D291" s="71" t="s">
        <v>96</v>
      </c>
      <c r="E291" s="71" t="s">
        <v>161</v>
      </c>
      <c r="F291" s="72">
        <v>11200</v>
      </c>
      <c r="G291" s="83">
        <v>1.12E-2</v>
      </c>
      <c r="H291" s="84" t="s">
        <v>94</v>
      </c>
      <c r="I291" s="84" t="s">
        <v>372</v>
      </c>
      <c r="J291" s="84" t="s">
        <v>373</v>
      </c>
    </row>
    <row r="292" spans="2:10" x14ac:dyDescent="0.3">
      <c r="B292" s="79" t="s">
        <v>371</v>
      </c>
      <c r="C292" s="79" t="s">
        <v>268</v>
      </c>
      <c r="D292" s="73" t="s">
        <v>96</v>
      </c>
      <c r="E292" s="73" t="s">
        <v>161</v>
      </c>
      <c r="F292" s="74">
        <v>3400</v>
      </c>
      <c r="G292" s="80">
        <v>3.3999999999999998E-3</v>
      </c>
      <c r="H292" s="81" t="s">
        <v>94</v>
      </c>
      <c r="I292" s="81" t="s">
        <v>372</v>
      </c>
      <c r="J292" s="82" t="s">
        <v>373</v>
      </c>
    </row>
    <row r="293" spans="2:10" x14ac:dyDescent="0.3">
      <c r="B293" s="70" t="s">
        <v>371</v>
      </c>
      <c r="C293" s="70" t="s">
        <v>202</v>
      </c>
      <c r="D293" s="71" t="s">
        <v>98</v>
      </c>
      <c r="E293" s="71" t="s">
        <v>161</v>
      </c>
      <c r="F293" s="72">
        <v>2324059</v>
      </c>
      <c r="G293" s="83">
        <v>2.3240590000000001</v>
      </c>
      <c r="H293" s="84" t="s">
        <v>94</v>
      </c>
      <c r="I293" s="84" t="s">
        <v>372</v>
      </c>
      <c r="J293" s="84" t="s">
        <v>373</v>
      </c>
    </row>
    <row r="294" spans="2:10" x14ac:dyDescent="0.3">
      <c r="B294" s="79" t="s">
        <v>371</v>
      </c>
      <c r="C294" s="79" t="s">
        <v>202</v>
      </c>
      <c r="D294" s="73" t="s">
        <v>96</v>
      </c>
      <c r="E294" s="73" t="s">
        <v>161</v>
      </c>
      <c r="F294" s="74">
        <v>37200</v>
      </c>
      <c r="G294" s="80">
        <v>3.7199999999999997E-2</v>
      </c>
      <c r="H294" s="81" t="s">
        <v>94</v>
      </c>
      <c r="I294" s="81" t="s">
        <v>372</v>
      </c>
      <c r="J294" s="82" t="s">
        <v>373</v>
      </c>
    </row>
    <row r="295" spans="2:10" x14ac:dyDescent="0.3">
      <c r="B295" s="70" t="s">
        <v>371</v>
      </c>
      <c r="C295" s="70" t="s">
        <v>202</v>
      </c>
      <c r="D295" s="71" t="s">
        <v>96</v>
      </c>
      <c r="E295" s="71" t="s">
        <v>161</v>
      </c>
      <c r="F295" s="72">
        <v>37200</v>
      </c>
      <c r="G295" s="83">
        <v>3.7199999999999997E-2</v>
      </c>
      <c r="H295" s="84" t="s">
        <v>94</v>
      </c>
      <c r="I295" s="84" t="s">
        <v>372</v>
      </c>
      <c r="J295" s="84" t="s">
        <v>373</v>
      </c>
    </row>
    <row r="296" spans="2:10" x14ac:dyDescent="0.3">
      <c r="B296" s="79" t="s">
        <v>371</v>
      </c>
      <c r="C296" s="79" t="s">
        <v>202</v>
      </c>
      <c r="D296" s="73" t="s">
        <v>96</v>
      </c>
      <c r="E296" s="73" t="s">
        <v>161</v>
      </c>
      <c r="F296" s="74">
        <v>136267</v>
      </c>
      <c r="G296" s="80">
        <v>0.136267</v>
      </c>
      <c r="H296" s="81" t="s">
        <v>94</v>
      </c>
      <c r="I296" s="81" t="s">
        <v>372</v>
      </c>
      <c r="J296" s="82" t="s">
        <v>373</v>
      </c>
    </row>
    <row r="297" spans="2:10" x14ac:dyDescent="0.3">
      <c r="B297" s="70" t="s">
        <v>371</v>
      </c>
      <c r="C297" s="70" t="s">
        <v>202</v>
      </c>
      <c r="D297" s="71" t="s">
        <v>96</v>
      </c>
      <c r="E297" s="71" t="s">
        <v>161</v>
      </c>
      <c r="F297" s="72">
        <v>37200</v>
      </c>
      <c r="G297" s="83">
        <v>3.7199999999999997E-2</v>
      </c>
      <c r="H297" s="84" t="s">
        <v>94</v>
      </c>
      <c r="I297" s="84" t="s">
        <v>372</v>
      </c>
      <c r="J297" s="84" t="s">
        <v>373</v>
      </c>
    </row>
    <row r="298" spans="2:10" x14ac:dyDescent="0.3">
      <c r="B298" s="79" t="s">
        <v>371</v>
      </c>
      <c r="C298" s="79" t="s">
        <v>202</v>
      </c>
      <c r="D298" s="73" t="s">
        <v>96</v>
      </c>
      <c r="E298" s="73" t="s">
        <v>161</v>
      </c>
      <c r="F298" s="74">
        <v>446397</v>
      </c>
      <c r="G298" s="80">
        <v>0.44639699999999999</v>
      </c>
      <c r="H298" s="81" t="s">
        <v>94</v>
      </c>
      <c r="I298" s="81" t="s">
        <v>372</v>
      </c>
      <c r="J298" s="82" t="s">
        <v>373</v>
      </c>
    </row>
    <row r="299" spans="2:10" x14ac:dyDescent="0.3">
      <c r="B299" s="70" t="s">
        <v>371</v>
      </c>
      <c r="C299" s="70" t="s">
        <v>202</v>
      </c>
      <c r="D299" s="71" t="s">
        <v>96</v>
      </c>
      <c r="E299" s="71" t="s">
        <v>161</v>
      </c>
      <c r="F299" s="72">
        <v>8000</v>
      </c>
      <c r="G299" s="83">
        <v>8.0000000000000002E-3</v>
      </c>
      <c r="H299" s="84" t="s">
        <v>94</v>
      </c>
      <c r="I299" s="84" t="s">
        <v>372</v>
      </c>
      <c r="J299" s="84" t="s">
        <v>373</v>
      </c>
    </row>
    <row r="300" spans="2:10" x14ac:dyDescent="0.3">
      <c r="B300" s="79" t="s">
        <v>371</v>
      </c>
      <c r="C300" s="79" t="s">
        <v>202</v>
      </c>
      <c r="D300" s="73" t="s">
        <v>102</v>
      </c>
      <c r="E300" s="73" t="s">
        <v>161</v>
      </c>
      <c r="F300" s="74">
        <v>26579</v>
      </c>
      <c r="G300" s="80">
        <v>2.6578999999999998E-2</v>
      </c>
      <c r="H300" s="81" t="s">
        <v>94</v>
      </c>
      <c r="I300" s="81" t="s">
        <v>372</v>
      </c>
      <c r="J300" s="82" t="s">
        <v>373</v>
      </c>
    </row>
    <row r="301" spans="2:10" x14ac:dyDescent="0.3">
      <c r="B301" s="70" t="s">
        <v>371</v>
      </c>
      <c r="C301" s="70" t="s">
        <v>202</v>
      </c>
      <c r="D301" s="71" t="s">
        <v>96</v>
      </c>
      <c r="E301" s="71" t="s">
        <v>161</v>
      </c>
      <c r="F301" s="72">
        <v>638656</v>
      </c>
      <c r="G301" s="83">
        <v>0.638656</v>
      </c>
      <c r="H301" s="84" t="s">
        <v>94</v>
      </c>
      <c r="I301" s="84" t="s">
        <v>372</v>
      </c>
      <c r="J301" s="84" t="s">
        <v>373</v>
      </c>
    </row>
    <row r="302" spans="2:10" x14ac:dyDescent="0.3">
      <c r="B302" s="79" t="s">
        <v>371</v>
      </c>
      <c r="C302" s="79" t="s">
        <v>202</v>
      </c>
      <c r="D302" s="73" t="s">
        <v>96</v>
      </c>
      <c r="E302" s="73" t="s">
        <v>161</v>
      </c>
      <c r="F302" s="74">
        <v>996548</v>
      </c>
      <c r="G302" s="80">
        <v>0.99654799999999999</v>
      </c>
      <c r="H302" s="81" t="s">
        <v>94</v>
      </c>
      <c r="I302" s="81" t="s">
        <v>372</v>
      </c>
      <c r="J302" s="82" t="s">
        <v>373</v>
      </c>
    </row>
    <row r="303" spans="2:10" x14ac:dyDescent="0.3">
      <c r="B303" s="70" t="s">
        <v>371</v>
      </c>
      <c r="C303" s="70" t="s">
        <v>202</v>
      </c>
      <c r="D303" s="71" t="s">
        <v>96</v>
      </c>
      <c r="E303" s="71" t="s">
        <v>161</v>
      </c>
      <c r="F303" s="72">
        <v>96000</v>
      </c>
      <c r="G303" s="83">
        <v>9.6000000000000002E-2</v>
      </c>
      <c r="H303" s="84" t="s">
        <v>94</v>
      </c>
      <c r="I303" s="84" t="s">
        <v>372</v>
      </c>
      <c r="J303" s="84" t="s">
        <v>373</v>
      </c>
    </row>
    <row r="304" spans="2:10" x14ac:dyDescent="0.3">
      <c r="B304" s="79" t="s">
        <v>371</v>
      </c>
      <c r="C304" s="79" t="s">
        <v>202</v>
      </c>
      <c r="D304" s="73" t="s">
        <v>102</v>
      </c>
      <c r="E304" s="73" t="s">
        <v>161</v>
      </c>
      <c r="F304" s="74">
        <v>26579</v>
      </c>
      <c r="G304" s="80">
        <v>2.6578999999999998E-2</v>
      </c>
      <c r="H304" s="81" t="s">
        <v>94</v>
      </c>
      <c r="I304" s="81" t="s">
        <v>372</v>
      </c>
      <c r="J304" s="82" t="s">
        <v>373</v>
      </c>
    </row>
    <row r="305" spans="2:10" x14ac:dyDescent="0.3">
      <c r="B305" s="70" t="s">
        <v>371</v>
      </c>
      <c r="C305" s="70" t="s">
        <v>202</v>
      </c>
      <c r="D305" s="71" t="s">
        <v>102</v>
      </c>
      <c r="E305" s="71" t="s">
        <v>161</v>
      </c>
      <c r="F305" s="72">
        <v>318947</v>
      </c>
      <c r="G305" s="83">
        <v>0.31894699999999998</v>
      </c>
      <c r="H305" s="84" t="s">
        <v>94</v>
      </c>
      <c r="I305" s="84" t="s">
        <v>372</v>
      </c>
      <c r="J305" s="84" t="s">
        <v>373</v>
      </c>
    </row>
    <row r="306" spans="2:10" x14ac:dyDescent="0.3">
      <c r="B306" s="79" t="s">
        <v>371</v>
      </c>
      <c r="C306" s="79" t="s">
        <v>202</v>
      </c>
      <c r="D306" s="73" t="s">
        <v>96</v>
      </c>
      <c r="E306" s="73" t="s">
        <v>161</v>
      </c>
      <c r="F306" s="74">
        <v>9000</v>
      </c>
      <c r="G306" s="80">
        <v>8.9999999999999993E-3</v>
      </c>
      <c r="H306" s="81" t="s">
        <v>94</v>
      </c>
      <c r="I306" s="81" t="s">
        <v>372</v>
      </c>
      <c r="J306" s="82" t="s">
        <v>373</v>
      </c>
    </row>
    <row r="307" spans="2:10" x14ac:dyDescent="0.3">
      <c r="B307" s="70" t="s">
        <v>371</v>
      </c>
      <c r="C307" s="70" t="s">
        <v>202</v>
      </c>
      <c r="D307" s="71" t="s">
        <v>96</v>
      </c>
      <c r="E307" s="71" t="s">
        <v>161</v>
      </c>
      <c r="F307" s="72">
        <v>8000</v>
      </c>
      <c r="G307" s="83">
        <v>8.0000000000000002E-3</v>
      </c>
      <c r="H307" s="84" t="s">
        <v>94</v>
      </c>
      <c r="I307" s="84" t="s">
        <v>372</v>
      </c>
      <c r="J307" s="84" t="s">
        <v>373</v>
      </c>
    </row>
    <row r="308" spans="2:10" x14ac:dyDescent="0.3">
      <c r="B308" s="79" t="s">
        <v>371</v>
      </c>
      <c r="C308" s="79" t="s">
        <v>202</v>
      </c>
      <c r="D308" s="73" t="s">
        <v>96</v>
      </c>
      <c r="E308" s="73" t="s">
        <v>161</v>
      </c>
      <c r="F308" s="74">
        <v>8000</v>
      </c>
      <c r="G308" s="80">
        <v>8.0000000000000002E-3</v>
      </c>
      <c r="H308" s="81" t="s">
        <v>94</v>
      </c>
      <c r="I308" s="81" t="s">
        <v>372</v>
      </c>
      <c r="J308" s="82" t="s">
        <v>373</v>
      </c>
    </row>
    <row r="309" spans="2:10" x14ac:dyDescent="0.3">
      <c r="B309" s="70" t="s">
        <v>371</v>
      </c>
      <c r="C309" s="70" t="s">
        <v>202</v>
      </c>
      <c r="D309" s="71" t="s">
        <v>96</v>
      </c>
      <c r="E309" s="71" t="s">
        <v>161</v>
      </c>
      <c r="F309" s="72">
        <v>8000</v>
      </c>
      <c r="G309" s="83">
        <v>8.0000000000000002E-3</v>
      </c>
      <c r="H309" s="84" t="s">
        <v>94</v>
      </c>
      <c r="I309" s="84" t="s">
        <v>372</v>
      </c>
      <c r="J309" s="84" t="s">
        <v>373</v>
      </c>
    </row>
    <row r="310" spans="2:10" x14ac:dyDescent="0.3">
      <c r="B310" s="79" t="s">
        <v>371</v>
      </c>
      <c r="C310" s="79" t="s">
        <v>202</v>
      </c>
      <c r="D310" s="73" t="s">
        <v>96</v>
      </c>
      <c r="E310" s="73" t="s">
        <v>161</v>
      </c>
      <c r="F310" s="74">
        <v>8000</v>
      </c>
      <c r="G310" s="80">
        <v>8.0000000000000002E-3</v>
      </c>
      <c r="H310" s="81" t="s">
        <v>94</v>
      </c>
      <c r="I310" s="81" t="s">
        <v>372</v>
      </c>
      <c r="J310" s="82" t="s">
        <v>373</v>
      </c>
    </row>
    <row r="311" spans="2:10" x14ac:dyDescent="0.3">
      <c r="B311" s="70" t="s">
        <v>371</v>
      </c>
      <c r="C311" s="70" t="s">
        <v>202</v>
      </c>
      <c r="D311" s="71" t="s">
        <v>102</v>
      </c>
      <c r="E311" s="71" t="s">
        <v>161</v>
      </c>
      <c r="F311" s="72">
        <v>26579</v>
      </c>
      <c r="G311" s="83">
        <v>2.6578999999999998E-2</v>
      </c>
      <c r="H311" s="84" t="s">
        <v>94</v>
      </c>
      <c r="I311" s="84" t="s">
        <v>372</v>
      </c>
      <c r="J311" s="84" t="s">
        <v>373</v>
      </c>
    </row>
    <row r="312" spans="2:10" x14ac:dyDescent="0.3">
      <c r="B312" s="79" t="s">
        <v>371</v>
      </c>
      <c r="C312" s="79" t="s">
        <v>202</v>
      </c>
      <c r="D312" s="73" t="s">
        <v>96</v>
      </c>
      <c r="E312" s="73" t="s">
        <v>161</v>
      </c>
      <c r="F312" s="74">
        <v>9000</v>
      </c>
      <c r="G312" s="80">
        <v>8.9999999999999993E-3</v>
      </c>
      <c r="H312" s="81" t="s">
        <v>94</v>
      </c>
      <c r="I312" s="81" t="s">
        <v>372</v>
      </c>
      <c r="J312" s="82" t="s">
        <v>373</v>
      </c>
    </row>
    <row r="313" spans="2:10" x14ac:dyDescent="0.3">
      <c r="B313" s="70" t="s">
        <v>371</v>
      </c>
      <c r="C313" s="70" t="s">
        <v>202</v>
      </c>
      <c r="D313" s="71" t="s">
        <v>102</v>
      </c>
      <c r="E313" s="71" t="s">
        <v>161</v>
      </c>
      <c r="F313" s="72">
        <v>42329</v>
      </c>
      <c r="G313" s="83">
        <v>4.2328999999999999E-2</v>
      </c>
      <c r="H313" s="84" t="s">
        <v>94</v>
      </c>
      <c r="I313" s="84" t="s">
        <v>372</v>
      </c>
      <c r="J313" s="84" t="s">
        <v>373</v>
      </c>
    </row>
    <row r="314" spans="2:10" x14ac:dyDescent="0.3">
      <c r="B314" s="79" t="s">
        <v>371</v>
      </c>
      <c r="C314" s="79" t="s">
        <v>202</v>
      </c>
      <c r="D314" s="73" t="s">
        <v>102</v>
      </c>
      <c r="E314" s="73" t="s">
        <v>161</v>
      </c>
      <c r="F314" s="74">
        <v>26579</v>
      </c>
      <c r="G314" s="80">
        <v>2.6578999999999998E-2</v>
      </c>
      <c r="H314" s="81" t="s">
        <v>94</v>
      </c>
      <c r="I314" s="81" t="s">
        <v>372</v>
      </c>
      <c r="J314" s="82" t="s">
        <v>373</v>
      </c>
    </row>
    <row r="315" spans="2:10" x14ac:dyDescent="0.3">
      <c r="B315" s="70" t="s">
        <v>371</v>
      </c>
      <c r="C315" s="70" t="s">
        <v>202</v>
      </c>
      <c r="D315" s="71" t="s">
        <v>96</v>
      </c>
      <c r="E315" s="71" t="s">
        <v>161</v>
      </c>
      <c r="F315" s="72">
        <v>425288</v>
      </c>
      <c r="G315" s="83">
        <v>0.425288</v>
      </c>
      <c r="H315" s="84" t="s">
        <v>94</v>
      </c>
      <c r="I315" s="84" t="s">
        <v>372</v>
      </c>
      <c r="J315" s="84" t="s">
        <v>373</v>
      </c>
    </row>
    <row r="316" spans="2:10" x14ac:dyDescent="0.3">
      <c r="B316" s="79" t="s">
        <v>371</v>
      </c>
      <c r="C316" s="79" t="s">
        <v>202</v>
      </c>
      <c r="D316" s="73" t="s">
        <v>102</v>
      </c>
      <c r="E316" s="73" t="s">
        <v>161</v>
      </c>
      <c r="F316" s="74">
        <v>26579</v>
      </c>
      <c r="G316" s="80">
        <v>2.6578999999999998E-2</v>
      </c>
      <c r="H316" s="81" t="s">
        <v>94</v>
      </c>
      <c r="I316" s="81" t="s">
        <v>372</v>
      </c>
      <c r="J316" s="82" t="s">
        <v>373</v>
      </c>
    </row>
    <row r="317" spans="2:10" x14ac:dyDescent="0.3">
      <c r="B317" s="70" t="s">
        <v>371</v>
      </c>
      <c r="C317" s="70" t="s">
        <v>202</v>
      </c>
      <c r="D317" s="71" t="s">
        <v>96</v>
      </c>
      <c r="E317" s="71" t="s">
        <v>161</v>
      </c>
      <c r="F317" s="72">
        <v>8000</v>
      </c>
      <c r="G317" s="83">
        <v>8.0000000000000002E-3</v>
      </c>
      <c r="H317" s="84" t="s">
        <v>94</v>
      </c>
      <c r="I317" s="84" t="s">
        <v>372</v>
      </c>
      <c r="J317" s="84" t="s">
        <v>373</v>
      </c>
    </row>
    <row r="318" spans="2:10" x14ac:dyDescent="0.3">
      <c r="B318" s="79" t="s">
        <v>371</v>
      </c>
      <c r="C318" s="79" t="s">
        <v>202</v>
      </c>
      <c r="D318" s="73" t="s">
        <v>96</v>
      </c>
      <c r="E318" s="73" t="s">
        <v>161</v>
      </c>
      <c r="F318" s="74">
        <v>8000</v>
      </c>
      <c r="G318" s="80">
        <v>8.0000000000000002E-3</v>
      </c>
      <c r="H318" s="81" t="s">
        <v>94</v>
      </c>
      <c r="I318" s="81" t="s">
        <v>372</v>
      </c>
      <c r="J318" s="82" t="s">
        <v>373</v>
      </c>
    </row>
    <row r="319" spans="2:10" x14ac:dyDescent="0.3">
      <c r="B319" s="70" t="s">
        <v>371</v>
      </c>
      <c r="C319" s="70" t="s">
        <v>202</v>
      </c>
      <c r="D319" s="71" t="s">
        <v>96</v>
      </c>
      <c r="E319" s="71" t="s">
        <v>161</v>
      </c>
      <c r="F319" s="72">
        <v>136267</v>
      </c>
      <c r="G319" s="83">
        <v>0.136267</v>
      </c>
      <c r="H319" s="84" t="s">
        <v>94</v>
      </c>
      <c r="I319" s="84" t="s">
        <v>372</v>
      </c>
      <c r="J319" s="84" t="s">
        <v>373</v>
      </c>
    </row>
    <row r="320" spans="2:10" x14ac:dyDescent="0.3">
      <c r="B320" s="79" t="s">
        <v>371</v>
      </c>
      <c r="C320" s="79" t="s">
        <v>202</v>
      </c>
      <c r="D320" s="73" t="s">
        <v>96</v>
      </c>
      <c r="E320" s="73" t="s">
        <v>161</v>
      </c>
      <c r="F320" s="74">
        <v>136267</v>
      </c>
      <c r="G320" s="80">
        <v>0.136267</v>
      </c>
      <c r="H320" s="81" t="s">
        <v>94</v>
      </c>
      <c r="I320" s="81" t="s">
        <v>372</v>
      </c>
      <c r="J320" s="82" t="s">
        <v>373</v>
      </c>
    </row>
    <row r="321" spans="2:10" x14ac:dyDescent="0.3">
      <c r="B321" s="70" t="s">
        <v>371</v>
      </c>
      <c r="C321" s="70" t="s">
        <v>202</v>
      </c>
      <c r="D321" s="71" t="s">
        <v>96</v>
      </c>
      <c r="E321" s="71" t="s">
        <v>161</v>
      </c>
      <c r="F321" s="72">
        <v>136267</v>
      </c>
      <c r="G321" s="83">
        <v>0.136267</v>
      </c>
      <c r="H321" s="84" t="s">
        <v>94</v>
      </c>
      <c r="I321" s="84" t="s">
        <v>372</v>
      </c>
      <c r="J321" s="84" t="s">
        <v>373</v>
      </c>
    </row>
    <row r="322" spans="2:10" x14ac:dyDescent="0.3">
      <c r="B322" s="79" t="s">
        <v>371</v>
      </c>
      <c r="C322" s="79" t="s">
        <v>202</v>
      </c>
      <c r="D322" s="73" t="s">
        <v>96</v>
      </c>
      <c r="E322" s="73" t="s">
        <v>161</v>
      </c>
      <c r="F322" s="74">
        <v>70198</v>
      </c>
      <c r="G322" s="80">
        <v>7.0197999999999997E-2</v>
      </c>
      <c r="H322" s="81" t="s">
        <v>94</v>
      </c>
      <c r="I322" s="81" t="s">
        <v>372</v>
      </c>
      <c r="J322" s="82" t="s">
        <v>373</v>
      </c>
    </row>
    <row r="323" spans="2:10" x14ac:dyDescent="0.3">
      <c r="B323" s="70" t="s">
        <v>371</v>
      </c>
      <c r="C323" s="70" t="s">
        <v>202</v>
      </c>
      <c r="D323" s="71" t="s">
        <v>96</v>
      </c>
      <c r="E323" s="71" t="s">
        <v>161</v>
      </c>
      <c r="F323" s="72">
        <v>70198</v>
      </c>
      <c r="G323" s="83">
        <v>7.0197999999999997E-2</v>
      </c>
      <c r="H323" s="84" t="s">
        <v>94</v>
      </c>
      <c r="I323" s="84" t="s">
        <v>372</v>
      </c>
      <c r="J323" s="84" t="s">
        <v>373</v>
      </c>
    </row>
    <row r="324" spans="2:10" x14ac:dyDescent="0.3">
      <c r="B324" s="79" t="s">
        <v>371</v>
      </c>
      <c r="C324" s="79" t="s">
        <v>202</v>
      </c>
      <c r="D324" s="73" t="s">
        <v>96</v>
      </c>
      <c r="E324" s="73" t="s">
        <v>161</v>
      </c>
      <c r="F324" s="74">
        <v>37200</v>
      </c>
      <c r="G324" s="80">
        <v>3.7199999999999997E-2</v>
      </c>
      <c r="H324" s="81" t="s">
        <v>94</v>
      </c>
      <c r="I324" s="81" t="s">
        <v>372</v>
      </c>
      <c r="J324" s="82" t="s">
        <v>373</v>
      </c>
    </row>
    <row r="325" spans="2:10" x14ac:dyDescent="0.3">
      <c r="B325" s="70" t="s">
        <v>371</v>
      </c>
      <c r="C325" s="70" t="s">
        <v>202</v>
      </c>
      <c r="D325" s="71" t="s">
        <v>96</v>
      </c>
      <c r="E325" s="71" t="s">
        <v>161</v>
      </c>
      <c r="F325" s="72">
        <v>136267</v>
      </c>
      <c r="G325" s="83">
        <v>0.136267</v>
      </c>
      <c r="H325" s="84" t="s">
        <v>94</v>
      </c>
      <c r="I325" s="84" t="s">
        <v>372</v>
      </c>
      <c r="J325" s="84" t="s">
        <v>373</v>
      </c>
    </row>
    <row r="326" spans="2:10" x14ac:dyDescent="0.3">
      <c r="B326" s="79" t="s">
        <v>371</v>
      </c>
      <c r="C326" s="79" t="s">
        <v>202</v>
      </c>
      <c r="D326" s="73" t="s">
        <v>96</v>
      </c>
      <c r="E326" s="73" t="s">
        <v>161</v>
      </c>
      <c r="F326" s="74">
        <v>136267</v>
      </c>
      <c r="G326" s="80">
        <v>0.136267</v>
      </c>
      <c r="H326" s="81" t="s">
        <v>94</v>
      </c>
      <c r="I326" s="81" t="s">
        <v>372</v>
      </c>
      <c r="J326" s="82" t="s">
        <v>373</v>
      </c>
    </row>
    <row r="327" spans="2:10" x14ac:dyDescent="0.3">
      <c r="B327" s="70" t="s">
        <v>371</v>
      </c>
      <c r="C327" s="70" t="s">
        <v>202</v>
      </c>
      <c r="D327" s="71" t="s">
        <v>96</v>
      </c>
      <c r="E327" s="71" t="s">
        <v>161</v>
      </c>
      <c r="F327" s="72">
        <v>136267</v>
      </c>
      <c r="G327" s="83">
        <v>0.136267</v>
      </c>
      <c r="H327" s="84" t="s">
        <v>94</v>
      </c>
      <c r="I327" s="84" t="s">
        <v>372</v>
      </c>
      <c r="J327" s="84" t="s">
        <v>373</v>
      </c>
    </row>
    <row r="328" spans="2:10" x14ac:dyDescent="0.3">
      <c r="B328" s="79" t="s">
        <v>371</v>
      </c>
      <c r="C328" s="79" t="s">
        <v>202</v>
      </c>
      <c r="D328" s="73" t="s">
        <v>96</v>
      </c>
      <c r="E328" s="73" t="s">
        <v>161</v>
      </c>
      <c r="F328" s="74">
        <v>37200</v>
      </c>
      <c r="G328" s="80">
        <v>3.7199999999999997E-2</v>
      </c>
      <c r="H328" s="81" t="s">
        <v>94</v>
      </c>
      <c r="I328" s="81" t="s">
        <v>372</v>
      </c>
      <c r="J328" s="82" t="s">
        <v>373</v>
      </c>
    </row>
    <row r="329" spans="2:10" x14ac:dyDescent="0.3">
      <c r="B329" s="70" t="s">
        <v>371</v>
      </c>
      <c r="C329" s="70" t="s">
        <v>202</v>
      </c>
      <c r="D329" s="71" t="s">
        <v>96</v>
      </c>
      <c r="E329" s="71" t="s">
        <v>161</v>
      </c>
      <c r="F329" s="72">
        <v>37200</v>
      </c>
      <c r="G329" s="83">
        <v>3.7199999999999997E-2</v>
      </c>
      <c r="H329" s="84" t="s">
        <v>94</v>
      </c>
      <c r="I329" s="84" t="s">
        <v>372</v>
      </c>
      <c r="J329" s="84" t="s">
        <v>373</v>
      </c>
    </row>
    <row r="330" spans="2:10" x14ac:dyDescent="0.3">
      <c r="B330" s="79" t="s">
        <v>371</v>
      </c>
      <c r="C330" s="79" t="s">
        <v>202</v>
      </c>
      <c r="D330" s="73" t="s">
        <v>96</v>
      </c>
      <c r="E330" s="73" t="s">
        <v>161</v>
      </c>
      <c r="F330" s="74">
        <v>37200</v>
      </c>
      <c r="G330" s="80">
        <v>3.7199999999999997E-2</v>
      </c>
      <c r="H330" s="81" t="s">
        <v>94</v>
      </c>
      <c r="I330" s="81" t="s">
        <v>372</v>
      </c>
      <c r="J330" s="82" t="s">
        <v>373</v>
      </c>
    </row>
    <row r="331" spans="2:10" x14ac:dyDescent="0.3">
      <c r="B331" s="70" t="s">
        <v>371</v>
      </c>
      <c r="C331" s="70" t="s">
        <v>202</v>
      </c>
      <c r="D331" s="71" t="s">
        <v>96</v>
      </c>
      <c r="E331" s="71" t="s">
        <v>161</v>
      </c>
      <c r="F331" s="72">
        <v>425288</v>
      </c>
      <c r="G331" s="83">
        <v>0.425288</v>
      </c>
      <c r="H331" s="84" t="s">
        <v>94</v>
      </c>
      <c r="I331" s="84" t="s">
        <v>372</v>
      </c>
      <c r="J331" s="84" t="s">
        <v>373</v>
      </c>
    </row>
    <row r="332" spans="2:10" x14ac:dyDescent="0.3">
      <c r="B332" s="79" t="s">
        <v>371</v>
      </c>
      <c r="C332" s="79" t="s">
        <v>202</v>
      </c>
      <c r="D332" s="73" t="s">
        <v>102</v>
      </c>
      <c r="E332" s="73" t="s">
        <v>161</v>
      </c>
      <c r="F332" s="74">
        <v>26579</v>
      </c>
      <c r="G332" s="80">
        <v>2.6578999999999998E-2</v>
      </c>
      <c r="H332" s="81" t="s">
        <v>94</v>
      </c>
      <c r="I332" s="81" t="s">
        <v>372</v>
      </c>
      <c r="J332" s="82" t="s">
        <v>373</v>
      </c>
    </row>
    <row r="333" spans="2:10" x14ac:dyDescent="0.3">
      <c r="B333" s="70" t="s">
        <v>371</v>
      </c>
      <c r="C333" s="70" t="s">
        <v>202</v>
      </c>
      <c r="D333" s="71" t="s">
        <v>98</v>
      </c>
      <c r="E333" s="71" t="s">
        <v>161</v>
      </c>
      <c r="F333" s="72">
        <v>6997500</v>
      </c>
      <c r="G333" s="83">
        <v>6.9974999999999996</v>
      </c>
      <c r="H333" s="84" t="s">
        <v>94</v>
      </c>
      <c r="I333" s="84" t="s">
        <v>372</v>
      </c>
      <c r="J333" s="84" t="s">
        <v>373</v>
      </c>
    </row>
    <row r="334" spans="2:10" x14ac:dyDescent="0.3">
      <c r="B334" s="79" t="s">
        <v>371</v>
      </c>
      <c r="C334" s="79" t="s">
        <v>182</v>
      </c>
      <c r="D334" s="73" t="s">
        <v>96</v>
      </c>
      <c r="E334" s="73" t="s">
        <v>161</v>
      </c>
      <c r="F334" s="74">
        <v>437028</v>
      </c>
      <c r="G334" s="80">
        <v>0.43702800000000003</v>
      </c>
      <c r="H334" s="81" t="s">
        <v>94</v>
      </c>
      <c r="I334" s="81" t="s">
        <v>372</v>
      </c>
      <c r="J334" s="82" t="s">
        <v>373</v>
      </c>
    </row>
    <row r="335" spans="2:10" x14ac:dyDescent="0.3">
      <c r="B335" s="70" t="s">
        <v>371</v>
      </c>
      <c r="C335" s="70" t="s">
        <v>182</v>
      </c>
      <c r="D335" s="71" t="s">
        <v>96</v>
      </c>
      <c r="E335" s="71" t="s">
        <v>161</v>
      </c>
      <c r="F335" s="72">
        <v>416754</v>
      </c>
      <c r="G335" s="83">
        <v>0.41675400000000001</v>
      </c>
      <c r="H335" s="84" t="s">
        <v>94</v>
      </c>
      <c r="I335" s="84" t="s">
        <v>372</v>
      </c>
      <c r="J335" s="84" t="s">
        <v>373</v>
      </c>
    </row>
    <row r="336" spans="2:10" x14ac:dyDescent="0.3">
      <c r="B336" s="79" t="s">
        <v>371</v>
      </c>
      <c r="C336" s="79" t="s">
        <v>182</v>
      </c>
      <c r="D336" s="73" t="s">
        <v>96</v>
      </c>
      <c r="E336" s="73" t="s">
        <v>161</v>
      </c>
      <c r="F336" s="74">
        <v>77676</v>
      </c>
      <c r="G336" s="80">
        <v>7.7675999999999995E-2</v>
      </c>
      <c r="H336" s="81" t="s">
        <v>94</v>
      </c>
      <c r="I336" s="81" t="s">
        <v>372</v>
      </c>
      <c r="J336" s="82" t="s">
        <v>373</v>
      </c>
    </row>
    <row r="337" spans="2:10" x14ac:dyDescent="0.3">
      <c r="B337" s="70" t="s">
        <v>371</v>
      </c>
      <c r="C337" s="70" t="s">
        <v>182</v>
      </c>
      <c r="D337" s="71" t="s">
        <v>96</v>
      </c>
      <c r="E337" s="71" t="s">
        <v>161</v>
      </c>
      <c r="F337" s="72">
        <v>462108</v>
      </c>
      <c r="G337" s="83">
        <v>0.46210800000000002</v>
      </c>
      <c r="H337" s="84" t="s">
        <v>94</v>
      </c>
      <c r="I337" s="84" t="s">
        <v>372</v>
      </c>
      <c r="J337" s="84" t="s">
        <v>373</v>
      </c>
    </row>
    <row r="338" spans="2:10" x14ac:dyDescent="0.3">
      <c r="B338" s="79" t="s">
        <v>371</v>
      </c>
      <c r="C338" s="79" t="s">
        <v>182</v>
      </c>
      <c r="D338" s="73" t="s">
        <v>103</v>
      </c>
      <c r="E338" s="73" t="s">
        <v>161</v>
      </c>
      <c r="F338" s="74">
        <v>24975624</v>
      </c>
      <c r="G338" s="80">
        <v>24.975624</v>
      </c>
      <c r="H338" s="81" t="s">
        <v>94</v>
      </c>
      <c r="I338" s="81" t="s">
        <v>372</v>
      </c>
      <c r="J338" s="82" t="s">
        <v>373</v>
      </c>
    </row>
    <row r="339" spans="2:10" x14ac:dyDescent="0.3">
      <c r="B339" s="70" t="s">
        <v>371</v>
      </c>
      <c r="C339" s="70" t="s">
        <v>182</v>
      </c>
      <c r="D339" s="71" t="s">
        <v>96</v>
      </c>
      <c r="E339" s="71" t="s">
        <v>161</v>
      </c>
      <c r="F339" s="72">
        <v>549298</v>
      </c>
      <c r="G339" s="83">
        <v>0.54929799999999995</v>
      </c>
      <c r="H339" s="84" t="s">
        <v>94</v>
      </c>
      <c r="I339" s="84" t="s">
        <v>372</v>
      </c>
      <c r="J339" s="84" t="s">
        <v>373</v>
      </c>
    </row>
    <row r="340" spans="2:10" x14ac:dyDescent="0.3">
      <c r="B340" s="79" t="s">
        <v>371</v>
      </c>
      <c r="C340" s="79" t="s">
        <v>182</v>
      </c>
      <c r="D340" s="73" t="s">
        <v>96</v>
      </c>
      <c r="E340" s="73" t="s">
        <v>161</v>
      </c>
      <c r="F340" s="74">
        <v>1125561</v>
      </c>
      <c r="G340" s="80">
        <v>1.125561</v>
      </c>
      <c r="H340" s="81" t="s">
        <v>94</v>
      </c>
      <c r="I340" s="81" t="s">
        <v>372</v>
      </c>
      <c r="J340" s="82" t="s">
        <v>373</v>
      </c>
    </row>
    <row r="341" spans="2:10" x14ac:dyDescent="0.3">
      <c r="B341" s="70" t="s">
        <v>371</v>
      </c>
      <c r="C341" s="70" t="s">
        <v>182</v>
      </c>
      <c r="D341" s="71" t="s">
        <v>96</v>
      </c>
      <c r="E341" s="71" t="s">
        <v>161</v>
      </c>
      <c r="F341" s="72">
        <v>447644</v>
      </c>
      <c r="G341" s="83">
        <v>0.44764399999999999</v>
      </c>
      <c r="H341" s="84" t="s">
        <v>94</v>
      </c>
      <c r="I341" s="84" t="s">
        <v>372</v>
      </c>
      <c r="J341" s="84" t="s">
        <v>373</v>
      </c>
    </row>
    <row r="342" spans="2:10" x14ac:dyDescent="0.3">
      <c r="B342" s="79" t="s">
        <v>371</v>
      </c>
      <c r="C342" s="79" t="s">
        <v>182</v>
      </c>
      <c r="D342" s="73" t="s">
        <v>96</v>
      </c>
      <c r="E342" s="73" t="s">
        <v>161</v>
      </c>
      <c r="F342" s="74">
        <v>78790</v>
      </c>
      <c r="G342" s="80">
        <v>7.8789999999999999E-2</v>
      </c>
      <c r="H342" s="81" t="s">
        <v>94</v>
      </c>
      <c r="I342" s="81" t="s">
        <v>372</v>
      </c>
      <c r="J342" s="82" t="s">
        <v>373</v>
      </c>
    </row>
    <row r="343" spans="2:10" x14ac:dyDescent="0.3">
      <c r="B343" s="70" t="s">
        <v>371</v>
      </c>
      <c r="C343" s="70" t="s">
        <v>182</v>
      </c>
      <c r="D343" s="71" t="s">
        <v>103</v>
      </c>
      <c r="E343" s="71" t="s">
        <v>161</v>
      </c>
      <c r="F343" s="72">
        <v>4274476</v>
      </c>
      <c r="G343" s="83">
        <v>4.2744759999999999</v>
      </c>
      <c r="H343" s="84" t="s">
        <v>94</v>
      </c>
      <c r="I343" s="84" t="s">
        <v>372</v>
      </c>
      <c r="J343" s="84" t="s">
        <v>373</v>
      </c>
    </row>
    <row r="344" spans="2:10" x14ac:dyDescent="0.3">
      <c r="B344" s="79" t="s">
        <v>371</v>
      </c>
      <c r="C344" s="79" t="s">
        <v>182</v>
      </c>
      <c r="D344" s="73" t="s">
        <v>96</v>
      </c>
      <c r="E344" s="73" t="s">
        <v>161</v>
      </c>
      <c r="F344" s="74">
        <v>739692</v>
      </c>
      <c r="G344" s="80">
        <v>0.73969200000000002</v>
      </c>
      <c r="H344" s="81" t="s">
        <v>94</v>
      </c>
      <c r="I344" s="81" t="s">
        <v>372</v>
      </c>
      <c r="J344" s="82" t="s">
        <v>373</v>
      </c>
    </row>
    <row r="345" spans="2:10" x14ac:dyDescent="0.3">
      <c r="B345" s="70" t="s">
        <v>371</v>
      </c>
      <c r="C345" s="70" t="s">
        <v>182</v>
      </c>
      <c r="D345" s="71" t="s">
        <v>96</v>
      </c>
      <c r="E345" s="71" t="s">
        <v>161</v>
      </c>
      <c r="F345" s="72">
        <v>457816</v>
      </c>
      <c r="G345" s="83">
        <v>0.457816</v>
      </c>
      <c r="H345" s="84" t="s">
        <v>94</v>
      </c>
      <c r="I345" s="84" t="s">
        <v>372</v>
      </c>
      <c r="J345" s="84" t="s">
        <v>373</v>
      </c>
    </row>
    <row r="346" spans="2:10" x14ac:dyDescent="0.3">
      <c r="B346" s="79" t="s">
        <v>371</v>
      </c>
      <c r="C346" s="79" t="s">
        <v>182</v>
      </c>
      <c r="D346" s="73" t="s">
        <v>96</v>
      </c>
      <c r="E346" s="73" t="s">
        <v>161</v>
      </c>
      <c r="F346" s="74">
        <v>519344</v>
      </c>
      <c r="G346" s="80">
        <v>0.51934400000000003</v>
      </c>
      <c r="H346" s="81" t="s">
        <v>94</v>
      </c>
      <c r="I346" s="81" t="s">
        <v>372</v>
      </c>
      <c r="J346" s="82" t="s">
        <v>373</v>
      </c>
    </row>
    <row r="347" spans="2:10" x14ac:dyDescent="0.3">
      <c r="B347" s="70" t="s">
        <v>371</v>
      </c>
      <c r="C347" s="70" t="s">
        <v>182</v>
      </c>
      <c r="D347" s="71" t="s">
        <v>103</v>
      </c>
      <c r="E347" s="71" t="s">
        <v>161</v>
      </c>
      <c r="F347" s="72">
        <v>32136410</v>
      </c>
      <c r="G347" s="83">
        <v>32.136409999999998</v>
      </c>
      <c r="H347" s="84" t="s">
        <v>94</v>
      </c>
      <c r="I347" s="84" t="s">
        <v>372</v>
      </c>
      <c r="J347" s="84" t="s">
        <v>373</v>
      </c>
    </row>
    <row r="348" spans="2:10" x14ac:dyDescent="0.3">
      <c r="B348" s="79" t="s">
        <v>371</v>
      </c>
      <c r="C348" s="79" t="s">
        <v>182</v>
      </c>
      <c r="D348" s="73" t="s">
        <v>102</v>
      </c>
      <c r="E348" s="73" t="s">
        <v>161</v>
      </c>
      <c r="F348" s="74">
        <v>51287</v>
      </c>
      <c r="G348" s="80">
        <v>5.1286999999999999E-2</v>
      </c>
      <c r="H348" s="81" t="s">
        <v>94</v>
      </c>
      <c r="I348" s="81" t="s">
        <v>372</v>
      </c>
      <c r="J348" s="82" t="s">
        <v>373</v>
      </c>
    </row>
    <row r="349" spans="2:10" x14ac:dyDescent="0.3">
      <c r="B349" s="70" t="s">
        <v>371</v>
      </c>
      <c r="C349" s="70" t="s">
        <v>182</v>
      </c>
      <c r="D349" s="71" t="s">
        <v>102</v>
      </c>
      <c r="E349" s="71" t="s">
        <v>161</v>
      </c>
      <c r="F349" s="72">
        <v>33058</v>
      </c>
      <c r="G349" s="83">
        <v>3.3057999999999997E-2</v>
      </c>
      <c r="H349" s="84" t="s">
        <v>94</v>
      </c>
      <c r="I349" s="84" t="s">
        <v>372</v>
      </c>
      <c r="J349" s="84" t="s">
        <v>373</v>
      </c>
    </row>
    <row r="350" spans="2:10" x14ac:dyDescent="0.3">
      <c r="B350" s="79" t="s">
        <v>371</v>
      </c>
      <c r="C350" s="79" t="s">
        <v>182</v>
      </c>
      <c r="D350" s="73" t="s">
        <v>96</v>
      </c>
      <c r="E350" s="73" t="s">
        <v>161</v>
      </c>
      <c r="F350" s="74">
        <v>71214</v>
      </c>
      <c r="G350" s="80">
        <v>7.1214E-2</v>
      </c>
      <c r="H350" s="81" t="s">
        <v>94</v>
      </c>
      <c r="I350" s="81" t="s">
        <v>372</v>
      </c>
      <c r="J350" s="82" t="s">
        <v>373</v>
      </c>
    </row>
    <row r="351" spans="2:10" x14ac:dyDescent="0.3">
      <c r="B351" s="70" t="s">
        <v>371</v>
      </c>
      <c r="C351" s="70" t="s">
        <v>182</v>
      </c>
      <c r="D351" s="71" t="s">
        <v>96</v>
      </c>
      <c r="E351" s="71" t="s">
        <v>161</v>
      </c>
      <c r="F351" s="72">
        <v>67770</v>
      </c>
      <c r="G351" s="83">
        <v>6.7769999999999997E-2</v>
      </c>
      <c r="H351" s="84" t="s">
        <v>94</v>
      </c>
      <c r="I351" s="84" t="s">
        <v>372</v>
      </c>
      <c r="J351" s="84" t="s">
        <v>373</v>
      </c>
    </row>
    <row r="352" spans="2:10" x14ac:dyDescent="0.3">
      <c r="B352" s="79" t="s">
        <v>371</v>
      </c>
      <c r="C352" s="79" t="s">
        <v>182</v>
      </c>
      <c r="D352" s="73" t="s">
        <v>96</v>
      </c>
      <c r="E352" s="73" t="s">
        <v>161</v>
      </c>
      <c r="F352" s="74">
        <v>574105</v>
      </c>
      <c r="G352" s="80">
        <v>0.57410499999999998</v>
      </c>
      <c r="H352" s="81" t="s">
        <v>94</v>
      </c>
      <c r="I352" s="81" t="s">
        <v>372</v>
      </c>
      <c r="J352" s="82" t="s">
        <v>373</v>
      </c>
    </row>
    <row r="353" spans="2:10" x14ac:dyDescent="0.3">
      <c r="B353" s="70" t="s">
        <v>371</v>
      </c>
      <c r="C353" s="70" t="s">
        <v>182</v>
      </c>
      <c r="D353" s="71" t="s">
        <v>96</v>
      </c>
      <c r="E353" s="71" t="s">
        <v>161</v>
      </c>
      <c r="F353" s="72">
        <v>436369</v>
      </c>
      <c r="G353" s="83">
        <v>0.43636900000000001</v>
      </c>
      <c r="H353" s="84" t="s">
        <v>94</v>
      </c>
      <c r="I353" s="84" t="s">
        <v>372</v>
      </c>
      <c r="J353" s="84" t="s">
        <v>373</v>
      </c>
    </row>
    <row r="354" spans="2:10" x14ac:dyDescent="0.3">
      <c r="B354" s="79" t="s">
        <v>371</v>
      </c>
      <c r="C354" s="79" t="s">
        <v>182</v>
      </c>
      <c r="D354" s="73" t="s">
        <v>96</v>
      </c>
      <c r="E354" s="73" t="s">
        <v>161</v>
      </c>
      <c r="F354" s="74">
        <v>72236</v>
      </c>
      <c r="G354" s="80">
        <v>7.2235999999999995E-2</v>
      </c>
      <c r="H354" s="81" t="s">
        <v>94</v>
      </c>
      <c r="I354" s="81" t="s">
        <v>372</v>
      </c>
      <c r="J354" s="82" t="s">
        <v>373</v>
      </c>
    </row>
    <row r="355" spans="2:10" x14ac:dyDescent="0.3">
      <c r="B355" s="70" t="s">
        <v>371</v>
      </c>
      <c r="C355" s="70" t="s">
        <v>182</v>
      </c>
      <c r="D355" s="71" t="s">
        <v>103</v>
      </c>
      <c r="E355" s="71" t="s">
        <v>161</v>
      </c>
      <c r="F355" s="72">
        <v>15941631</v>
      </c>
      <c r="G355" s="83">
        <v>15.941630999999999</v>
      </c>
      <c r="H355" s="84" t="s">
        <v>94</v>
      </c>
      <c r="I355" s="84" t="s">
        <v>372</v>
      </c>
      <c r="J355" s="84" t="s">
        <v>373</v>
      </c>
    </row>
    <row r="356" spans="2:10" x14ac:dyDescent="0.3">
      <c r="B356" s="79" t="s">
        <v>371</v>
      </c>
      <c r="C356" s="79" t="s">
        <v>182</v>
      </c>
      <c r="D356" s="73" t="s">
        <v>96</v>
      </c>
      <c r="E356" s="73" t="s">
        <v>161</v>
      </c>
      <c r="F356" s="74">
        <v>691495</v>
      </c>
      <c r="G356" s="80">
        <v>0.69149499999999997</v>
      </c>
      <c r="H356" s="81" t="s">
        <v>94</v>
      </c>
      <c r="I356" s="81" t="s">
        <v>372</v>
      </c>
      <c r="J356" s="82" t="s">
        <v>373</v>
      </c>
    </row>
    <row r="357" spans="2:10" x14ac:dyDescent="0.3">
      <c r="B357" s="70" t="s">
        <v>371</v>
      </c>
      <c r="C357" s="70" t="s">
        <v>182</v>
      </c>
      <c r="D357" s="71" t="s">
        <v>96</v>
      </c>
      <c r="E357" s="71" t="s">
        <v>161</v>
      </c>
      <c r="F357" s="72">
        <v>74566</v>
      </c>
      <c r="G357" s="83">
        <v>7.4565999999999993E-2</v>
      </c>
      <c r="H357" s="84" t="s">
        <v>94</v>
      </c>
      <c r="I357" s="84" t="s">
        <v>372</v>
      </c>
      <c r="J357" s="84" t="s">
        <v>373</v>
      </c>
    </row>
    <row r="358" spans="2:10" x14ac:dyDescent="0.3">
      <c r="B358" s="79" t="s">
        <v>371</v>
      </c>
      <c r="C358" s="79" t="s">
        <v>182</v>
      </c>
      <c r="D358" s="73" t="s">
        <v>102</v>
      </c>
      <c r="E358" s="73" t="s">
        <v>161</v>
      </c>
      <c r="F358" s="74">
        <v>33058</v>
      </c>
      <c r="G358" s="80">
        <v>3.3057999999999997E-2</v>
      </c>
      <c r="H358" s="81" t="s">
        <v>94</v>
      </c>
      <c r="I358" s="81" t="s">
        <v>372</v>
      </c>
      <c r="J358" s="82" t="s">
        <v>373</v>
      </c>
    </row>
    <row r="359" spans="2:10" x14ac:dyDescent="0.3">
      <c r="B359" s="70" t="s">
        <v>371</v>
      </c>
      <c r="C359" s="70" t="s">
        <v>182</v>
      </c>
      <c r="D359" s="71" t="s">
        <v>96</v>
      </c>
      <c r="E359" s="71" t="s">
        <v>161</v>
      </c>
      <c r="F359" s="72">
        <v>459140</v>
      </c>
      <c r="G359" s="83">
        <v>0.45913999999999999</v>
      </c>
      <c r="H359" s="84" t="s">
        <v>94</v>
      </c>
      <c r="I359" s="84" t="s">
        <v>372</v>
      </c>
      <c r="J359" s="84" t="s">
        <v>373</v>
      </c>
    </row>
    <row r="360" spans="2:10" x14ac:dyDescent="0.3">
      <c r="B360" s="79" t="s">
        <v>371</v>
      </c>
      <c r="C360" s="79" t="s">
        <v>182</v>
      </c>
      <c r="D360" s="73" t="s">
        <v>96</v>
      </c>
      <c r="E360" s="73" t="s">
        <v>161</v>
      </c>
      <c r="F360" s="74">
        <v>397642</v>
      </c>
      <c r="G360" s="80">
        <v>0.397642</v>
      </c>
      <c r="H360" s="81" t="s">
        <v>94</v>
      </c>
      <c r="I360" s="81" t="s">
        <v>372</v>
      </c>
      <c r="J360" s="82" t="s">
        <v>373</v>
      </c>
    </row>
    <row r="361" spans="2:10" x14ac:dyDescent="0.3">
      <c r="B361" s="70" t="s">
        <v>371</v>
      </c>
      <c r="C361" s="70" t="s">
        <v>182</v>
      </c>
      <c r="D361" s="71" t="s">
        <v>102</v>
      </c>
      <c r="E361" s="71" t="s">
        <v>161</v>
      </c>
      <c r="F361" s="72">
        <v>51287</v>
      </c>
      <c r="G361" s="83">
        <v>5.1286999999999999E-2</v>
      </c>
      <c r="H361" s="84" t="s">
        <v>94</v>
      </c>
      <c r="I361" s="84" t="s">
        <v>372</v>
      </c>
      <c r="J361" s="84" t="s">
        <v>373</v>
      </c>
    </row>
    <row r="362" spans="2:10" x14ac:dyDescent="0.3">
      <c r="B362" s="79" t="s">
        <v>371</v>
      </c>
      <c r="C362" s="79" t="s">
        <v>182</v>
      </c>
      <c r="D362" s="73" t="s">
        <v>102</v>
      </c>
      <c r="E362" s="73" t="s">
        <v>161</v>
      </c>
      <c r="F362" s="74">
        <v>51287</v>
      </c>
      <c r="G362" s="80">
        <v>5.1286999999999999E-2</v>
      </c>
      <c r="H362" s="81" t="s">
        <v>94</v>
      </c>
      <c r="I362" s="81" t="s">
        <v>372</v>
      </c>
      <c r="J362" s="82" t="s">
        <v>373</v>
      </c>
    </row>
    <row r="363" spans="2:10" x14ac:dyDescent="0.3">
      <c r="B363" s="70" t="s">
        <v>371</v>
      </c>
      <c r="C363" s="70" t="s">
        <v>182</v>
      </c>
      <c r="D363" s="71" t="s">
        <v>96</v>
      </c>
      <c r="E363" s="71" t="s">
        <v>161</v>
      </c>
      <c r="F363" s="72">
        <v>60912</v>
      </c>
      <c r="G363" s="83">
        <v>6.0912000000000001E-2</v>
      </c>
      <c r="H363" s="84" t="s">
        <v>94</v>
      </c>
      <c r="I363" s="84" t="s">
        <v>372</v>
      </c>
      <c r="J363" s="84" t="s">
        <v>373</v>
      </c>
    </row>
    <row r="364" spans="2:10" x14ac:dyDescent="0.3">
      <c r="B364" s="79" t="s">
        <v>371</v>
      </c>
      <c r="C364" s="79" t="s">
        <v>182</v>
      </c>
      <c r="D364" s="73" t="s">
        <v>96</v>
      </c>
      <c r="E364" s="73" t="s">
        <v>161</v>
      </c>
      <c r="F364" s="74">
        <v>440469</v>
      </c>
      <c r="G364" s="80">
        <v>0.440469</v>
      </c>
      <c r="H364" s="81" t="s">
        <v>94</v>
      </c>
      <c r="I364" s="81" t="s">
        <v>372</v>
      </c>
      <c r="J364" s="82" t="s">
        <v>373</v>
      </c>
    </row>
    <row r="365" spans="2:10" x14ac:dyDescent="0.3">
      <c r="B365" s="70" t="s">
        <v>371</v>
      </c>
      <c r="C365" s="70" t="s">
        <v>182</v>
      </c>
      <c r="D365" s="71" t="s">
        <v>102</v>
      </c>
      <c r="E365" s="71" t="s">
        <v>161</v>
      </c>
      <c r="F365" s="72">
        <v>33058</v>
      </c>
      <c r="G365" s="83">
        <v>3.3057999999999997E-2</v>
      </c>
      <c r="H365" s="84" t="s">
        <v>94</v>
      </c>
      <c r="I365" s="84" t="s">
        <v>372</v>
      </c>
      <c r="J365" s="84" t="s">
        <v>373</v>
      </c>
    </row>
    <row r="366" spans="2:10" x14ac:dyDescent="0.3">
      <c r="B366" s="79" t="s">
        <v>371</v>
      </c>
      <c r="C366" s="79" t="s">
        <v>182</v>
      </c>
      <c r="D366" s="73" t="s">
        <v>103</v>
      </c>
      <c r="E366" s="73" t="s">
        <v>161</v>
      </c>
      <c r="F366" s="74">
        <v>12229674</v>
      </c>
      <c r="G366" s="80">
        <v>12.229673999999999</v>
      </c>
      <c r="H366" s="81" t="s">
        <v>94</v>
      </c>
      <c r="I366" s="81" t="s">
        <v>372</v>
      </c>
      <c r="J366" s="82" t="s">
        <v>373</v>
      </c>
    </row>
    <row r="367" spans="2:10" x14ac:dyDescent="0.3">
      <c r="B367" s="70" t="s">
        <v>371</v>
      </c>
      <c r="C367" s="70" t="s">
        <v>182</v>
      </c>
      <c r="D367" s="71" t="s">
        <v>96</v>
      </c>
      <c r="E367" s="71" t="s">
        <v>161</v>
      </c>
      <c r="F367" s="72">
        <v>75258</v>
      </c>
      <c r="G367" s="83">
        <v>7.5258000000000005E-2</v>
      </c>
      <c r="H367" s="84" t="s">
        <v>94</v>
      </c>
      <c r="I367" s="84" t="s">
        <v>372</v>
      </c>
      <c r="J367" s="84" t="s">
        <v>373</v>
      </c>
    </row>
    <row r="368" spans="2:10" x14ac:dyDescent="0.3">
      <c r="B368" s="79" t="s">
        <v>371</v>
      </c>
      <c r="C368" s="79" t="s">
        <v>182</v>
      </c>
      <c r="D368" s="73" t="s">
        <v>102</v>
      </c>
      <c r="E368" s="73" t="s">
        <v>161</v>
      </c>
      <c r="F368" s="74">
        <v>33058</v>
      </c>
      <c r="G368" s="80">
        <v>3.3057999999999997E-2</v>
      </c>
      <c r="H368" s="81" t="s">
        <v>94</v>
      </c>
      <c r="I368" s="81" t="s">
        <v>372</v>
      </c>
      <c r="J368" s="82" t="s">
        <v>373</v>
      </c>
    </row>
    <row r="369" spans="2:10" x14ac:dyDescent="0.3">
      <c r="B369" s="70" t="s">
        <v>371</v>
      </c>
      <c r="C369" s="70" t="s">
        <v>182</v>
      </c>
      <c r="D369" s="71" t="s">
        <v>98</v>
      </c>
      <c r="E369" s="71" t="s">
        <v>161</v>
      </c>
      <c r="F369" s="72">
        <v>1666650</v>
      </c>
      <c r="G369" s="83">
        <v>1.66665</v>
      </c>
      <c r="H369" s="84" t="s">
        <v>94</v>
      </c>
      <c r="I369" s="84" t="s">
        <v>372</v>
      </c>
      <c r="J369" s="84" t="s">
        <v>373</v>
      </c>
    </row>
    <row r="370" spans="2:10" x14ac:dyDescent="0.3">
      <c r="B370" s="79" t="s">
        <v>371</v>
      </c>
      <c r="C370" s="79" t="s">
        <v>182</v>
      </c>
      <c r="D370" s="73" t="s">
        <v>98</v>
      </c>
      <c r="E370" s="73" t="s">
        <v>161</v>
      </c>
      <c r="F370" s="74">
        <v>5000000</v>
      </c>
      <c r="G370" s="80">
        <v>5</v>
      </c>
      <c r="H370" s="81" t="s">
        <v>94</v>
      </c>
      <c r="I370" s="81" t="s">
        <v>372</v>
      </c>
      <c r="J370" s="82" t="s">
        <v>373</v>
      </c>
    </row>
    <row r="371" spans="2:10" x14ac:dyDescent="0.3">
      <c r="B371" s="70" t="s">
        <v>371</v>
      </c>
      <c r="C371" s="70" t="s">
        <v>182</v>
      </c>
      <c r="D371" s="71" t="s">
        <v>103</v>
      </c>
      <c r="E371" s="71" t="s">
        <v>161</v>
      </c>
      <c r="F371" s="72">
        <v>7670844</v>
      </c>
      <c r="G371" s="83">
        <v>7.6708439999999998</v>
      </c>
      <c r="H371" s="84" t="s">
        <v>94</v>
      </c>
      <c r="I371" s="84" t="s">
        <v>372</v>
      </c>
      <c r="J371" s="84" t="s">
        <v>373</v>
      </c>
    </row>
    <row r="372" spans="2:10" x14ac:dyDescent="0.3">
      <c r="B372" s="79" t="s">
        <v>371</v>
      </c>
      <c r="C372" s="79" t="s">
        <v>182</v>
      </c>
      <c r="D372" s="73" t="s">
        <v>96</v>
      </c>
      <c r="E372" s="73" t="s">
        <v>161</v>
      </c>
      <c r="F372" s="74">
        <v>488857</v>
      </c>
      <c r="G372" s="80">
        <v>0.48885699999999999</v>
      </c>
      <c r="H372" s="81" t="s">
        <v>94</v>
      </c>
      <c r="I372" s="81" t="s">
        <v>372</v>
      </c>
      <c r="J372" s="82" t="s">
        <v>373</v>
      </c>
    </row>
    <row r="373" spans="2:10" x14ac:dyDescent="0.3">
      <c r="B373" s="70" t="s">
        <v>371</v>
      </c>
      <c r="C373" s="70" t="s">
        <v>182</v>
      </c>
      <c r="D373" s="71" t="s">
        <v>96</v>
      </c>
      <c r="E373" s="71" t="s">
        <v>161</v>
      </c>
      <c r="F373" s="72">
        <v>352611</v>
      </c>
      <c r="G373" s="83">
        <v>0.35261100000000001</v>
      </c>
      <c r="H373" s="84" t="s">
        <v>94</v>
      </c>
      <c r="I373" s="84" t="s">
        <v>372</v>
      </c>
      <c r="J373" s="84" t="s">
        <v>373</v>
      </c>
    </row>
    <row r="374" spans="2:10" x14ac:dyDescent="0.3">
      <c r="B374" s="79" t="s">
        <v>371</v>
      </c>
      <c r="C374" s="79" t="s">
        <v>182</v>
      </c>
      <c r="D374" s="73" t="s">
        <v>96</v>
      </c>
      <c r="E374" s="73" t="s">
        <v>161</v>
      </c>
      <c r="F374" s="74">
        <v>577006</v>
      </c>
      <c r="G374" s="80">
        <v>0.57700600000000002</v>
      </c>
      <c r="H374" s="81" t="s">
        <v>94</v>
      </c>
      <c r="I374" s="81" t="s">
        <v>372</v>
      </c>
      <c r="J374" s="82" t="s">
        <v>373</v>
      </c>
    </row>
    <row r="375" spans="2:10" x14ac:dyDescent="0.3">
      <c r="B375" s="70" t="s">
        <v>371</v>
      </c>
      <c r="C375" s="70" t="s">
        <v>182</v>
      </c>
      <c r="D375" s="71" t="s">
        <v>98</v>
      </c>
      <c r="E375" s="71" t="s">
        <v>161</v>
      </c>
      <c r="F375" s="72">
        <v>5000000</v>
      </c>
      <c r="G375" s="83">
        <v>5</v>
      </c>
      <c r="H375" s="84" t="s">
        <v>94</v>
      </c>
      <c r="I375" s="84" t="s">
        <v>372</v>
      </c>
      <c r="J375" s="84" t="s">
        <v>373</v>
      </c>
    </row>
    <row r="376" spans="2:10" x14ac:dyDescent="0.3">
      <c r="B376" s="79" t="s">
        <v>371</v>
      </c>
      <c r="C376" s="79" t="s">
        <v>182</v>
      </c>
      <c r="D376" s="73" t="s">
        <v>103</v>
      </c>
      <c r="E376" s="73" t="s">
        <v>161</v>
      </c>
      <c r="F376" s="74">
        <v>17084704</v>
      </c>
      <c r="G376" s="80">
        <v>17.084703999999999</v>
      </c>
      <c r="H376" s="81" t="s">
        <v>94</v>
      </c>
      <c r="I376" s="81" t="s">
        <v>372</v>
      </c>
      <c r="J376" s="82" t="s">
        <v>373</v>
      </c>
    </row>
    <row r="377" spans="2:10" x14ac:dyDescent="0.3">
      <c r="B377" s="70" t="s">
        <v>371</v>
      </c>
      <c r="C377" s="70" t="s">
        <v>182</v>
      </c>
      <c r="D377" s="71" t="s">
        <v>98</v>
      </c>
      <c r="E377" s="71" t="s">
        <v>161</v>
      </c>
      <c r="F377" s="72">
        <v>1666650</v>
      </c>
      <c r="G377" s="83">
        <v>1.66665</v>
      </c>
      <c r="H377" s="84" t="s">
        <v>94</v>
      </c>
      <c r="I377" s="84" t="s">
        <v>372</v>
      </c>
      <c r="J377" s="84" t="s">
        <v>373</v>
      </c>
    </row>
    <row r="378" spans="2:10" x14ac:dyDescent="0.3">
      <c r="B378" s="79" t="s">
        <v>371</v>
      </c>
      <c r="C378" s="79" t="s">
        <v>182</v>
      </c>
      <c r="D378" s="73" t="s">
        <v>98</v>
      </c>
      <c r="E378" s="73" t="s">
        <v>161</v>
      </c>
      <c r="F378" s="74">
        <v>-1666650</v>
      </c>
      <c r="G378" s="80">
        <v>-1.66665</v>
      </c>
      <c r="H378" s="81" t="s">
        <v>94</v>
      </c>
      <c r="I378" s="81" t="s">
        <v>372</v>
      </c>
      <c r="J378" s="82" t="s">
        <v>373</v>
      </c>
    </row>
    <row r="379" spans="2:10" x14ac:dyDescent="0.3">
      <c r="B379" s="70" t="s">
        <v>371</v>
      </c>
      <c r="C379" s="70" t="s">
        <v>182</v>
      </c>
      <c r="D379" s="71" t="s">
        <v>96</v>
      </c>
      <c r="E379" s="71" t="s">
        <v>161</v>
      </c>
      <c r="F379" s="72">
        <v>740450</v>
      </c>
      <c r="G379" s="83">
        <v>0.74045000000000005</v>
      </c>
      <c r="H379" s="84" t="s">
        <v>94</v>
      </c>
      <c r="I379" s="84" t="s">
        <v>372</v>
      </c>
      <c r="J379" s="84" t="s">
        <v>373</v>
      </c>
    </row>
    <row r="380" spans="2:10" x14ac:dyDescent="0.3">
      <c r="B380" s="79" t="s">
        <v>371</v>
      </c>
      <c r="C380" s="79" t="s">
        <v>182</v>
      </c>
      <c r="D380" s="73" t="s">
        <v>96</v>
      </c>
      <c r="E380" s="73" t="s">
        <v>161</v>
      </c>
      <c r="F380" s="74">
        <v>553087</v>
      </c>
      <c r="G380" s="80">
        <v>0.553087</v>
      </c>
      <c r="H380" s="81" t="s">
        <v>94</v>
      </c>
      <c r="I380" s="81" t="s">
        <v>372</v>
      </c>
      <c r="J380" s="82" t="s">
        <v>373</v>
      </c>
    </row>
    <row r="381" spans="2:10" x14ac:dyDescent="0.3">
      <c r="B381" s="70" t="s">
        <v>371</v>
      </c>
      <c r="C381" s="70" t="s">
        <v>182</v>
      </c>
      <c r="D381" s="71" t="s">
        <v>103</v>
      </c>
      <c r="E381" s="71" t="s">
        <v>161</v>
      </c>
      <c r="F381" s="72">
        <v>33470750</v>
      </c>
      <c r="G381" s="83">
        <v>33.470750000000002</v>
      </c>
      <c r="H381" s="84" t="s">
        <v>94</v>
      </c>
      <c r="I381" s="84" t="s">
        <v>372</v>
      </c>
      <c r="J381" s="84" t="s">
        <v>373</v>
      </c>
    </row>
    <row r="382" spans="2:10" x14ac:dyDescent="0.3">
      <c r="B382" s="79" t="s">
        <v>371</v>
      </c>
      <c r="C382" s="79" t="s">
        <v>182</v>
      </c>
      <c r="D382" s="73" t="s">
        <v>98</v>
      </c>
      <c r="E382" s="73" t="s">
        <v>161</v>
      </c>
      <c r="F382" s="74">
        <v>-5000000</v>
      </c>
      <c r="G382" s="80">
        <v>-5</v>
      </c>
      <c r="H382" s="81" t="s">
        <v>94</v>
      </c>
      <c r="I382" s="81" t="s">
        <v>372</v>
      </c>
      <c r="J382" s="82" t="s">
        <v>373</v>
      </c>
    </row>
    <row r="383" spans="2:10" x14ac:dyDescent="0.3">
      <c r="B383" s="70" t="s">
        <v>371</v>
      </c>
      <c r="C383" s="70" t="s">
        <v>182</v>
      </c>
      <c r="D383" s="71" t="s">
        <v>102</v>
      </c>
      <c r="E383" s="71" t="s">
        <v>161</v>
      </c>
      <c r="F383" s="72">
        <v>51287</v>
      </c>
      <c r="G383" s="83">
        <v>5.1286999999999999E-2</v>
      </c>
      <c r="H383" s="84" t="s">
        <v>94</v>
      </c>
      <c r="I383" s="84" t="s">
        <v>372</v>
      </c>
      <c r="J383" s="84" t="s">
        <v>373</v>
      </c>
    </row>
    <row r="384" spans="2:10" x14ac:dyDescent="0.3">
      <c r="B384" s="79" t="s">
        <v>371</v>
      </c>
      <c r="C384" s="79" t="s">
        <v>182</v>
      </c>
      <c r="D384" s="73" t="s">
        <v>96</v>
      </c>
      <c r="E384" s="73" t="s">
        <v>161</v>
      </c>
      <c r="F384" s="74">
        <v>69558</v>
      </c>
      <c r="G384" s="80">
        <v>6.9557999999999995E-2</v>
      </c>
      <c r="H384" s="81" t="s">
        <v>94</v>
      </c>
      <c r="I384" s="81" t="s">
        <v>372</v>
      </c>
      <c r="J384" s="82" t="s">
        <v>373</v>
      </c>
    </row>
    <row r="385" spans="2:10" x14ac:dyDescent="0.3">
      <c r="B385" s="70" t="s">
        <v>371</v>
      </c>
      <c r="C385" s="70" t="s">
        <v>182</v>
      </c>
      <c r="D385" s="71" t="s">
        <v>96</v>
      </c>
      <c r="E385" s="71" t="s">
        <v>161</v>
      </c>
      <c r="F385" s="72">
        <v>78996</v>
      </c>
      <c r="G385" s="83">
        <v>7.8995999999999997E-2</v>
      </c>
      <c r="H385" s="84" t="s">
        <v>94</v>
      </c>
      <c r="I385" s="84" t="s">
        <v>372</v>
      </c>
      <c r="J385" s="84" t="s">
        <v>373</v>
      </c>
    </row>
    <row r="386" spans="2:10" x14ac:dyDescent="0.3">
      <c r="B386" s="79" t="s">
        <v>371</v>
      </c>
      <c r="C386" s="79" t="s">
        <v>182</v>
      </c>
      <c r="D386" s="73" t="s">
        <v>102</v>
      </c>
      <c r="E386" s="73" t="s">
        <v>161</v>
      </c>
      <c r="F386" s="74">
        <v>33058</v>
      </c>
      <c r="G386" s="80">
        <v>3.3057999999999997E-2</v>
      </c>
      <c r="H386" s="81" t="s">
        <v>94</v>
      </c>
      <c r="I386" s="81" t="s">
        <v>372</v>
      </c>
      <c r="J386" s="82" t="s">
        <v>373</v>
      </c>
    </row>
    <row r="387" spans="2:10" x14ac:dyDescent="0.3">
      <c r="B387" s="70" t="s">
        <v>371</v>
      </c>
      <c r="C387" s="70" t="s">
        <v>182</v>
      </c>
      <c r="D387" s="71" t="s">
        <v>96</v>
      </c>
      <c r="E387" s="71" t="s">
        <v>161</v>
      </c>
      <c r="F387" s="72">
        <v>563460</v>
      </c>
      <c r="G387" s="83">
        <v>0.56345999999999996</v>
      </c>
      <c r="H387" s="84" t="s">
        <v>94</v>
      </c>
      <c r="I387" s="84" t="s">
        <v>372</v>
      </c>
      <c r="J387" s="84" t="s">
        <v>373</v>
      </c>
    </row>
    <row r="388" spans="2:10" x14ac:dyDescent="0.3">
      <c r="B388" s="79" t="s">
        <v>371</v>
      </c>
      <c r="C388" s="79" t="s">
        <v>182</v>
      </c>
      <c r="D388" s="73" t="s">
        <v>102</v>
      </c>
      <c r="E388" s="73" t="s">
        <v>161</v>
      </c>
      <c r="F388" s="74">
        <v>51287</v>
      </c>
      <c r="G388" s="80">
        <v>5.1286999999999999E-2</v>
      </c>
      <c r="H388" s="81" t="s">
        <v>94</v>
      </c>
      <c r="I388" s="81" t="s">
        <v>372</v>
      </c>
      <c r="J388" s="82" t="s">
        <v>373</v>
      </c>
    </row>
    <row r="389" spans="2:10" x14ac:dyDescent="0.3">
      <c r="B389" s="70" t="s">
        <v>371</v>
      </c>
      <c r="C389" s="70" t="s">
        <v>182</v>
      </c>
      <c r="D389" s="71" t="s">
        <v>96</v>
      </c>
      <c r="E389" s="71" t="s">
        <v>161</v>
      </c>
      <c r="F389" s="72">
        <v>81928</v>
      </c>
      <c r="G389" s="83">
        <v>8.1928000000000001E-2</v>
      </c>
      <c r="H389" s="84" t="s">
        <v>94</v>
      </c>
      <c r="I389" s="84" t="s">
        <v>372</v>
      </c>
      <c r="J389" s="84" t="s">
        <v>373</v>
      </c>
    </row>
    <row r="390" spans="2:10" x14ac:dyDescent="0.3">
      <c r="B390" s="79" t="s">
        <v>371</v>
      </c>
      <c r="C390" s="79" t="s">
        <v>182</v>
      </c>
      <c r="D390" s="73" t="s">
        <v>96</v>
      </c>
      <c r="E390" s="73" t="s">
        <v>161</v>
      </c>
      <c r="F390" s="74">
        <v>677448</v>
      </c>
      <c r="G390" s="80">
        <v>0.67744800000000005</v>
      </c>
      <c r="H390" s="81" t="s">
        <v>94</v>
      </c>
      <c r="I390" s="81" t="s">
        <v>372</v>
      </c>
      <c r="J390" s="82" t="s">
        <v>373</v>
      </c>
    </row>
    <row r="391" spans="2:10" x14ac:dyDescent="0.3">
      <c r="B391" s="70" t="s">
        <v>371</v>
      </c>
      <c r="C391" s="70" t="s">
        <v>207</v>
      </c>
      <c r="D391" s="71" t="s">
        <v>100</v>
      </c>
      <c r="E391" s="71" t="s">
        <v>161</v>
      </c>
      <c r="F391" s="72">
        <v>2383265</v>
      </c>
      <c r="G391" s="83">
        <v>2.3832650000000002</v>
      </c>
      <c r="H391" s="84" t="s">
        <v>94</v>
      </c>
      <c r="I391" s="84" t="s">
        <v>372</v>
      </c>
      <c r="J391" s="84" t="s">
        <v>373</v>
      </c>
    </row>
    <row r="392" spans="2:10" x14ac:dyDescent="0.3">
      <c r="B392" s="79" t="s">
        <v>371</v>
      </c>
      <c r="C392" s="79" t="s">
        <v>207</v>
      </c>
      <c r="D392" s="73" t="s">
        <v>100</v>
      </c>
      <c r="E392" s="73" t="s">
        <v>161</v>
      </c>
      <c r="F392" s="74">
        <v>5000000</v>
      </c>
      <c r="G392" s="80">
        <v>5</v>
      </c>
      <c r="H392" s="81" t="s">
        <v>94</v>
      </c>
      <c r="I392" s="81" t="s">
        <v>372</v>
      </c>
      <c r="J392" s="82" t="s">
        <v>373</v>
      </c>
    </row>
    <row r="393" spans="2:10" x14ac:dyDescent="0.3">
      <c r="B393" s="70" t="s">
        <v>371</v>
      </c>
      <c r="C393" s="70" t="s">
        <v>207</v>
      </c>
      <c r="D393" s="71" t="s">
        <v>100</v>
      </c>
      <c r="E393" s="71" t="s">
        <v>161</v>
      </c>
      <c r="F393" s="72">
        <v>2033062</v>
      </c>
      <c r="G393" s="83">
        <v>2.0330620000000001</v>
      </c>
      <c r="H393" s="84" t="s">
        <v>94</v>
      </c>
      <c r="I393" s="84" t="s">
        <v>372</v>
      </c>
      <c r="J393" s="84" t="s">
        <v>373</v>
      </c>
    </row>
    <row r="394" spans="2:10" x14ac:dyDescent="0.3">
      <c r="B394" s="79" t="s">
        <v>371</v>
      </c>
      <c r="C394" s="79" t="s">
        <v>198</v>
      </c>
      <c r="D394" s="73" t="s">
        <v>103</v>
      </c>
      <c r="E394" s="73" t="s">
        <v>161</v>
      </c>
      <c r="F394" s="74">
        <v>5000000</v>
      </c>
      <c r="G394" s="80">
        <v>5</v>
      </c>
      <c r="H394" s="81" t="s">
        <v>94</v>
      </c>
      <c r="I394" s="81" t="s">
        <v>372</v>
      </c>
      <c r="J394" s="82" t="s">
        <v>373</v>
      </c>
    </row>
    <row r="395" spans="2:10" x14ac:dyDescent="0.3">
      <c r="B395" s="70" t="s">
        <v>371</v>
      </c>
      <c r="C395" s="70" t="s">
        <v>198</v>
      </c>
      <c r="D395" s="71" t="s">
        <v>103</v>
      </c>
      <c r="E395" s="71" t="s">
        <v>161</v>
      </c>
      <c r="F395" s="72">
        <v>8628500</v>
      </c>
      <c r="G395" s="83">
        <v>8.6285000000000007</v>
      </c>
      <c r="H395" s="84" t="s">
        <v>94</v>
      </c>
      <c r="I395" s="84" t="s">
        <v>372</v>
      </c>
      <c r="J395" s="84" t="s">
        <v>373</v>
      </c>
    </row>
    <row r="396" spans="2:10" x14ac:dyDescent="0.3">
      <c r="B396" s="79" t="s">
        <v>371</v>
      </c>
      <c r="C396" s="79" t="s">
        <v>198</v>
      </c>
      <c r="D396" s="73" t="s">
        <v>103</v>
      </c>
      <c r="E396" s="73" t="s">
        <v>161</v>
      </c>
      <c r="F396" s="74">
        <v>16371500</v>
      </c>
      <c r="G396" s="80">
        <v>16.371500000000001</v>
      </c>
      <c r="H396" s="81" t="s">
        <v>94</v>
      </c>
      <c r="I396" s="81" t="s">
        <v>372</v>
      </c>
      <c r="J396" s="82" t="s">
        <v>373</v>
      </c>
    </row>
    <row r="397" spans="2:10" x14ac:dyDescent="0.3">
      <c r="B397" s="70" t="s">
        <v>371</v>
      </c>
      <c r="C397" s="70" t="s">
        <v>198</v>
      </c>
      <c r="D397" s="71" t="s">
        <v>103</v>
      </c>
      <c r="E397" s="71" t="s">
        <v>161</v>
      </c>
      <c r="F397" s="72">
        <v>452161</v>
      </c>
      <c r="G397" s="83">
        <v>0.45216099999999998</v>
      </c>
      <c r="H397" s="84" t="s">
        <v>94</v>
      </c>
      <c r="I397" s="84" t="s">
        <v>372</v>
      </c>
      <c r="J397" s="84" t="s">
        <v>373</v>
      </c>
    </row>
    <row r="398" spans="2:10" x14ac:dyDescent="0.3">
      <c r="B398" s="79" t="s">
        <v>371</v>
      </c>
      <c r="C398" s="79" t="s">
        <v>206</v>
      </c>
      <c r="D398" s="73" t="s">
        <v>96</v>
      </c>
      <c r="E398" s="73" t="s">
        <v>161</v>
      </c>
      <c r="F398" s="74">
        <v>422</v>
      </c>
      <c r="G398" s="80">
        <v>4.2200000000000001E-4</v>
      </c>
      <c r="H398" s="81" t="s">
        <v>94</v>
      </c>
      <c r="I398" s="81" t="s">
        <v>372</v>
      </c>
      <c r="J398" s="82" t="s">
        <v>373</v>
      </c>
    </row>
    <row r="399" spans="2:10" x14ac:dyDescent="0.3">
      <c r="B399" s="70" t="s">
        <v>371</v>
      </c>
      <c r="C399" s="70" t="s">
        <v>206</v>
      </c>
      <c r="D399" s="71" t="s">
        <v>96</v>
      </c>
      <c r="E399" s="71" t="s">
        <v>161</v>
      </c>
      <c r="F399" s="72">
        <v>749681</v>
      </c>
      <c r="G399" s="83">
        <v>0.74968100000000004</v>
      </c>
      <c r="H399" s="84" t="s">
        <v>94</v>
      </c>
      <c r="I399" s="84" t="s">
        <v>372</v>
      </c>
      <c r="J399" s="84" t="s">
        <v>373</v>
      </c>
    </row>
    <row r="400" spans="2:10" x14ac:dyDescent="0.3">
      <c r="B400" s="79" t="s">
        <v>371</v>
      </c>
      <c r="C400" s="79" t="s">
        <v>206</v>
      </c>
      <c r="D400" s="73" t="s">
        <v>96</v>
      </c>
      <c r="E400" s="73" t="s">
        <v>161</v>
      </c>
      <c r="F400" s="74">
        <v>807792</v>
      </c>
      <c r="G400" s="80">
        <v>0.80779199999999995</v>
      </c>
      <c r="H400" s="81" t="s">
        <v>94</v>
      </c>
      <c r="I400" s="81" t="s">
        <v>372</v>
      </c>
      <c r="J400" s="82" t="s">
        <v>373</v>
      </c>
    </row>
    <row r="401" spans="2:10" x14ac:dyDescent="0.3">
      <c r="B401" s="70" t="s">
        <v>371</v>
      </c>
      <c r="C401" s="70" t="s">
        <v>206</v>
      </c>
      <c r="D401" s="71" t="s">
        <v>102</v>
      </c>
      <c r="E401" s="71" t="s">
        <v>161</v>
      </c>
      <c r="F401" s="72">
        <v>-3000000</v>
      </c>
      <c r="G401" s="83">
        <v>-3</v>
      </c>
      <c r="H401" s="84" t="s">
        <v>94</v>
      </c>
      <c r="I401" s="84" t="s">
        <v>372</v>
      </c>
      <c r="J401" s="84" t="s">
        <v>373</v>
      </c>
    </row>
    <row r="402" spans="2:10" x14ac:dyDescent="0.3">
      <c r="B402" s="79" t="s">
        <v>371</v>
      </c>
      <c r="C402" s="79" t="s">
        <v>206</v>
      </c>
      <c r="D402" s="73" t="s">
        <v>96</v>
      </c>
      <c r="E402" s="73" t="s">
        <v>161</v>
      </c>
      <c r="F402" s="74">
        <v>811786</v>
      </c>
      <c r="G402" s="80">
        <v>0.81178600000000001</v>
      </c>
      <c r="H402" s="81" t="s">
        <v>94</v>
      </c>
      <c r="I402" s="81" t="s">
        <v>372</v>
      </c>
      <c r="J402" s="82" t="s">
        <v>373</v>
      </c>
    </row>
    <row r="403" spans="2:10" x14ac:dyDescent="0.3">
      <c r="B403" s="70" t="s">
        <v>371</v>
      </c>
      <c r="C403" s="70" t="s">
        <v>206</v>
      </c>
      <c r="D403" s="71" t="s">
        <v>96</v>
      </c>
      <c r="E403" s="71" t="s">
        <v>161</v>
      </c>
      <c r="F403" s="72">
        <v>423</v>
      </c>
      <c r="G403" s="83">
        <v>4.2299999999999998E-4</v>
      </c>
      <c r="H403" s="84" t="s">
        <v>94</v>
      </c>
      <c r="I403" s="84" t="s">
        <v>372</v>
      </c>
      <c r="J403" s="84" t="s">
        <v>373</v>
      </c>
    </row>
    <row r="404" spans="2:10" x14ac:dyDescent="0.3">
      <c r="B404" s="79" t="s">
        <v>371</v>
      </c>
      <c r="C404" s="79" t="s">
        <v>206</v>
      </c>
      <c r="D404" s="73" t="s">
        <v>96</v>
      </c>
      <c r="E404" s="73" t="s">
        <v>161</v>
      </c>
      <c r="F404" s="74">
        <v>1180583</v>
      </c>
      <c r="G404" s="80">
        <v>1.1805829999999999</v>
      </c>
      <c r="H404" s="81" t="s">
        <v>94</v>
      </c>
      <c r="I404" s="81" t="s">
        <v>372</v>
      </c>
      <c r="J404" s="82" t="s">
        <v>373</v>
      </c>
    </row>
    <row r="405" spans="2:10" x14ac:dyDescent="0.3">
      <c r="B405" s="70" t="s">
        <v>371</v>
      </c>
      <c r="C405" s="70" t="s">
        <v>206</v>
      </c>
      <c r="D405" s="71" t="s">
        <v>102</v>
      </c>
      <c r="E405" s="71" t="s">
        <v>161</v>
      </c>
      <c r="F405" s="72">
        <v>1102131</v>
      </c>
      <c r="G405" s="83">
        <v>1.102131</v>
      </c>
      <c r="H405" s="84" t="s">
        <v>94</v>
      </c>
      <c r="I405" s="84" t="s">
        <v>372</v>
      </c>
      <c r="J405" s="84" t="s">
        <v>373</v>
      </c>
    </row>
    <row r="406" spans="2:10" x14ac:dyDescent="0.3">
      <c r="B406" s="79" t="s">
        <v>371</v>
      </c>
      <c r="C406" s="79" t="s">
        <v>206</v>
      </c>
      <c r="D406" s="73" t="s">
        <v>102</v>
      </c>
      <c r="E406" s="73" t="s">
        <v>161</v>
      </c>
      <c r="F406" s="74">
        <v>3000000</v>
      </c>
      <c r="G406" s="80">
        <v>3</v>
      </c>
      <c r="H406" s="81" t="s">
        <v>94</v>
      </c>
      <c r="I406" s="81" t="s">
        <v>372</v>
      </c>
      <c r="J406" s="82" t="s">
        <v>373</v>
      </c>
    </row>
    <row r="407" spans="2:10" x14ac:dyDescent="0.3">
      <c r="B407" s="70" t="s">
        <v>371</v>
      </c>
      <c r="C407" s="70" t="s">
        <v>206</v>
      </c>
      <c r="D407" s="71" t="s">
        <v>96</v>
      </c>
      <c r="E407" s="71" t="s">
        <v>161</v>
      </c>
      <c r="F407" s="72">
        <v>642699</v>
      </c>
      <c r="G407" s="83">
        <v>0.64269900000000002</v>
      </c>
      <c r="H407" s="84" t="s">
        <v>94</v>
      </c>
      <c r="I407" s="84" t="s">
        <v>372</v>
      </c>
      <c r="J407" s="84" t="s">
        <v>373</v>
      </c>
    </row>
    <row r="408" spans="2:10" x14ac:dyDescent="0.3">
      <c r="B408" s="79" t="s">
        <v>371</v>
      </c>
      <c r="C408" s="79" t="s">
        <v>206</v>
      </c>
      <c r="D408" s="73" t="s">
        <v>96</v>
      </c>
      <c r="E408" s="73" t="s">
        <v>161</v>
      </c>
      <c r="F408" s="74">
        <v>11000</v>
      </c>
      <c r="G408" s="80">
        <v>1.0999999999999999E-2</v>
      </c>
      <c r="H408" s="81" t="s">
        <v>94</v>
      </c>
      <c r="I408" s="81" t="s">
        <v>372</v>
      </c>
      <c r="J408" s="82" t="s">
        <v>373</v>
      </c>
    </row>
    <row r="409" spans="2:10" x14ac:dyDescent="0.3">
      <c r="B409" s="70" t="s">
        <v>371</v>
      </c>
      <c r="C409" s="70" t="s">
        <v>206</v>
      </c>
      <c r="D409" s="71" t="s">
        <v>96</v>
      </c>
      <c r="E409" s="71" t="s">
        <v>161</v>
      </c>
      <c r="F409" s="72">
        <v>126786</v>
      </c>
      <c r="G409" s="83">
        <v>0.12678600000000001</v>
      </c>
      <c r="H409" s="84" t="s">
        <v>94</v>
      </c>
      <c r="I409" s="84" t="s">
        <v>372</v>
      </c>
      <c r="J409" s="84" t="s">
        <v>373</v>
      </c>
    </row>
    <row r="410" spans="2:10" x14ac:dyDescent="0.3">
      <c r="B410" s="79" t="s">
        <v>371</v>
      </c>
      <c r="C410" s="79" t="s">
        <v>206</v>
      </c>
      <c r="D410" s="73" t="s">
        <v>96</v>
      </c>
      <c r="E410" s="73" t="s">
        <v>161</v>
      </c>
      <c r="F410" s="74">
        <v>25400</v>
      </c>
      <c r="G410" s="80">
        <v>2.5399999999999999E-2</v>
      </c>
      <c r="H410" s="81" t="s">
        <v>94</v>
      </c>
      <c r="I410" s="81" t="s">
        <v>372</v>
      </c>
      <c r="J410" s="82" t="s">
        <v>373</v>
      </c>
    </row>
    <row r="411" spans="2:10" x14ac:dyDescent="0.3">
      <c r="B411" s="70" t="s">
        <v>371</v>
      </c>
      <c r="C411" s="70" t="s">
        <v>206</v>
      </c>
      <c r="D411" s="71" t="s">
        <v>96</v>
      </c>
      <c r="E411" s="71" t="s">
        <v>161</v>
      </c>
      <c r="F411" s="72">
        <v>36</v>
      </c>
      <c r="G411" s="83">
        <v>3.6000000000000001E-5</v>
      </c>
      <c r="H411" s="84" t="s">
        <v>94</v>
      </c>
      <c r="I411" s="84" t="s">
        <v>372</v>
      </c>
      <c r="J411" s="84" t="s">
        <v>373</v>
      </c>
    </row>
    <row r="412" spans="2:10" x14ac:dyDescent="0.3">
      <c r="B412" s="79" t="s">
        <v>371</v>
      </c>
      <c r="C412" s="79" t="s">
        <v>206</v>
      </c>
      <c r="D412" s="73" t="s">
        <v>102</v>
      </c>
      <c r="E412" s="73" t="s">
        <v>161</v>
      </c>
      <c r="F412" s="74">
        <v>997869</v>
      </c>
      <c r="G412" s="80">
        <v>0.99786900000000001</v>
      </c>
      <c r="H412" s="81" t="s">
        <v>94</v>
      </c>
      <c r="I412" s="81" t="s">
        <v>372</v>
      </c>
      <c r="J412" s="82" t="s">
        <v>373</v>
      </c>
    </row>
    <row r="413" spans="2:10" x14ac:dyDescent="0.3">
      <c r="B413" s="70" t="s">
        <v>371</v>
      </c>
      <c r="C413" s="70" t="s">
        <v>206</v>
      </c>
      <c r="D413" s="71" t="s">
        <v>96</v>
      </c>
      <c r="E413" s="71" t="s">
        <v>161</v>
      </c>
      <c r="F413" s="72">
        <v>11000</v>
      </c>
      <c r="G413" s="83">
        <v>1.0999999999999999E-2</v>
      </c>
      <c r="H413" s="84" t="s">
        <v>94</v>
      </c>
      <c r="I413" s="84" t="s">
        <v>372</v>
      </c>
      <c r="J413" s="84" t="s">
        <v>373</v>
      </c>
    </row>
    <row r="414" spans="2:10" x14ac:dyDescent="0.3">
      <c r="B414" s="79" t="s">
        <v>371</v>
      </c>
      <c r="C414" s="79" t="s">
        <v>206</v>
      </c>
      <c r="D414" s="73" t="s">
        <v>96</v>
      </c>
      <c r="E414" s="73" t="s">
        <v>161</v>
      </c>
      <c r="F414" s="74">
        <v>11000</v>
      </c>
      <c r="G414" s="80">
        <v>1.0999999999999999E-2</v>
      </c>
      <c r="H414" s="81" t="s">
        <v>94</v>
      </c>
      <c r="I414" s="81" t="s">
        <v>372</v>
      </c>
      <c r="J414" s="82" t="s">
        <v>373</v>
      </c>
    </row>
    <row r="415" spans="2:10" x14ac:dyDescent="0.3">
      <c r="B415" s="70" t="s">
        <v>371</v>
      </c>
      <c r="C415" s="70" t="s">
        <v>206</v>
      </c>
      <c r="D415" s="71" t="s">
        <v>96</v>
      </c>
      <c r="E415" s="71" t="s">
        <v>161</v>
      </c>
      <c r="F415" s="72">
        <v>11000</v>
      </c>
      <c r="G415" s="83">
        <v>1.0999999999999999E-2</v>
      </c>
      <c r="H415" s="84" t="s">
        <v>94</v>
      </c>
      <c r="I415" s="84" t="s">
        <v>372</v>
      </c>
      <c r="J415" s="84" t="s">
        <v>373</v>
      </c>
    </row>
    <row r="416" spans="2:10" x14ac:dyDescent="0.3">
      <c r="B416" s="79" t="s">
        <v>371</v>
      </c>
      <c r="C416" s="79" t="s">
        <v>206</v>
      </c>
      <c r="D416" s="73" t="s">
        <v>96</v>
      </c>
      <c r="E416" s="73" t="s">
        <v>161</v>
      </c>
      <c r="F416" s="74">
        <v>127088</v>
      </c>
      <c r="G416" s="80">
        <v>0.12708800000000001</v>
      </c>
      <c r="H416" s="81" t="s">
        <v>94</v>
      </c>
      <c r="I416" s="81" t="s">
        <v>372</v>
      </c>
      <c r="J416" s="82" t="s">
        <v>373</v>
      </c>
    </row>
    <row r="417" spans="2:10" x14ac:dyDescent="0.3">
      <c r="B417" s="70" t="s">
        <v>371</v>
      </c>
      <c r="C417" s="70" t="s">
        <v>206</v>
      </c>
      <c r="D417" s="71" t="s">
        <v>96</v>
      </c>
      <c r="E417" s="71" t="s">
        <v>161</v>
      </c>
      <c r="F417" s="72">
        <v>121022</v>
      </c>
      <c r="G417" s="83">
        <v>0.121022</v>
      </c>
      <c r="H417" s="84" t="s">
        <v>94</v>
      </c>
      <c r="I417" s="84" t="s">
        <v>372</v>
      </c>
      <c r="J417" s="84" t="s">
        <v>373</v>
      </c>
    </row>
    <row r="418" spans="2:10" x14ac:dyDescent="0.3">
      <c r="B418" s="79" t="s">
        <v>371</v>
      </c>
      <c r="C418" s="79" t="s">
        <v>206</v>
      </c>
      <c r="D418" s="73" t="s">
        <v>96</v>
      </c>
      <c r="E418" s="73" t="s">
        <v>161</v>
      </c>
      <c r="F418" s="74">
        <v>111924</v>
      </c>
      <c r="G418" s="80">
        <v>0.111924</v>
      </c>
      <c r="H418" s="81" t="s">
        <v>94</v>
      </c>
      <c r="I418" s="81" t="s">
        <v>372</v>
      </c>
      <c r="J418" s="82" t="s">
        <v>373</v>
      </c>
    </row>
    <row r="419" spans="2:10" x14ac:dyDescent="0.3">
      <c r="B419" s="70" t="s">
        <v>371</v>
      </c>
      <c r="C419" s="70" t="s">
        <v>206</v>
      </c>
      <c r="D419" s="71" t="s">
        <v>96</v>
      </c>
      <c r="E419" s="71" t="s">
        <v>161</v>
      </c>
      <c r="F419" s="72">
        <v>11000</v>
      </c>
      <c r="G419" s="83">
        <v>1.0999999999999999E-2</v>
      </c>
      <c r="H419" s="84" t="s">
        <v>94</v>
      </c>
      <c r="I419" s="84" t="s">
        <v>372</v>
      </c>
      <c r="J419" s="84" t="s">
        <v>373</v>
      </c>
    </row>
    <row r="420" spans="2:10" x14ac:dyDescent="0.3">
      <c r="B420" s="79" t="s">
        <v>371</v>
      </c>
      <c r="C420" s="79" t="s">
        <v>206</v>
      </c>
      <c r="D420" s="73" t="s">
        <v>96</v>
      </c>
      <c r="E420" s="73" t="s">
        <v>161</v>
      </c>
      <c r="F420" s="74">
        <v>731715</v>
      </c>
      <c r="G420" s="80">
        <v>0.731715</v>
      </c>
      <c r="H420" s="81" t="s">
        <v>94</v>
      </c>
      <c r="I420" s="81" t="s">
        <v>372</v>
      </c>
      <c r="J420" s="82" t="s">
        <v>373</v>
      </c>
    </row>
    <row r="421" spans="2:10" x14ac:dyDescent="0.3">
      <c r="B421" s="70" t="s">
        <v>371</v>
      </c>
      <c r="C421" s="70" t="s">
        <v>206</v>
      </c>
      <c r="D421" s="71" t="s">
        <v>96</v>
      </c>
      <c r="E421" s="71" t="s">
        <v>161</v>
      </c>
      <c r="F421" s="72">
        <v>121822</v>
      </c>
      <c r="G421" s="83">
        <v>0.121822</v>
      </c>
      <c r="H421" s="84" t="s">
        <v>94</v>
      </c>
      <c r="I421" s="84" t="s">
        <v>372</v>
      </c>
      <c r="J421" s="84" t="s">
        <v>373</v>
      </c>
    </row>
    <row r="422" spans="2:10" x14ac:dyDescent="0.3">
      <c r="B422" s="79" t="s">
        <v>371</v>
      </c>
      <c r="C422" s="79" t="s">
        <v>206</v>
      </c>
      <c r="D422" s="73" t="s">
        <v>102</v>
      </c>
      <c r="E422" s="73" t="s">
        <v>161</v>
      </c>
      <c r="F422" s="74">
        <v>337519</v>
      </c>
      <c r="G422" s="80">
        <v>0.33751900000000001</v>
      </c>
      <c r="H422" s="81" t="s">
        <v>94</v>
      </c>
      <c r="I422" s="81" t="s">
        <v>372</v>
      </c>
      <c r="J422" s="82" t="s">
        <v>373</v>
      </c>
    </row>
    <row r="423" spans="2:10" x14ac:dyDescent="0.3">
      <c r="B423" s="70" t="s">
        <v>371</v>
      </c>
      <c r="C423" s="70" t="s">
        <v>206</v>
      </c>
      <c r="D423" s="71" t="s">
        <v>96</v>
      </c>
      <c r="E423" s="71" t="s">
        <v>161</v>
      </c>
      <c r="F423" s="72">
        <v>121022</v>
      </c>
      <c r="G423" s="83">
        <v>0.121022</v>
      </c>
      <c r="H423" s="84" t="s">
        <v>94</v>
      </c>
      <c r="I423" s="84" t="s">
        <v>372</v>
      </c>
      <c r="J423" s="84" t="s">
        <v>373</v>
      </c>
    </row>
    <row r="424" spans="2:10" x14ac:dyDescent="0.3">
      <c r="B424" s="79" t="s">
        <v>371</v>
      </c>
      <c r="C424" s="79" t="s">
        <v>206</v>
      </c>
      <c r="D424" s="73" t="s">
        <v>96</v>
      </c>
      <c r="E424" s="73" t="s">
        <v>161</v>
      </c>
      <c r="F424" s="74">
        <v>11000</v>
      </c>
      <c r="G424" s="80">
        <v>1.0999999999999999E-2</v>
      </c>
      <c r="H424" s="81" t="s">
        <v>94</v>
      </c>
      <c r="I424" s="81" t="s">
        <v>372</v>
      </c>
      <c r="J424" s="82" t="s">
        <v>373</v>
      </c>
    </row>
    <row r="425" spans="2:10" x14ac:dyDescent="0.3">
      <c r="B425" s="70" t="s">
        <v>371</v>
      </c>
      <c r="C425" s="70" t="s">
        <v>206</v>
      </c>
      <c r="D425" s="71" t="s">
        <v>96</v>
      </c>
      <c r="E425" s="71" t="s">
        <v>161</v>
      </c>
      <c r="F425" s="72">
        <v>199283</v>
      </c>
      <c r="G425" s="83">
        <v>0.19928299999999999</v>
      </c>
      <c r="H425" s="84" t="s">
        <v>94</v>
      </c>
      <c r="I425" s="84" t="s">
        <v>372</v>
      </c>
      <c r="J425" s="84" t="s">
        <v>373</v>
      </c>
    </row>
    <row r="426" spans="2:10" x14ac:dyDescent="0.3">
      <c r="B426" s="79" t="s">
        <v>371</v>
      </c>
      <c r="C426" s="79" t="s">
        <v>206</v>
      </c>
      <c r="D426" s="73" t="s">
        <v>96</v>
      </c>
      <c r="E426" s="73" t="s">
        <v>161</v>
      </c>
      <c r="F426" s="74">
        <v>122311</v>
      </c>
      <c r="G426" s="80">
        <v>0.122311</v>
      </c>
      <c r="H426" s="81" t="s">
        <v>94</v>
      </c>
      <c r="I426" s="81" t="s">
        <v>372</v>
      </c>
      <c r="J426" s="82" t="s">
        <v>373</v>
      </c>
    </row>
    <row r="427" spans="2:10" x14ac:dyDescent="0.3">
      <c r="B427" s="70" t="s">
        <v>371</v>
      </c>
      <c r="C427" s="70" t="s">
        <v>206</v>
      </c>
      <c r="D427" s="71" t="s">
        <v>96</v>
      </c>
      <c r="E427" s="71" t="s">
        <v>161</v>
      </c>
      <c r="F427" s="72">
        <v>722783</v>
      </c>
      <c r="G427" s="83">
        <v>0.72278299999999995</v>
      </c>
      <c r="H427" s="84" t="s">
        <v>94</v>
      </c>
      <c r="I427" s="84" t="s">
        <v>372</v>
      </c>
      <c r="J427" s="84" t="s">
        <v>373</v>
      </c>
    </row>
    <row r="428" spans="2:10" x14ac:dyDescent="0.3">
      <c r="B428" s="79" t="s">
        <v>371</v>
      </c>
      <c r="C428" s="79" t="s">
        <v>206</v>
      </c>
      <c r="D428" s="73" t="s">
        <v>96</v>
      </c>
      <c r="E428" s="73" t="s">
        <v>161</v>
      </c>
      <c r="F428" s="74">
        <v>11000</v>
      </c>
      <c r="G428" s="80">
        <v>1.0999999999999999E-2</v>
      </c>
      <c r="H428" s="81" t="s">
        <v>94</v>
      </c>
      <c r="I428" s="81" t="s">
        <v>372</v>
      </c>
      <c r="J428" s="82" t="s">
        <v>373</v>
      </c>
    </row>
    <row r="429" spans="2:10" x14ac:dyDescent="0.3">
      <c r="B429" s="70" t="s">
        <v>371</v>
      </c>
      <c r="C429" s="70" t="s">
        <v>206</v>
      </c>
      <c r="D429" s="71" t="s">
        <v>96</v>
      </c>
      <c r="E429" s="71" t="s">
        <v>161</v>
      </c>
      <c r="F429" s="72">
        <v>731715</v>
      </c>
      <c r="G429" s="83">
        <v>0.731715</v>
      </c>
      <c r="H429" s="84" t="s">
        <v>94</v>
      </c>
      <c r="I429" s="84" t="s">
        <v>372</v>
      </c>
      <c r="J429" s="84" t="s">
        <v>373</v>
      </c>
    </row>
    <row r="430" spans="2:10" x14ac:dyDescent="0.3">
      <c r="B430" s="79" t="s">
        <v>371</v>
      </c>
      <c r="C430" s="79" t="s">
        <v>185</v>
      </c>
      <c r="D430" s="73" t="s">
        <v>96</v>
      </c>
      <c r="E430" s="73" t="s">
        <v>161</v>
      </c>
      <c r="F430" s="74">
        <v>2130196</v>
      </c>
      <c r="G430" s="80">
        <v>2.1301960000000002</v>
      </c>
      <c r="H430" s="81" t="s">
        <v>94</v>
      </c>
      <c r="I430" s="81" t="s">
        <v>372</v>
      </c>
      <c r="J430" s="82" t="s">
        <v>373</v>
      </c>
    </row>
    <row r="431" spans="2:10" x14ac:dyDescent="0.3">
      <c r="B431" s="70" t="s">
        <v>371</v>
      </c>
      <c r="C431" s="70" t="s">
        <v>185</v>
      </c>
      <c r="D431" s="71" t="s">
        <v>96</v>
      </c>
      <c r="E431" s="71" t="s">
        <v>161</v>
      </c>
      <c r="F431" s="72">
        <v>19100</v>
      </c>
      <c r="G431" s="83">
        <v>1.9099999999999999E-2</v>
      </c>
      <c r="H431" s="84" t="s">
        <v>94</v>
      </c>
      <c r="I431" s="84" t="s">
        <v>372</v>
      </c>
      <c r="J431" s="84" t="s">
        <v>373</v>
      </c>
    </row>
    <row r="432" spans="2:10" x14ac:dyDescent="0.3">
      <c r="B432" s="79" t="s">
        <v>371</v>
      </c>
      <c r="C432" s="79" t="s">
        <v>185</v>
      </c>
      <c r="D432" s="73" t="s">
        <v>96</v>
      </c>
      <c r="E432" s="73" t="s">
        <v>161</v>
      </c>
      <c r="F432" s="74">
        <v>18600</v>
      </c>
      <c r="G432" s="80">
        <v>1.8599999999999998E-2</v>
      </c>
      <c r="H432" s="81" t="s">
        <v>94</v>
      </c>
      <c r="I432" s="81" t="s">
        <v>372</v>
      </c>
      <c r="J432" s="82" t="s">
        <v>373</v>
      </c>
    </row>
    <row r="433" spans="2:10" x14ac:dyDescent="0.3">
      <c r="B433" s="70" t="s">
        <v>371</v>
      </c>
      <c r="C433" s="70" t="s">
        <v>185</v>
      </c>
      <c r="D433" s="71" t="s">
        <v>96</v>
      </c>
      <c r="E433" s="71" t="s">
        <v>161</v>
      </c>
      <c r="F433" s="72">
        <v>20100</v>
      </c>
      <c r="G433" s="83">
        <v>2.01E-2</v>
      </c>
      <c r="H433" s="84" t="s">
        <v>94</v>
      </c>
      <c r="I433" s="84" t="s">
        <v>372</v>
      </c>
      <c r="J433" s="84" t="s">
        <v>373</v>
      </c>
    </row>
    <row r="434" spans="2:10" x14ac:dyDescent="0.3">
      <c r="B434" s="79" t="s">
        <v>371</v>
      </c>
      <c r="C434" s="79" t="s">
        <v>185</v>
      </c>
      <c r="D434" s="73" t="s">
        <v>96</v>
      </c>
      <c r="E434" s="73" t="s">
        <v>161</v>
      </c>
      <c r="F434" s="74">
        <v>1091229</v>
      </c>
      <c r="G434" s="80">
        <v>1.091229</v>
      </c>
      <c r="H434" s="81" t="s">
        <v>94</v>
      </c>
      <c r="I434" s="81" t="s">
        <v>372</v>
      </c>
      <c r="J434" s="82" t="s">
        <v>373</v>
      </c>
    </row>
    <row r="435" spans="2:10" x14ac:dyDescent="0.3">
      <c r="B435" s="70" t="s">
        <v>371</v>
      </c>
      <c r="C435" s="70" t="s">
        <v>185</v>
      </c>
      <c r="D435" s="71" t="s">
        <v>98</v>
      </c>
      <c r="E435" s="71" t="s">
        <v>161</v>
      </c>
      <c r="F435" s="72">
        <v>43472965</v>
      </c>
      <c r="G435" s="83">
        <v>43.472965000000002</v>
      </c>
      <c r="H435" s="84" t="s">
        <v>94</v>
      </c>
      <c r="I435" s="84" t="s">
        <v>372</v>
      </c>
      <c r="J435" s="84" t="s">
        <v>373</v>
      </c>
    </row>
    <row r="436" spans="2:10" x14ac:dyDescent="0.3">
      <c r="B436" s="79" t="s">
        <v>371</v>
      </c>
      <c r="C436" s="79" t="s">
        <v>185</v>
      </c>
      <c r="D436" s="73" t="s">
        <v>96</v>
      </c>
      <c r="E436" s="73" t="s">
        <v>161</v>
      </c>
      <c r="F436" s="74">
        <v>2302818</v>
      </c>
      <c r="G436" s="80">
        <v>2.3028179999999998</v>
      </c>
      <c r="H436" s="81" t="s">
        <v>94</v>
      </c>
      <c r="I436" s="81" t="s">
        <v>372</v>
      </c>
      <c r="J436" s="82" t="s">
        <v>373</v>
      </c>
    </row>
    <row r="437" spans="2:10" x14ac:dyDescent="0.3">
      <c r="B437" s="70" t="s">
        <v>371</v>
      </c>
      <c r="C437" s="70" t="s">
        <v>185</v>
      </c>
      <c r="D437" s="71" t="s">
        <v>98</v>
      </c>
      <c r="E437" s="71" t="s">
        <v>161</v>
      </c>
      <c r="F437" s="72">
        <v>-43472965</v>
      </c>
      <c r="G437" s="83">
        <v>-43.472965000000002</v>
      </c>
      <c r="H437" s="84" t="s">
        <v>94</v>
      </c>
      <c r="I437" s="84" t="s">
        <v>372</v>
      </c>
      <c r="J437" s="84" t="s">
        <v>373</v>
      </c>
    </row>
    <row r="438" spans="2:10" x14ac:dyDescent="0.3">
      <c r="B438" s="79" t="s">
        <v>371</v>
      </c>
      <c r="C438" s="79" t="s">
        <v>185</v>
      </c>
      <c r="D438" s="73" t="s">
        <v>98</v>
      </c>
      <c r="E438" s="73" t="s">
        <v>161</v>
      </c>
      <c r="F438" s="74">
        <v>43469053</v>
      </c>
      <c r="G438" s="80">
        <v>43.469053000000002</v>
      </c>
      <c r="H438" s="81" t="s">
        <v>94</v>
      </c>
      <c r="I438" s="81" t="s">
        <v>372</v>
      </c>
      <c r="J438" s="82" t="s">
        <v>373</v>
      </c>
    </row>
    <row r="439" spans="2:10" x14ac:dyDescent="0.3">
      <c r="B439" s="70" t="s">
        <v>371</v>
      </c>
      <c r="C439" s="70" t="s">
        <v>185</v>
      </c>
      <c r="D439" s="71" t="s">
        <v>98</v>
      </c>
      <c r="E439" s="71" t="s">
        <v>161</v>
      </c>
      <c r="F439" s="72">
        <v>-43469053</v>
      </c>
      <c r="G439" s="83">
        <v>-43.469053000000002</v>
      </c>
      <c r="H439" s="84" t="s">
        <v>94</v>
      </c>
      <c r="I439" s="84" t="s">
        <v>372</v>
      </c>
      <c r="J439" s="84" t="s">
        <v>373</v>
      </c>
    </row>
    <row r="440" spans="2:10" x14ac:dyDescent="0.3">
      <c r="B440" s="79" t="s">
        <v>371</v>
      </c>
      <c r="C440" s="79" t="s">
        <v>185</v>
      </c>
      <c r="D440" s="73" t="s">
        <v>96</v>
      </c>
      <c r="E440" s="73" t="s">
        <v>161</v>
      </c>
      <c r="F440" s="74">
        <v>616402</v>
      </c>
      <c r="G440" s="80">
        <v>0.61640200000000001</v>
      </c>
      <c r="H440" s="81" t="s">
        <v>94</v>
      </c>
      <c r="I440" s="81" t="s">
        <v>372</v>
      </c>
      <c r="J440" s="82" t="s">
        <v>373</v>
      </c>
    </row>
    <row r="441" spans="2:10" x14ac:dyDescent="0.3">
      <c r="B441" s="70" t="s">
        <v>371</v>
      </c>
      <c r="C441" s="70" t="s">
        <v>185</v>
      </c>
      <c r="D441" s="71" t="s">
        <v>96</v>
      </c>
      <c r="E441" s="71" t="s">
        <v>161</v>
      </c>
      <c r="F441" s="72">
        <v>1353408</v>
      </c>
      <c r="G441" s="83">
        <v>1.3534079999999999</v>
      </c>
      <c r="H441" s="84" t="s">
        <v>94</v>
      </c>
      <c r="I441" s="84" t="s">
        <v>372</v>
      </c>
      <c r="J441" s="84" t="s">
        <v>373</v>
      </c>
    </row>
    <row r="442" spans="2:10" x14ac:dyDescent="0.3">
      <c r="B442" s="79" t="s">
        <v>371</v>
      </c>
      <c r="C442" s="79" t="s">
        <v>185</v>
      </c>
      <c r="D442" s="73" t="s">
        <v>96</v>
      </c>
      <c r="E442" s="73" t="s">
        <v>161</v>
      </c>
      <c r="F442" s="74">
        <v>1533570</v>
      </c>
      <c r="G442" s="80">
        <v>1.5335700000000001</v>
      </c>
      <c r="H442" s="81" t="s">
        <v>94</v>
      </c>
      <c r="I442" s="81" t="s">
        <v>372</v>
      </c>
      <c r="J442" s="82" t="s">
        <v>373</v>
      </c>
    </row>
    <row r="443" spans="2:10" x14ac:dyDescent="0.3">
      <c r="B443" s="70" t="s">
        <v>371</v>
      </c>
      <c r="C443" s="70" t="s">
        <v>185</v>
      </c>
      <c r="D443" s="71" t="s">
        <v>98</v>
      </c>
      <c r="E443" s="71" t="s">
        <v>161</v>
      </c>
      <c r="F443" s="72">
        <v>43469053</v>
      </c>
      <c r="G443" s="83">
        <v>43.469053000000002</v>
      </c>
      <c r="H443" s="84" t="s">
        <v>94</v>
      </c>
      <c r="I443" s="84" t="s">
        <v>372</v>
      </c>
      <c r="J443" s="84" t="s">
        <v>373</v>
      </c>
    </row>
    <row r="444" spans="2:10" x14ac:dyDescent="0.3">
      <c r="B444" s="79" t="s">
        <v>371</v>
      </c>
      <c r="C444" s="79" t="s">
        <v>185</v>
      </c>
      <c r="D444" s="73" t="s">
        <v>98</v>
      </c>
      <c r="E444" s="73" t="s">
        <v>161</v>
      </c>
      <c r="F444" s="74">
        <v>43472965</v>
      </c>
      <c r="G444" s="80">
        <v>43.472965000000002</v>
      </c>
      <c r="H444" s="81" t="s">
        <v>94</v>
      </c>
      <c r="I444" s="81" t="s">
        <v>372</v>
      </c>
      <c r="J444" s="82" t="s">
        <v>373</v>
      </c>
    </row>
    <row r="445" spans="2:10" x14ac:dyDescent="0.3">
      <c r="B445" s="70" t="s">
        <v>371</v>
      </c>
      <c r="C445" s="70" t="s">
        <v>185</v>
      </c>
      <c r="D445" s="71" t="s">
        <v>96</v>
      </c>
      <c r="E445" s="71" t="s">
        <v>161</v>
      </c>
      <c r="F445" s="72">
        <v>19300</v>
      </c>
      <c r="G445" s="83">
        <v>1.9300000000000001E-2</v>
      </c>
      <c r="H445" s="84" t="s">
        <v>94</v>
      </c>
      <c r="I445" s="84" t="s">
        <v>372</v>
      </c>
      <c r="J445" s="84" t="s">
        <v>373</v>
      </c>
    </row>
    <row r="446" spans="2:10" x14ac:dyDescent="0.3">
      <c r="B446" s="79" t="s">
        <v>371</v>
      </c>
      <c r="C446" s="79" t="s">
        <v>185</v>
      </c>
      <c r="D446" s="73" t="s">
        <v>96</v>
      </c>
      <c r="E446" s="73" t="s">
        <v>161</v>
      </c>
      <c r="F446" s="74">
        <v>19800</v>
      </c>
      <c r="G446" s="80">
        <v>1.9800000000000002E-2</v>
      </c>
      <c r="H446" s="81" t="s">
        <v>94</v>
      </c>
      <c r="I446" s="81" t="s">
        <v>372</v>
      </c>
      <c r="J446" s="82" t="s">
        <v>373</v>
      </c>
    </row>
    <row r="447" spans="2:10" x14ac:dyDescent="0.3">
      <c r="B447" s="70" t="s">
        <v>371</v>
      </c>
      <c r="C447" s="70" t="s">
        <v>185</v>
      </c>
      <c r="D447" s="71" t="s">
        <v>96</v>
      </c>
      <c r="E447" s="71" t="s">
        <v>161</v>
      </c>
      <c r="F447" s="72">
        <v>1368079</v>
      </c>
      <c r="G447" s="83">
        <v>1.368079</v>
      </c>
      <c r="H447" s="84" t="s">
        <v>94</v>
      </c>
      <c r="I447" s="84" t="s">
        <v>372</v>
      </c>
      <c r="J447" s="84" t="s">
        <v>373</v>
      </c>
    </row>
    <row r="448" spans="2:10" x14ac:dyDescent="0.3">
      <c r="B448" s="79" t="s">
        <v>371</v>
      </c>
      <c r="C448" s="79" t="s">
        <v>185</v>
      </c>
      <c r="D448" s="73" t="s">
        <v>96</v>
      </c>
      <c r="E448" s="73" t="s">
        <v>161</v>
      </c>
      <c r="F448" s="74">
        <v>19400</v>
      </c>
      <c r="G448" s="80">
        <v>1.9400000000000001E-2</v>
      </c>
      <c r="H448" s="81" t="s">
        <v>94</v>
      </c>
      <c r="I448" s="81" t="s">
        <v>372</v>
      </c>
      <c r="J448" s="82" t="s">
        <v>373</v>
      </c>
    </row>
    <row r="449" spans="2:10" x14ac:dyDescent="0.3">
      <c r="B449" s="70" t="s">
        <v>371</v>
      </c>
      <c r="C449" s="70" t="s">
        <v>185</v>
      </c>
      <c r="D449" s="71" t="s">
        <v>96</v>
      </c>
      <c r="E449" s="71" t="s">
        <v>161</v>
      </c>
      <c r="F449" s="72">
        <v>19600</v>
      </c>
      <c r="G449" s="83">
        <v>1.9599999999999999E-2</v>
      </c>
      <c r="H449" s="84" t="s">
        <v>94</v>
      </c>
      <c r="I449" s="84" t="s">
        <v>372</v>
      </c>
      <c r="J449" s="84" t="s">
        <v>373</v>
      </c>
    </row>
    <row r="450" spans="2:10" x14ac:dyDescent="0.3">
      <c r="B450" s="79" t="s">
        <v>371</v>
      </c>
      <c r="C450" s="79" t="s">
        <v>185</v>
      </c>
      <c r="D450" s="73" t="s">
        <v>96</v>
      </c>
      <c r="E450" s="73" t="s">
        <v>161</v>
      </c>
      <c r="F450" s="74">
        <v>1120650</v>
      </c>
      <c r="G450" s="80">
        <v>1.1206499999999999</v>
      </c>
      <c r="H450" s="81" t="s">
        <v>94</v>
      </c>
      <c r="I450" s="81" t="s">
        <v>372</v>
      </c>
      <c r="J450" s="82" t="s">
        <v>373</v>
      </c>
    </row>
    <row r="451" spans="2:10" x14ac:dyDescent="0.3">
      <c r="B451" s="70" t="s">
        <v>371</v>
      </c>
      <c r="C451" s="70" t="s">
        <v>185</v>
      </c>
      <c r="D451" s="71" t="s">
        <v>96</v>
      </c>
      <c r="E451" s="71" t="s">
        <v>161</v>
      </c>
      <c r="F451" s="72">
        <v>19300</v>
      </c>
      <c r="G451" s="83">
        <v>1.9300000000000001E-2</v>
      </c>
      <c r="H451" s="84" t="s">
        <v>94</v>
      </c>
      <c r="I451" s="84" t="s">
        <v>372</v>
      </c>
      <c r="J451" s="84" t="s">
        <v>373</v>
      </c>
    </row>
    <row r="452" spans="2:10" x14ac:dyDescent="0.3">
      <c r="B452" s="79" t="s">
        <v>371</v>
      </c>
      <c r="C452" s="79" t="s">
        <v>185</v>
      </c>
      <c r="D452" s="73" t="s">
        <v>96</v>
      </c>
      <c r="E452" s="73" t="s">
        <v>161</v>
      </c>
      <c r="F452" s="74">
        <v>1139660</v>
      </c>
      <c r="G452" s="80">
        <v>1.1396599999999999</v>
      </c>
      <c r="H452" s="81" t="s">
        <v>94</v>
      </c>
      <c r="I452" s="81" t="s">
        <v>372</v>
      </c>
      <c r="J452" s="82" t="s">
        <v>373</v>
      </c>
    </row>
    <row r="453" spans="2:10" x14ac:dyDescent="0.3">
      <c r="B453" s="70" t="s">
        <v>371</v>
      </c>
      <c r="C453" s="70" t="s">
        <v>185</v>
      </c>
      <c r="D453" s="71" t="s">
        <v>96</v>
      </c>
      <c r="E453" s="71" t="s">
        <v>161</v>
      </c>
      <c r="F453" s="72">
        <v>18700</v>
      </c>
      <c r="G453" s="83">
        <v>1.8700000000000001E-2</v>
      </c>
      <c r="H453" s="84" t="s">
        <v>94</v>
      </c>
      <c r="I453" s="84" t="s">
        <v>372</v>
      </c>
      <c r="J453" s="84" t="s">
        <v>373</v>
      </c>
    </row>
    <row r="454" spans="2:10" x14ac:dyDescent="0.3">
      <c r="B454" s="79" t="s">
        <v>371</v>
      </c>
      <c r="C454" s="79" t="s">
        <v>185</v>
      </c>
      <c r="D454" s="73" t="s">
        <v>96</v>
      </c>
      <c r="E454" s="73" t="s">
        <v>161</v>
      </c>
      <c r="F454" s="74">
        <v>892399</v>
      </c>
      <c r="G454" s="80">
        <v>0.89239900000000005</v>
      </c>
      <c r="H454" s="81" t="s">
        <v>94</v>
      </c>
      <c r="I454" s="81" t="s">
        <v>372</v>
      </c>
      <c r="J454" s="82" t="s">
        <v>373</v>
      </c>
    </row>
    <row r="455" spans="2:10" x14ac:dyDescent="0.3">
      <c r="B455" s="70" t="s">
        <v>371</v>
      </c>
      <c r="C455" s="70" t="s">
        <v>185</v>
      </c>
      <c r="D455" s="71" t="s">
        <v>96</v>
      </c>
      <c r="E455" s="71" t="s">
        <v>161</v>
      </c>
      <c r="F455" s="72">
        <v>25000</v>
      </c>
      <c r="G455" s="83">
        <v>2.5000000000000001E-2</v>
      </c>
      <c r="H455" s="84" t="s">
        <v>94</v>
      </c>
      <c r="I455" s="84" t="s">
        <v>372</v>
      </c>
      <c r="J455" s="84" t="s">
        <v>373</v>
      </c>
    </row>
    <row r="456" spans="2:10" x14ac:dyDescent="0.3">
      <c r="B456" s="79" t="s">
        <v>371</v>
      </c>
      <c r="C456" s="79" t="s">
        <v>185</v>
      </c>
      <c r="D456" s="73" t="s">
        <v>96</v>
      </c>
      <c r="E456" s="73" t="s">
        <v>161</v>
      </c>
      <c r="F456" s="74">
        <v>1988663</v>
      </c>
      <c r="G456" s="80">
        <v>1.9886630000000001</v>
      </c>
      <c r="H456" s="81" t="s">
        <v>94</v>
      </c>
      <c r="I456" s="81" t="s">
        <v>372</v>
      </c>
      <c r="J456" s="82" t="s">
        <v>373</v>
      </c>
    </row>
    <row r="457" spans="2:10" x14ac:dyDescent="0.3">
      <c r="B457" s="70" t="s">
        <v>371</v>
      </c>
      <c r="C457" s="70" t="s">
        <v>185</v>
      </c>
      <c r="D457" s="71" t="s">
        <v>96</v>
      </c>
      <c r="E457" s="71" t="s">
        <v>161</v>
      </c>
      <c r="F457" s="72">
        <v>4847036</v>
      </c>
      <c r="G457" s="83">
        <v>4.8470360000000001</v>
      </c>
      <c r="H457" s="84" t="s">
        <v>94</v>
      </c>
      <c r="I457" s="84" t="s">
        <v>372</v>
      </c>
      <c r="J457" s="84" t="s">
        <v>373</v>
      </c>
    </row>
    <row r="458" spans="2:10" x14ac:dyDescent="0.3">
      <c r="B458" s="79" t="s">
        <v>371</v>
      </c>
      <c r="C458" s="79" t="s">
        <v>185</v>
      </c>
      <c r="D458" s="73" t="s">
        <v>96</v>
      </c>
      <c r="E458" s="73" t="s">
        <v>161</v>
      </c>
      <c r="F458" s="74">
        <v>19600</v>
      </c>
      <c r="G458" s="80">
        <v>1.9599999999999999E-2</v>
      </c>
      <c r="H458" s="81" t="s">
        <v>94</v>
      </c>
      <c r="I458" s="81" t="s">
        <v>372</v>
      </c>
      <c r="J458" s="82" t="s">
        <v>373</v>
      </c>
    </row>
    <row r="459" spans="2:10" x14ac:dyDescent="0.3">
      <c r="B459" s="70" t="s">
        <v>371</v>
      </c>
      <c r="C459" s="70" t="s">
        <v>227</v>
      </c>
      <c r="D459" s="71" t="s">
        <v>96</v>
      </c>
      <c r="E459" s="71" t="s">
        <v>161</v>
      </c>
      <c r="F459" s="72">
        <v>778500</v>
      </c>
      <c r="G459" s="83">
        <v>0.77849999999999997</v>
      </c>
      <c r="H459" s="84" t="s">
        <v>94</v>
      </c>
      <c r="I459" s="84" t="s">
        <v>372</v>
      </c>
      <c r="J459" s="84" t="s">
        <v>373</v>
      </c>
    </row>
    <row r="460" spans="2:10" x14ac:dyDescent="0.3">
      <c r="B460" s="79" t="s">
        <v>371</v>
      </c>
      <c r="C460" s="79" t="s">
        <v>227</v>
      </c>
      <c r="D460" s="73" t="s">
        <v>102</v>
      </c>
      <c r="E460" s="73" t="s">
        <v>161</v>
      </c>
      <c r="F460" s="74">
        <v>1054426</v>
      </c>
      <c r="G460" s="80">
        <v>1.0544260000000001</v>
      </c>
      <c r="H460" s="81" t="s">
        <v>94</v>
      </c>
      <c r="I460" s="81" t="s">
        <v>372</v>
      </c>
      <c r="J460" s="82" t="s">
        <v>373</v>
      </c>
    </row>
    <row r="461" spans="2:10" x14ac:dyDescent="0.3">
      <c r="B461" s="70" t="s">
        <v>371</v>
      </c>
      <c r="C461" s="70" t="s">
        <v>227</v>
      </c>
      <c r="D461" s="71" t="s">
        <v>96</v>
      </c>
      <c r="E461" s="71" t="s">
        <v>161</v>
      </c>
      <c r="F461" s="72">
        <v>6000</v>
      </c>
      <c r="G461" s="83">
        <v>6.0000000000000001E-3</v>
      </c>
      <c r="H461" s="84" t="s">
        <v>94</v>
      </c>
      <c r="I461" s="84" t="s">
        <v>372</v>
      </c>
      <c r="J461" s="84" t="s">
        <v>373</v>
      </c>
    </row>
    <row r="462" spans="2:10" x14ac:dyDescent="0.3">
      <c r="B462" s="79" t="s">
        <v>371</v>
      </c>
      <c r="C462" s="79" t="s">
        <v>227</v>
      </c>
      <c r="D462" s="73" t="s">
        <v>96</v>
      </c>
      <c r="E462" s="73" t="s">
        <v>161</v>
      </c>
      <c r="F462" s="74">
        <v>36000</v>
      </c>
      <c r="G462" s="80">
        <v>3.5999999999999997E-2</v>
      </c>
      <c r="H462" s="81" t="s">
        <v>94</v>
      </c>
      <c r="I462" s="81" t="s">
        <v>372</v>
      </c>
      <c r="J462" s="82" t="s">
        <v>373</v>
      </c>
    </row>
    <row r="463" spans="2:10" x14ac:dyDescent="0.3">
      <c r="B463" s="70" t="s">
        <v>371</v>
      </c>
      <c r="C463" s="70" t="s">
        <v>227</v>
      </c>
      <c r="D463" s="71" t="s">
        <v>96</v>
      </c>
      <c r="E463" s="71" t="s">
        <v>161</v>
      </c>
      <c r="F463" s="72">
        <v>185250</v>
      </c>
      <c r="G463" s="83">
        <v>0.18525</v>
      </c>
      <c r="H463" s="84" t="s">
        <v>94</v>
      </c>
      <c r="I463" s="84" t="s">
        <v>372</v>
      </c>
      <c r="J463" s="84" t="s">
        <v>373</v>
      </c>
    </row>
    <row r="464" spans="2:10" x14ac:dyDescent="0.3">
      <c r="B464" s="79" t="s">
        <v>371</v>
      </c>
      <c r="C464" s="79" t="s">
        <v>187</v>
      </c>
      <c r="D464" s="73" t="s">
        <v>98</v>
      </c>
      <c r="E464" s="73" t="s">
        <v>161</v>
      </c>
      <c r="F464" s="74">
        <v>3739362</v>
      </c>
      <c r="G464" s="80">
        <v>3.7393619999999999</v>
      </c>
      <c r="H464" s="81" t="s">
        <v>94</v>
      </c>
      <c r="I464" s="81" t="s">
        <v>372</v>
      </c>
      <c r="J464" s="82" t="s">
        <v>373</v>
      </c>
    </row>
    <row r="465" spans="2:10" x14ac:dyDescent="0.3">
      <c r="B465" s="70" t="s">
        <v>371</v>
      </c>
      <c r="C465" s="70" t="s">
        <v>187</v>
      </c>
      <c r="D465" s="71" t="s">
        <v>98</v>
      </c>
      <c r="E465" s="71" t="s">
        <v>161</v>
      </c>
      <c r="F465" s="72">
        <v>-3739362</v>
      </c>
      <c r="G465" s="83">
        <v>-3.7393619999999999</v>
      </c>
      <c r="H465" s="84" t="s">
        <v>94</v>
      </c>
      <c r="I465" s="84" t="s">
        <v>372</v>
      </c>
      <c r="J465" s="84" t="s">
        <v>373</v>
      </c>
    </row>
    <row r="466" spans="2:10" x14ac:dyDescent="0.3">
      <c r="B466" s="79" t="s">
        <v>371</v>
      </c>
      <c r="C466" s="79" t="s">
        <v>187</v>
      </c>
      <c r="D466" s="73" t="s">
        <v>102</v>
      </c>
      <c r="E466" s="73" t="s">
        <v>161</v>
      </c>
      <c r="F466" s="74">
        <v>1271196</v>
      </c>
      <c r="G466" s="80">
        <v>1.271196</v>
      </c>
      <c r="H466" s="81" t="s">
        <v>94</v>
      </c>
      <c r="I466" s="81" t="s">
        <v>372</v>
      </c>
      <c r="J466" s="82" t="s">
        <v>373</v>
      </c>
    </row>
    <row r="467" spans="2:10" x14ac:dyDescent="0.3">
      <c r="B467" s="70" t="s">
        <v>371</v>
      </c>
      <c r="C467" s="70" t="s">
        <v>187</v>
      </c>
      <c r="D467" s="71" t="s">
        <v>98</v>
      </c>
      <c r="E467" s="71" t="s">
        <v>161</v>
      </c>
      <c r="F467" s="72">
        <v>4301550</v>
      </c>
      <c r="G467" s="83">
        <v>4.3015499999999998</v>
      </c>
      <c r="H467" s="84" t="s">
        <v>94</v>
      </c>
      <c r="I467" s="84" t="s">
        <v>372</v>
      </c>
      <c r="J467" s="84" t="s">
        <v>373</v>
      </c>
    </row>
    <row r="468" spans="2:10" x14ac:dyDescent="0.3">
      <c r="B468" s="79" t="s">
        <v>371</v>
      </c>
      <c r="C468" s="79" t="s">
        <v>187</v>
      </c>
      <c r="D468" s="73" t="s">
        <v>96</v>
      </c>
      <c r="E468" s="73" t="s">
        <v>161</v>
      </c>
      <c r="F468" s="74">
        <v>5000000</v>
      </c>
      <c r="G468" s="80">
        <v>5</v>
      </c>
      <c r="H468" s="81" t="s">
        <v>94</v>
      </c>
      <c r="I468" s="81" t="s">
        <v>372</v>
      </c>
      <c r="J468" s="82" t="s">
        <v>373</v>
      </c>
    </row>
    <row r="469" spans="2:10" x14ac:dyDescent="0.3">
      <c r="B469" s="70" t="s">
        <v>371</v>
      </c>
      <c r="C469" s="70" t="s">
        <v>187</v>
      </c>
      <c r="D469" s="71" t="s">
        <v>103</v>
      </c>
      <c r="E469" s="71" t="s">
        <v>161</v>
      </c>
      <c r="F469" s="72">
        <v>3998714</v>
      </c>
      <c r="G469" s="83">
        <v>3.9987140000000001</v>
      </c>
      <c r="H469" s="84" t="s">
        <v>94</v>
      </c>
      <c r="I469" s="84" t="s">
        <v>372</v>
      </c>
      <c r="J469" s="84" t="s">
        <v>373</v>
      </c>
    </row>
    <row r="470" spans="2:10" x14ac:dyDescent="0.3">
      <c r="B470" s="79" t="s">
        <v>371</v>
      </c>
      <c r="C470" s="79" t="s">
        <v>187</v>
      </c>
      <c r="D470" s="73" t="s">
        <v>102</v>
      </c>
      <c r="E470" s="73" t="s">
        <v>161</v>
      </c>
      <c r="F470" s="74">
        <v>269030</v>
      </c>
      <c r="G470" s="80">
        <v>0.26902999999999999</v>
      </c>
      <c r="H470" s="81" t="s">
        <v>94</v>
      </c>
      <c r="I470" s="81" t="s">
        <v>372</v>
      </c>
      <c r="J470" s="82" t="s">
        <v>373</v>
      </c>
    </row>
    <row r="471" spans="2:10" x14ac:dyDescent="0.3">
      <c r="B471" s="70" t="s">
        <v>371</v>
      </c>
      <c r="C471" s="70" t="s">
        <v>187</v>
      </c>
      <c r="D471" s="71" t="s">
        <v>130</v>
      </c>
      <c r="E471" s="71" t="s">
        <v>161</v>
      </c>
      <c r="F471" s="72">
        <v>1200000</v>
      </c>
      <c r="G471" s="83">
        <v>1.2</v>
      </c>
      <c r="H471" s="84" t="s">
        <v>94</v>
      </c>
      <c r="I471" s="84" t="s">
        <v>372</v>
      </c>
      <c r="J471" s="84" t="s">
        <v>373</v>
      </c>
    </row>
    <row r="472" spans="2:10" x14ac:dyDescent="0.3">
      <c r="B472" s="79" t="s">
        <v>371</v>
      </c>
      <c r="C472" s="79" t="s">
        <v>187</v>
      </c>
      <c r="D472" s="73" t="s">
        <v>96</v>
      </c>
      <c r="E472" s="73" t="s">
        <v>161</v>
      </c>
      <c r="F472" s="74">
        <v>5267144</v>
      </c>
      <c r="G472" s="80">
        <v>5.267144</v>
      </c>
      <c r="H472" s="81" t="s">
        <v>94</v>
      </c>
      <c r="I472" s="81" t="s">
        <v>372</v>
      </c>
      <c r="J472" s="82" t="s">
        <v>373</v>
      </c>
    </row>
    <row r="473" spans="2:10" x14ac:dyDescent="0.3">
      <c r="B473" s="70" t="s">
        <v>371</v>
      </c>
      <c r="C473" s="70" t="s">
        <v>187</v>
      </c>
      <c r="D473" s="71" t="s">
        <v>98</v>
      </c>
      <c r="E473" s="71" t="s">
        <v>161</v>
      </c>
      <c r="F473" s="72">
        <v>5000000</v>
      </c>
      <c r="G473" s="83">
        <v>5</v>
      </c>
      <c r="H473" s="84" t="s">
        <v>94</v>
      </c>
      <c r="I473" s="84" t="s">
        <v>372</v>
      </c>
      <c r="J473" s="84" t="s">
        <v>373</v>
      </c>
    </row>
    <row r="474" spans="2:10" x14ac:dyDescent="0.3">
      <c r="B474" s="79" t="s">
        <v>371</v>
      </c>
      <c r="C474" s="79" t="s">
        <v>187</v>
      </c>
      <c r="D474" s="73" t="s">
        <v>96</v>
      </c>
      <c r="E474" s="73" t="s">
        <v>161</v>
      </c>
      <c r="F474" s="74">
        <v>528550</v>
      </c>
      <c r="G474" s="80">
        <v>0.52854999999999996</v>
      </c>
      <c r="H474" s="81" t="s">
        <v>94</v>
      </c>
      <c r="I474" s="81" t="s">
        <v>372</v>
      </c>
      <c r="J474" s="82" t="s">
        <v>373</v>
      </c>
    </row>
    <row r="475" spans="2:10" x14ac:dyDescent="0.3">
      <c r="B475" s="70" t="s">
        <v>371</v>
      </c>
      <c r="C475" s="70" t="s">
        <v>187</v>
      </c>
      <c r="D475" s="71" t="s">
        <v>98</v>
      </c>
      <c r="E475" s="71" t="s">
        <v>161</v>
      </c>
      <c r="F475" s="72">
        <v>-5000000</v>
      </c>
      <c r="G475" s="83">
        <v>-5</v>
      </c>
      <c r="H475" s="84" t="s">
        <v>94</v>
      </c>
      <c r="I475" s="84" t="s">
        <v>372</v>
      </c>
      <c r="J475" s="84" t="s">
        <v>373</v>
      </c>
    </row>
    <row r="476" spans="2:10" x14ac:dyDescent="0.3">
      <c r="B476" s="79" t="s">
        <v>371</v>
      </c>
      <c r="C476" s="79" t="s">
        <v>187</v>
      </c>
      <c r="D476" s="73" t="s">
        <v>96</v>
      </c>
      <c r="E476" s="73" t="s">
        <v>161</v>
      </c>
      <c r="F476" s="74">
        <v>18400</v>
      </c>
      <c r="G476" s="80">
        <v>1.84E-2</v>
      </c>
      <c r="H476" s="81" t="s">
        <v>94</v>
      </c>
      <c r="I476" s="81" t="s">
        <v>372</v>
      </c>
      <c r="J476" s="82" t="s">
        <v>373</v>
      </c>
    </row>
    <row r="477" spans="2:10" x14ac:dyDescent="0.3">
      <c r="B477" s="70" t="s">
        <v>371</v>
      </c>
      <c r="C477" s="70" t="s">
        <v>187</v>
      </c>
      <c r="D477" s="71" t="s">
        <v>96</v>
      </c>
      <c r="E477" s="71" t="s">
        <v>161</v>
      </c>
      <c r="F477" s="72">
        <v>502969</v>
      </c>
      <c r="G477" s="83">
        <v>0.502969</v>
      </c>
      <c r="H477" s="84" t="s">
        <v>94</v>
      </c>
      <c r="I477" s="84" t="s">
        <v>372</v>
      </c>
      <c r="J477" s="84" t="s">
        <v>373</v>
      </c>
    </row>
    <row r="478" spans="2:10" x14ac:dyDescent="0.3">
      <c r="B478" s="79" t="s">
        <v>371</v>
      </c>
      <c r="C478" s="79" t="s">
        <v>187</v>
      </c>
      <c r="D478" s="73" t="s">
        <v>102</v>
      </c>
      <c r="E478" s="73" t="s">
        <v>161</v>
      </c>
      <c r="F478" s="74">
        <v>243379</v>
      </c>
      <c r="G478" s="80">
        <v>0.24337900000000001</v>
      </c>
      <c r="H478" s="81" t="s">
        <v>94</v>
      </c>
      <c r="I478" s="81" t="s">
        <v>372</v>
      </c>
      <c r="J478" s="82" t="s">
        <v>373</v>
      </c>
    </row>
    <row r="479" spans="2:10" x14ac:dyDescent="0.3">
      <c r="B479" s="70" t="s">
        <v>371</v>
      </c>
      <c r="C479" s="70" t="s">
        <v>187</v>
      </c>
      <c r="D479" s="71" t="s">
        <v>96</v>
      </c>
      <c r="E479" s="71" t="s">
        <v>161</v>
      </c>
      <c r="F479" s="72">
        <v>14500</v>
      </c>
      <c r="G479" s="83">
        <v>1.4500000000000001E-2</v>
      </c>
      <c r="H479" s="84" t="s">
        <v>94</v>
      </c>
      <c r="I479" s="84" t="s">
        <v>372</v>
      </c>
      <c r="J479" s="84" t="s">
        <v>373</v>
      </c>
    </row>
    <row r="480" spans="2:10" x14ac:dyDescent="0.3">
      <c r="B480" s="79" t="s">
        <v>371</v>
      </c>
      <c r="C480" s="79" t="s">
        <v>187</v>
      </c>
      <c r="D480" s="73" t="s">
        <v>96</v>
      </c>
      <c r="E480" s="73" t="s">
        <v>161</v>
      </c>
      <c r="F480" s="74">
        <v>14500</v>
      </c>
      <c r="G480" s="80">
        <v>1.4500000000000001E-2</v>
      </c>
      <c r="H480" s="81" t="s">
        <v>94</v>
      </c>
      <c r="I480" s="81" t="s">
        <v>372</v>
      </c>
      <c r="J480" s="82" t="s">
        <v>373</v>
      </c>
    </row>
    <row r="481" spans="2:10" x14ac:dyDescent="0.3">
      <c r="B481" s="70" t="s">
        <v>371</v>
      </c>
      <c r="C481" s="70" t="s">
        <v>187</v>
      </c>
      <c r="D481" s="71" t="s">
        <v>96</v>
      </c>
      <c r="E481" s="71" t="s">
        <v>161</v>
      </c>
      <c r="F481" s="72">
        <v>521250</v>
      </c>
      <c r="G481" s="83">
        <v>0.52124999999999999</v>
      </c>
      <c r="H481" s="84" t="s">
        <v>94</v>
      </c>
      <c r="I481" s="84" t="s">
        <v>372</v>
      </c>
      <c r="J481" s="84" t="s">
        <v>373</v>
      </c>
    </row>
    <row r="482" spans="2:10" x14ac:dyDescent="0.3">
      <c r="B482" s="79" t="s">
        <v>371</v>
      </c>
      <c r="C482" s="79" t="s">
        <v>187</v>
      </c>
      <c r="D482" s="73" t="s">
        <v>96</v>
      </c>
      <c r="E482" s="73" t="s">
        <v>161</v>
      </c>
      <c r="F482" s="74">
        <v>5606477</v>
      </c>
      <c r="G482" s="80">
        <v>5.6064769999999999</v>
      </c>
      <c r="H482" s="81" t="s">
        <v>94</v>
      </c>
      <c r="I482" s="81" t="s">
        <v>372</v>
      </c>
      <c r="J482" s="82" t="s">
        <v>373</v>
      </c>
    </row>
    <row r="483" spans="2:10" x14ac:dyDescent="0.3">
      <c r="B483" s="70" t="s">
        <v>371</v>
      </c>
      <c r="C483" s="70" t="s">
        <v>187</v>
      </c>
      <c r="D483" s="71" t="s">
        <v>96</v>
      </c>
      <c r="E483" s="71" t="s">
        <v>161</v>
      </c>
      <c r="F483" s="72">
        <v>528550</v>
      </c>
      <c r="G483" s="83">
        <v>0.52854999999999996</v>
      </c>
      <c r="H483" s="84" t="s">
        <v>94</v>
      </c>
      <c r="I483" s="84" t="s">
        <v>372</v>
      </c>
      <c r="J483" s="84" t="s">
        <v>373</v>
      </c>
    </row>
    <row r="484" spans="2:10" x14ac:dyDescent="0.3">
      <c r="B484" s="79" t="s">
        <v>371</v>
      </c>
      <c r="C484" s="79" t="s">
        <v>187</v>
      </c>
      <c r="D484" s="73" t="s">
        <v>96</v>
      </c>
      <c r="E484" s="73" t="s">
        <v>161</v>
      </c>
      <c r="F484" s="74">
        <v>14500</v>
      </c>
      <c r="G484" s="80">
        <v>1.4500000000000001E-2</v>
      </c>
      <c r="H484" s="81" t="s">
        <v>94</v>
      </c>
      <c r="I484" s="81" t="s">
        <v>372</v>
      </c>
      <c r="J484" s="82" t="s">
        <v>373</v>
      </c>
    </row>
    <row r="485" spans="2:10" x14ac:dyDescent="0.3">
      <c r="B485" s="70" t="s">
        <v>371</v>
      </c>
      <c r="C485" s="70" t="s">
        <v>187</v>
      </c>
      <c r="D485" s="71" t="s">
        <v>96</v>
      </c>
      <c r="E485" s="71" t="s">
        <v>161</v>
      </c>
      <c r="F485" s="72">
        <v>5000000</v>
      </c>
      <c r="G485" s="83">
        <v>5</v>
      </c>
      <c r="H485" s="84" t="s">
        <v>94</v>
      </c>
      <c r="I485" s="84" t="s">
        <v>372</v>
      </c>
      <c r="J485" s="84" t="s">
        <v>373</v>
      </c>
    </row>
    <row r="486" spans="2:10" x14ac:dyDescent="0.3">
      <c r="B486" s="79" t="s">
        <v>371</v>
      </c>
      <c r="C486" s="79" t="s">
        <v>187</v>
      </c>
      <c r="D486" s="73" t="s">
        <v>96</v>
      </c>
      <c r="E486" s="73" t="s">
        <v>161</v>
      </c>
      <c r="F486" s="74">
        <v>5606477</v>
      </c>
      <c r="G486" s="80">
        <v>5.6064769999999999</v>
      </c>
      <c r="H486" s="81" t="s">
        <v>94</v>
      </c>
      <c r="I486" s="81" t="s">
        <v>372</v>
      </c>
      <c r="J486" s="82" t="s">
        <v>373</v>
      </c>
    </row>
    <row r="487" spans="2:10" x14ac:dyDescent="0.3">
      <c r="B487" s="70" t="s">
        <v>371</v>
      </c>
      <c r="C487" s="70" t="s">
        <v>187</v>
      </c>
      <c r="D487" s="71" t="s">
        <v>96</v>
      </c>
      <c r="E487" s="71" t="s">
        <v>161</v>
      </c>
      <c r="F487" s="72">
        <v>4388022</v>
      </c>
      <c r="G487" s="83">
        <v>4.3880220000000003</v>
      </c>
      <c r="H487" s="84" t="s">
        <v>94</v>
      </c>
      <c r="I487" s="84" t="s">
        <v>372</v>
      </c>
      <c r="J487" s="84" t="s">
        <v>373</v>
      </c>
    </row>
    <row r="488" spans="2:10" x14ac:dyDescent="0.3">
      <c r="B488" s="79" t="s">
        <v>371</v>
      </c>
      <c r="C488" s="79" t="s">
        <v>187</v>
      </c>
      <c r="D488" s="73" t="s">
        <v>98</v>
      </c>
      <c r="E488" s="73" t="s">
        <v>161</v>
      </c>
      <c r="F488" s="74">
        <v>5000000</v>
      </c>
      <c r="G488" s="80">
        <v>5</v>
      </c>
      <c r="H488" s="81" t="s">
        <v>94</v>
      </c>
      <c r="I488" s="81" t="s">
        <v>372</v>
      </c>
      <c r="J488" s="82" t="s">
        <v>373</v>
      </c>
    </row>
    <row r="489" spans="2:10" x14ac:dyDescent="0.3">
      <c r="B489" s="70" t="s">
        <v>371</v>
      </c>
      <c r="C489" s="70" t="s">
        <v>187</v>
      </c>
      <c r="D489" s="71" t="s">
        <v>102</v>
      </c>
      <c r="E489" s="71" t="s">
        <v>161</v>
      </c>
      <c r="F489" s="72">
        <v>603327</v>
      </c>
      <c r="G489" s="83">
        <v>0.60332699999999995</v>
      </c>
      <c r="H489" s="84" t="s">
        <v>94</v>
      </c>
      <c r="I489" s="84" t="s">
        <v>372</v>
      </c>
      <c r="J489" s="84" t="s">
        <v>373</v>
      </c>
    </row>
    <row r="490" spans="2:10" x14ac:dyDescent="0.3">
      <c r="B490" s="79" t="s">
        <v>371</v>
      </c>
      <c r="C490" s="79" t="s">
        <v>187</v>
      </c>
      <c r="D490" s="73" t="s">
        <v>96</v>
      </c>
      <c r="E490" s="73" t="s">
        <v>161</v>
      </c>
      <c r="F490" s="74">
        <v>1300000</v>
      </c>
      <c r="G490" s="80">
        <v>1.3</v>
      </c>
      <c r="H490" s="81" t="s">
        <v>94</v>
      </c>
      <c r="I490" s="81" t="s">
        <v>372</v>
      </c>
      <c r="J490" s="82" t="s">
        <v>373</v>
      </c>
    </row>
    <row r="491" spans="2:10" x14ac:dyDescent="0.3">
      <c r="B491" s="70" t="s">
        <v>371</v>
      </c>
      <c r="C491" s="70" t="s">
        <v>187</v>
      </c>
      <c r="D491" s="71" t="s">
        <v>96</v>
      </c>
      <c r="E491" s="71" t="s">
        <v>161</v>
      </c>
      <c r="F491" s="72">
        <v>5606477</v>
      </c>
      <c r="G491" s="83">
        <v>5.6064769999999999</v>
      </c>
      <c r="H491" s="84" t="s">
        <v>94</v>
      </c>
      <c r="I491" s="84" t="s">
        <v>372</v>
      </c>
      <c r="J491" s="84" t="s">
        <v>373</v>
      </c>
    </row>
    <row r="492" spans="2:10" x14ac:dyDescent="0.3">
      <c r="B492" s="79" t="s">
        <v>371</v>
      </c>
      <c r="C492" s="79" t="s">
        <v>187</v>
      </c>
      <c r="D492" s="73" t="s">
        <v>103</v>
      </c>
      <c r="E492" s="73" t="s">
        <v>161</v>
      </c>
      <c r="F492" s="74">
        <v>6001286</v>
      </c>
      <c r="G492" s="80">
        <v>6.0012860000000003</v>
      </c>
      <c r="H492" s="81" t="s">
        <v>94</v>
      </c>
      <c r="I492" s="81" t="s">
        <v>372</v>
      </c>
      <c r="J492" s="82" t="s">
        <v>373</v>
      </c>
    </row>
    <row r="493" spans="2:10" x14ac:dyDescent="0.3">
      <c r="B493" s="70" t="s">
        <v>371</v>
      </c>
      <c r="C493" s="70" t="s">
        <v>187</v>
      </c>
      <c r="D493" s="71" t="s">
        <v>96</v>
      </c>
      <c r="E493" s="71" t="s">
        <v>161</v>
      </c>
      <c r="F493" s="72">
        <v>536693</v>
      </c>
      <c r="G493" s="83">
        <v>0.53669299999999998</v>
      </c>
      <c r="H493" s="84" t="s">
        <v>94</v>
      </c>
      <c r="I493" s="84" t="s">
        <v>372</v>
      </c>
      <c r="J493" s="84" t="s">
        <v>373</v>
      </c>
    </row>
    <row r="494" spans="2:10" x14ac:dyDescent="0.3">
      <c r="B494" s="79" t="s">
        <v>371</v>
      </c>
      <c r="C494" s="79" t="s">
        <v>187</v>
      </c>
      <c r="D494" s="73" t="s">
        <v>98</v>
      </c>
      <c r="E494" s="73" t="s">
        <v>161</v>
      </c>
      <c r="F494" s="74">
        <v>3739362</v>
      </c>
      <c r="G494" s="80">
        <v>3.7393619999999999</v>
      </c>
      <c r="H494" s="81" t="s">
        <v>94</v>
      </c>
      <c r="I494" s="81" t="s">
        <v>372</v>
      </c>
      <c r="J494" s="82" t="s">
        <v>373</v>
      </c>
    </row>
    <row r="495" spans="2:10" x14ac:dyDescent="0.3">
      <c r="B495" s="70" t="s">
        <v>371</v>
      </c>
      <c r="C495" s="70" t="s">
        <v>187</v>
      </c>
      <c r="D495" s="71" t="s">
        <v>96</v>
      </c>
      <c r="E495" s="71" t="s">
        <v>161</v>
      </c>
      <c r="F495" s="72">
        <v>5430300</v>
      </c>
      <c r="G495" s="83">
        <v>5.4302999999999999</v>
      </c>
      <c r="H495" s="84" t="s">
        <v>94</v>
      </c>
      <c r="I495" s="84" t="s">
        <v>372</v>
      </c>
      <c r="J495" s="84" t="s">
        <v>373</v>
      </c>
    </row>
    <row r="496" spans="2:10" x14ac:dyDescent="0.3">
      <c r="B496" s="79" t="s">
        <v>371</v>
      </c>
      <c r="C496" s="79" t="s">
        <v>187</v>
      </c>
      <c r="D496" s="73" t="s">
        <v>96</v>
      </c>
      <c r="E496" s="73" t="s">
        <v>161</v>
      </c>
      <c r="F496" s="74">
        <v>5430300</v>
      </c>
      <c r="G496" s="80">
        <v>5.4302999999999999</v>
      </c>
      <c r="H496" s="81" t="s">
        <v>94</v>
      </c>
      <c r="I496" s="81" t="s">
        <v>372</v>
      </c>
      <c r="J496" s="82" t="s">
        <v>373</v>
      </c>
    </row>
    <row r="497" spans="2:10" x14ac:dyDescent="0.3">
      <c r="B497" s="70" t="s">
        <v>371</v>
      </c>
      <c r="C497" s="70" t="s">
        <v>187</v>
      </c>
      <c r="D497" s="71" t="s">
        <v>96</v>
      </c>
      <c r="E497" s="71" t="s">
        <v>161</v>
      </c>
      <c r="F497" s="72">
        <v>611978</v>
      </c>
      <c r="G497" s="83">
        <v>0.61197800000000002</v>
      </c>
      <c r="H497" s="84" t="s">
        <v>94</v>
      </c>
      <c r="I497" s="84" t="s">
        <v>372</v>
      </c>
      <c r="J497" s="84" t="s">
        <v>373</v>
      </c>
    </row>
    <row r="498" spans="2:10" x14ac:dyDescent="0.3">
      <c r="B498" s="79" t="s">
        <v>371</v>
      </c>
      <c r="C498" s="79" t="s">
        <v>187</v>
      </c>
      <c r="D498" s="73" t="s">
        <v>102</v>
      </c>
      <c r="E498" s="73" t="s">
        <v>161</v>
      </c>
      <c r="F498" s="74">
        <v>279474</v>
      </c>
      <c r="G498" s="80">
        <v>0.279474</v>
      </c>
      <c r="H498" s="81" t="s">
        <v>94</v>
      </c>
      <c r="I498" s="81" t="s">
        <v>372</v>
      </c>
      <c r="J498" s="82" t="s">
        <v>373</v>
      </c>
    </row>
    <row r="499" spans="2:10" x14ac:dyDescent="0.3">
      <c r="B499" s="70" t="s">
        <v>371</v>
      </c>
      <c r="C499" s="70" t="s">
        <v>187</v>
      </c>
      <c r="D499" s="71" t="s">
        <v>96</v>
      </c>
      <c r="E499" s="71" t="s">
        <v>161</v>
      </c>
      <c r="F499" s="72">
        <v>521250</v>
      </c>
      <c r="G499" s="83">
        <v>0.52124999999999999</v>
      </c>
      <c r="H499" s="84" t="s">
        <v>94</v>
      </c>
      <c r="I499" s="84" t="s">
        <v>372</v>
      </c>
      <c r="J499" s="84" t="s">
        <v>373</v>
      </c>
    </row>
    <row r="500" spans="2:10" x14ac:dyDescent="0.3">
      <c r="B500" s="79" t="s">
        <v>371</v>
      </c>
      <c r="C500" s="79" t="s">
        <v>187</v>
      </c>
      <c r="D500" s="73" t="s">
        <v>96</v>
      </c>
      <c r="E500" s="73" t="s">
        <v>161</v>
      </c>
      <c r="F500" s="74">
        <v>14500</v>
      </c>
      <c r="G500" s="80">
        <v>1.4500000000000001E-2</v>
      </c>
      <c r="H500" s="81" t="s">
        <v>94</v>
      </c>
      <c r="I500" s="81" t="s">
        <v>372</v>
      </c>
      <c r="J500" s="82" t="s">
        <v>373</v>
      </c>
    </row>
    <row r="501" spans="2:10" x14ac:dyDescent="0.3">
      <c r="B501" s="70" t="s">
        <v>371</v>
      </c>
      <c r="C501" s="70" t="s">
        <v>187</v>
      </c>
      <c r="D501" s="71" t="s">
        <v>96</v>
      </c>
      <c r="E501" s="71" t="s">
        <v>161</v>
      </c>
      <c r="F501" s="72">
        <v>18400</v>
      </c>
      <c r="G501" s="83">
        <v>1.84E-2</v>
      </c>
      <c r="H501" s="84" t="s">
        <v>94</v>
      </c>
      <c r="I501" s="84" t="s">
        <v>372</v>
      </c>
      <c r="J501" s="84" t="s">
        <v>373</v>
      </c>
    </row>
    <row r="502" spans="2:10" x14ac:dyDescent="0.3">
      <c r="B502" s="79" t="s">
        <v>371</v>
      </c>
      <c r="C502" s="79" t="s">
        <v>187</v>
      </c>
      <c r="D502" s="73" t="s">
        <v>96</v>
      </c>
      <c r="E502" s="73" t="s">
        <v>161</v>
      </c>
      <c r="F502" s="74">
        <v>2500000</v>
      </c>
      <c r="G502" s="80">
        <v>2.5</v>
      </c>
      <c r="H502" s="81" t="s">
        <v>94</v>
      </c>
      <c r="I502" s="81" t="s">
        <v>372</v>
      </c>
      <c r="J502" s="82" t="s">
        <v>373</v>
      </c>
    </row>
    <row r="503" spans="2:10" x14ac:dyDescent="0.3">
      <c r="B503" s="70" t="s">
        <v>371</v>
      </c>
      <c r="C503" s="70" t="s">
        <v>187</v>
      </c>
      <c r="D503" s="71" t="s">
        <v>102</v>
      </c>
      <c r="E503" s="71" t="s">
        <v>161</v>
      </c>
      <c r="F503" s="72">
        <v>388032</v>
      </c>
      <c r="G503" s="83">
        <v>0.38803199999999999</v>
      </c>
      <c r="H503" s="84" t="s">
        <v>94</v>
      </c>
      <c r="I503" s="84" t="s">
        <v>372</v>
      </c>
      <c r="J503" s="84" t="s">
        <v>373</v>
      </c>
    </row>
    <row r="504" spans="2:10" x14ac:dyDescent="0.3">
      <c r="B504" s="79" t="s">
        <v>371</v>
      </c>
      <c r="C504" s="79" t="s">
        <v>231</v>
      </c>
      <c r="D504" s="73" t="s">
        <v>98</v>
      </c>
      <c r="E504" s="73" t="s">
        <v>161</v>
      </c>
      <c r="F504" s="74">
        <v>605601</v>
      </c>
      <c r="G504" s="80">
        <v>0.60560099999999994</v>
      </c>
      <c r="H504" s="81" t="s">
        <v>94</v>
      </c>
      <c r="I504" s="81" t="s">
        <v>372</v>
      </c>
      <c r="J504" s="82" t="s">
        <v>373</v>
      </c>
    </row>
    <row r="505" spans="2:10" x14ac:dyDescent="0.3">
      <c r="B505" s="70" t="s">
        <v>371</v>
      </c>
      <c r="C505" s="70" t="s">
        <v>231</v>
      </c>
      <c r="D505" s="71" t="s">
        <v>98</v>
      </c>
      <c r="E505" s="71" t="s">
        <v>161</v>
      </c>
      <c r="F505" s="72">
        <v>300000</v>
      </c>
      <c r="G505" s="83">
        <v>0.3</v>
      </c>
      <c r="H505" s="84" t="s">
        <v>94</v>
      </c>
      <c r="I505" s="84" t="s">
        <v>372</v>
      </c>
      <c r="J505" s="84" t="s">
        <v>373</v>
      </c>
    </row>
    <row r="506" spans="2:10" x14ac:dyDescent="0.3">
      <c r="B506" s="79" t="s">
        <v>371</v>
      </c>
      <c r="C506" s="79" t="s">
        <v>231</v>
      </c>
      <c r="D506" s="73" t="s">
        <v>98</v>
      </c>
      <c r="E506" s="73" t="s">
        <v>161</v>
      </c>
      <c r="F506" s="74">
        <v>100000</v>
      </c>
      <c r="G506" s="80">
        <v>0.1</v>
      </c>
      <c r="H506" s="81" t="s">
        <v>94</v>
      </c>
      <c r="I506" s="81" t="s">
        <v>372</v>
      </c>
      <c r="J506" s="82" t="s">
        <v>373</v>
      </c>
    </row>
    <row r="507" spans="2:10" x14ac:dyDescent="0.3">
      <c r="B507" s="70" t="s">
        <v>371</v>
      </c>
      <c r="C507" s="70" t="s">
        <v>231</v>
      </c>
      <c r="D507" s="71" t="s">
        <v>98</v>
      </c>
      <c r="E507" s="71" t="s">
        <v>161</v>
      </c>
      <c r="F507" s="72">
        <v>605601</v>
      </c>
      <c r="G507" s="83">
        <v>0.60560099999999994</v>
      </c>
      <c r="H507" s="84" t="s">
        <v>94</v>
      </c>
      <c r="I507" s="84" t="s">
        <v>372</v>
      </c>
      <c r="J507" s="84" t="s">
        <v>373</v>
      </c>
    </row>
    <row r="508" spans="2:10" x14ac:dyDescent="0.3">
      <c r="B508" s="79" t="s">
        <v>371</v>
      </c>
      <c r="C508" s="79" t="s">
        <v>231</v>
      </c>
      <c r="D508" s="73" t="s">
        <v>98</v>
      </c>
      <c r="E508" s="73" t="s">
        <v>161</v>
      </c>
      <c r="F508" s="74">
        <v>300000</v>
      </c>
      <c r="G508" s="80">
        <v>0.3</v>
      </c>
      <c r="H508" s="81" t="s">
        <v>94</v>
      </c>
      <c r="I508" s="81" t="s">
        <v>372</v>
      </c>
      <c r="J508" s="82" t="s">
        <v>373</v>
      </c>
    </row>
    <row r="509" spans="2:10" x14ac:dyDescent="0.3">
      <c r="B509" s="70" t="s">
        <v>371</v>
      </c>
      <c r="C509" s="70" t="s">
        <v>231</v>
      </c>
      <c r="D509" s="71" t="s">
        <v>98</v>
      </c>
      <c r="E509" s="71" t="s">
        <v>161</v>
      </c>
      <c r="F509" s="72">
        <v>-605601</v>
      </c>
      <c r="G509" s="83">
        <v>-0.60560099999999994</v>
      </c>
      <c r="H509" s="84" t="s">
        <v>94</v>
      </c>
      <c r="I509" s="84" t="s">
        <v>372</v>
      </c>
      <c r="J509" s="84" t="s">
        <v>373</v>
      </c>
    </row>
    <row r="510" spans="2:10" x14ac:dyDescent="0.3">
      <c r="B510" s="79" t="s">
        <v>371</v>
      </c>
      <c r="C510" s="79" t="s">
        <v>181</v>
      </c>
      <c r="D510" s="73" t="s">
        <v>102</v>
      </c>
      <c r="E510" s="73" t="s">
        <v>161</v>
      </c>
      <c r="F510" s="74">
        <v>175000</v>
      </c>
      <c r="G510" s="80">
        <v>0.17499999999999999</v>
      </c>
      <c r="H510" s="81" t="s">
        <v>94</v>
      </c>
      <c r="I510" s="81" t="s">
        <v>372</v>
      </c>
      <c r="J510" s="82" t="s">
        <v>373</v>
      </c>
    </row>
    <row r="511" spans="2:10" x14ac:dyDescent="0.3">
      <c r="B511" s="70" t="s">
        <v>371</v>
      </c>
      <c r="C511" s="70" t="s">
        <v>181</v>
      </c>
      <c r="D511" s="71" t="s">
        <v>96</v>
      </c>
      <c r="E511" s="71" t="s">
        <v>161</v>
      </c>
      <c r="F511" s="72">
        <v>17500</v>
      </c>
      <c r="G511" s="83">
        <v>1.7500000000000002E-2</v>
      </c>
      <c r="H511" s="84" t="s">
        <v>94</v>
      </c>
      <c r="I511" s="84" t="s">
        <v>372</v>
      </c>
      <c r="J511" s="84" t="s">
        <v>373</v>
      </c>
    </row>
    <row r="512" spans="2:10" x14ac:dyDescent="0.3">
      <c r="B512" s="79" t="s">
        <v>371</v>
      </c>
      <c r="C512" s="79" t="s">
        <v>181</v>
      </c>
      <c r="D512" s="73" t="s">
        <v>102</v>
      </c>
      <c r="E512" s="73" t="s">
        <v>161</v>
      </c>
      <c r="F512" s="74">
        <v>175000</v>
      </c>
      <c r="G512" s="80">
        <v>0.17499999999999999</v>
      </c>
      <c r="H512" s="81" t="s">
        <v>94</v>
      </c>
      <c r="I512" s="81" t="s">
        <v>372</v>
      </c>
      <c r="J512" s="82" t="s">
        <v>373</v>
      </c>
    </row>
    <row r="513" spans="2:10" x14ac:dyDescent="0.3">
      <c r="B513" s="70" t="s">
        <v>371</v>
      </c>
      <c r="C513" s="70" t="s">
        <v>181</v>
      </c>
      <c r="D513" s="71" t="s">
        <v>103</v>
      </c>
      <c r="E513" s="71" t="s">
        <v>161</v>
      </c>
      <c r="F513" s="72">
        <v>6804000</v>
      </c>
      <c r="G513" s="83">
        <v>6.8040000000000003</v>
      </c>
      <c r="H513" s="84" t="s">
        <v>94</v>
      </c>
      <c r="I513" s="84" t="s">
        <v>372</v>
      </c>
      <c r="J513" s="84" t="s">
        <v>373</v>
      </c>
    </row>
    <row r="514" spans="2:10" x14ac:dyDescent="0.3">
      <c r="B514" s="79" t="s">
        <v>371</v>
      </c>
      <c r="C514" s="79" t="s">
        <v>181</v>
      </c>
      <c r="D514" s="73" t="s">
        <v>96</v>
      </c>
      <c r="E514" s="73" t="s">
        <v>161</v>
      </c>
      <c r="F514" s="74">
        <v>17500</v>
      </c>
      <c r="G514" s="80">
        <v>1.7500000000000002E-2</v>
      </c>
      <c r="H514" s="81" t="s">
        <v>94</v>
      </c>
      <c r="I514" s="81" t="s">
        <v>372</v>
      </c>
      <c r="J514" s="82" t="s">
        <v>373</v>
      </c>
    </row>
    <row r="515" spans="2:10" x14ac:dyDescent="0.3">
      <c r="B515" s="70" t="s">
        <v>371</v>
      </c>
      <c r="C515" s="70" t="s">
        <v>181</v>
      </c>
      <c r="D515" s="71" t="s">
        <v>102</v>
      </c>
      <c r="E515" s="71" t="s">
        <v>161</v>
      </c>
      <c r="F515" s="72">
        <v>175000</v>
      </c>
      <c r="G515" s="83">
        <v>0.17499999999999999</v>
      </c>
      <c r="H515" s="84" t="s">
        <v>94</v>
      </c>
      <c r="I515" s="84" t="s">
        <v>372</v>
      </c>
      <c r="J515" s="84" t="s">
        <v>373</v>
      </c>
    </row>
    <row r="516" spans="2:10" x14ac:dyDescent="0.3">
      <c r="B516" s="79" t="s">
        <v>371</v>
      </c>
      <c r="C516" s="79" t="s">
        <v>181</v>
      </c>
      <c r="D516" s="73" t="s">
        <v>103</v>
      </c>
      <c r="E516" s="73" t="s">
        <v>161</v>
      </c>
      <c r="F516" s="74">
        <v>4981622</v>
      </c>
      <c r="G516" s="80">
        <v>4.9816219999999998</v>
      </c>
      <c r="H516" s="81" t="s">
        <v>94</v>
      </c>
      <c r="I516" s="81" t="s">
        <v>372</v>
      </c>
      <c r="J516" s="82" t="s">
        <v>373</v>
      </c>
    </row>
    <row r="517" spans="2:10" x14ac:dyDescent="0.3">
      <c r="B517" s="70" t="s">
        <v>371</v>
      </c>
      <c r="C517" s="70" t="s">
        <v>181</v>
      </c>
      <c r="D517" s="71" t="s">
        <v>96</v>
      </c>
      <c r="E517" s="71" t="s">
        <v>161</v>
      </c>
      <c r="F517" s="72">
        <v>17500</v>
      </c>
      <c r="G517" s="83">
        <v>1.7500000000000002E-2</v>
      </c>
      <c r="H517" s="84" t="s">
        <v>94</v>
      </c>
      <c r="I517" s="84" t="s">
        <v>372</v>
      </c>
      <c r="J517" s="84" t="s">
        <v>373</v>
      </c>
    </row>
    <row r="518" spans="2:10" x14ac:dyDescent="0.3">
      <c r="B518" s="79" t="s">
        <v>371</v>
      </c>
      <c r="C518" s="79" t="s">
        <v>181</v>
      </c>
      <c r="D518" s="73" t="s">
        <v>103</v>
      </c>
      <c r="E518" s="73" t="s">
        <v>161</v>
      </c>
      <c r="F518" s="74">
        <v>55133</v>
      </c>
      <c r="G518" s="80">
        <v>5.5133000000000001E-2</v>
      </c>
      <c r="H518" s="81" t="s">
        <v>94</v>
      </c>
      <c r="I518" s="81" t="s">
        <v>372</v>
      </c>
      <c r="J518" s="82" t="s">
        <v>373</v>
      </c>
    </row>
    <row r="519" spans="2:10" x14ac:dyDescent="0.3">
      <c r="B519" s="70" t="s">
        <v>371</v>
      </c>
      <c r="C519" s="70" t="s">
        <v>181</v>
      </c>
      <c r="D519" s="71" t="s">
        <v>103</v>
      </c>
      <c r="E519" s="71" t="s">
        <v>161</v>
      </c>
      <c r="F519" s="72">
        <v>20000000</v>
      </c>
      <c r="G519" s="83">
        <v>20</v>
      </c>
      <c r="H519" s="84" t="s">
        <v>94</v>
      </c>
      <c r="I519" s="84" t="s">
        <v>372</v>
      </c>
      <c r="J519" s="84" t="s">
        <v>373</v>
      </c>
    </row>
    <row r="520" spans="2:10" x14ac:dyDescent="0.3">
      <c r="B520" s="79" t="s">
        <v>371</v>
      </c>
      <c r="C520" s="79" t="s">
        <v>181</v>
      </c>
      <c r="D520" s="73" t="s">
        <v>96</v>
      </c>
      <c r="E520" s="73" t="s">
        <v>161</v>
      </c>
      <c r="F520" s="74">
        <v>21000</v>
      </c>
      <c r="G520" s="80">
        <v>2.1000000000000001E-2</v>
      </c>
      <c r="H520" s="81" t="s">
        <v>94</v>
      </c>
      <c r="I520" s="81" t="s">
        <v>372</v>
      </c>
      <c r="J520" s="82" t="s">
        <v>373</v>
      </c>
    </row>
    <row r="521" spans="2:10" x14ac:dyDescent="0.3">
      <c r="B521" s="70" t="s">
        <v>371</v>
      </c>
      <c r="C521" s="70" t="s">
        <v>181</v>
      </c>
      <c r="D521" s="71" t="s">
        <v>102</v>
      </c>
      <c r="E521" s="71" t="s">
        <v>161</v>
      </c>
      <c r="F521" s="72">
        <v>175000</v>
      </c>
      <c r="G521" s="83">
        <v>0.17499999999999999</v>
      </c>
      <c r="H521" s="84" t="s">
        <v>94</v>
      </c>
      <c r="I521" s="84" t="s">
        <v>372</v>
      </c>
      <c r="J521" s="84" t="s">
        <v>373</v>
      </c>
    </row>
    <row r="522" spans="2:10" x14ac:dyDescent="0.3">
      <c r="B522" s="79" t="s">
        <v>371</v>
      </c>
      <c r="C522" s="79" t="s">
        <v>181</v>
      </c>
      <c r="D522" s="73" t="s">
        <v>96</v>
      </c>
      <c r="E522" s="73" t="s">
        <v>161</v>
      </c>
      <c r="F522" s="74">
        <v>17000</v>
      </c>
      <c r="G522" s="80">
        <v>1.7000000000000001E-2</v>
      </c>
      <c r="H522" s="81" t="s">
        <v>94</v>
      </c>
      <c r="I522" s="81" t="s">
        <v>372</v>
      </c>
      <c r="J522" s="82" t="s">
        <v>373</v>
      </c>
    </row>
    <row r="523" spans="2:10" x14ac:dyDescent="0.3">
      <c r="B523" s="70" t="s">
        <v>371</v>
      </c>
      <c r="C523" s="70" t="s">
        <v>181</v>
      </c>
      <c r="D523" s="71" t="s">
        <v>96</v>
      </c>
      <c r="E523" s="71" t="s">
        <v>161</v>
      </c>
      <c r="F523" s="72">
        <v>17500</v>
      </c>
      <c r="G523" s="83">
        <v>1.7500000000000002E-2</v>
      </c>
      <c r="H523" s="84" t="s">
        <v>94</v>
      </c>
      <c r="I523" s="84" t="s">
        <v>372</v>
      </c>
      <c r="J523" s="84" t="s">
        <v>373</v>
      </c>
    </row>
    <row r="524" spans="2:10" x14ac:dyDescent="0.3">
      <c r="B524" s="79" t="s">
        <v>371</v>
      </c>
      <c r="C524" s="79" t="s">
        <v>181</v>
      </c>
      <c r="D524" s="73" t="s">
        <v>96</v>
      </c>
      <c r="E524" s="73" t="s">
        <v>161</v>
      </c>
      <c r="F524" s="74">
        <v>17500</v>
      </c>
      <c r="G524" s="80">
        <v>1.7500000000000002E-2</v>
      </c>
      <c r="H524" s="81" t="s">
        <v>94</v>
      </c>
      <c r="I524" s="81" t="s">
        <v>372</v>
      </c>
      <c r="J524" s="82" t="s">
        <v>373</v>
      </c>
    </row>
    <row r="525" spans="2:10" x14ac:dyDescent="0.3">
      <c r="B525" s="70" t="s">
        <v>371</v>
      </c>
      <c r="C525" s="70" t="s">
        <v>181</v>
      </c>
      <c r="D525" s="71" t="s">
        <v>96</v>
      </c>
      <c r="E525" s="71" t="s">
        <v>161</v>
      </c>
      <c r="F525" s="72">
        <v>17500</v>
      </c>
      <c r="G525" s="83">
        <v>1.7500000000000002E-2</v>
      </c>
      <c r="H525" s="84" t="s">
        <v>94</v>
      </c>
      <c r="I525" s="84" t="s">
        <v>372</v>
      </c>
      <c r="J525" s="84" t="s">
        <v>373</v>
      </c>
    </row>
    <row r="526" spans="2:10" x14ac:dyDescent="0.3">
      <c r="B526" s="79" t="s">
        <v>371</v>
      </c>
      <c r="C526" s="79" t="s">
        <v>181</v>
      </c>
      <c r="D526" s="73" t="s">
        <v>96</v>
      </c>
      <c r="E526" s="73" t="s">
        <v>161</v>
      </c>
      <c r="F526" s="74">
        <v>4153488</v>
      </c>
      <c r="G526" s="80">
        <v>4.1534880000000003</v>
      </c>
      <c r="H526" s="81" t="s">
        <v>94</v>
      </c>
      <c r="I526" s="81" t="s">
        <v>372</v>
      </c>
      <c r="J526" s="82" t="s">
        <v>373</v>
      </c>
    </row>
    <row r="527" spans="2:10" x14ac:dyDescent="0.3">
      <c r="B527" s="70" t="s">
        <v>371</v>
      </c>
      <c r="C527" s="70" t="s">
        <v>181</v>
      </c>
      <c r="D527" s="71" t="s">
        <v>96</v>
      </c>
      <c r="E527" s="71" t="s">
        <v>161</v>
      </c>
      <c r="F527" s="72">
        <v>4154301</v>
      </c>
      <c r="G527" s="83">
        <v>4.1543010000000002</v>
      </c>
      <c r="H527" s="84" t="s">
        <v>94</v>
      </c>
      <c r="I527" s="84" t="s">
        <v>372</v>
      </c>
      <c r="J527" s="84" t="s">
        <v>373</v>
      </c>
    </row>
    <row r="528" spans="2:10" x14ac:dyDescent="0.3">
      <c r="B528" s="79" t="s">
        <v>371</v>
      </c>
      <c r="C528" s="79" t="s">
        <v>181</v>
      </c>
      <c r="D528" s="73" t="s">
        <v>102</v>
      </c>
      <c r="E528" s="73" t="s">
        <v>161</v>
      </c>
      <c r="F528" s="74">
        <v>45000</v>
      </c>
      <c r="G528" s="80">
        <v>4.4999999999999998E-2</v>
      </c>
      <c r="H528" s="81" t="s">
        <v>94</v>
      </c>
      <c r="I528" s="81" t="s">
        <v>372</v>
      </c>
      <c r="J528" s="82" t="s">
        <v>373</v>
      </c>
    </row>
    <row r="529" spans="2:10" x14ac:dyDescent="0.3">
      <c r="B529" s="70" t="s">
        <v>371</v>
      </c>
      <c r="C529" s="70" t="s">
        <v>181</v>
      </c>
      <c r="D529" s="71" t="s">
        <v>96</v>
      </c>
      <c r="E529" s="71" t="s">
        <v>161</v>
      </c>
      <c r="F529" s="72">
        <v>17500</v>
      </c>
      <c r="G529" s="83">
        <v>1.7500000000000002E-2</v>
      </c>
      <c r="H529" s="84" t="s">
        <v>94</v>
      </c>
      <c r="I529" s="84" t="s">
        <v>372</v>
      </c>
      <c r="J529" s="84" t="s">
        <v>373</v>
      </c>
    </row>
    <row r="530" spans="2:10" x14ac:dyDescent="0.3">
      <c r="B530" s="79" t="s">
        <v>371</v>
      </c>
      <c r="C530" s="79" t="s">
        <v>181</v>
      </c>
      <c r="D530" s="73" t="s">
        <v>96</v>
      </c>
      <c r="E530" s="73" t="s">
        <v>161</v>
      </c>
      <c r="F530" s="74">
        <v>3929081</v>
      </c>
      <c r="G530" s="80">
        <v>3.929081</v>
      </c>
      <c r="H530" s="81" t="s">
        <v>94</v>
      </c>
      <c r="I530" s="81" t="s">
        <v>372</v>
      </c>
      <c r="J530" s="82" t="s">
        <v>373</v>
      </c>
    </row>
    <row r="531" spans="2:10" x14ac:dyDescent="0.3">
      <c r="B531" s="70" t="s">
        <v>371</v>
      </c>
      <c r="C531" s="70" t="s">
        <v>181</v>
      </c>
      <c r="D531" s="71" t="s">
        <v>102</v>
      </c>
      <c r="E531" s="71" t="s">
        <v>161</v>
      </c>
      <c r="F531" s="72">
        <v>220000</v>
      </c>
      <c r="G531" s="83">
        <v>0.22</v>
      </c>
      <c r="H531" s="84" t="s">
        <v>94</v>
      </c>
      <c r="I531" s="84" t="s">
        <v>372</v>
      </c>
      <c r="J531" s="84" t="s">
        <v>373</v>
      </c>
    </row>
    <row r="532" spans="2:10" x14ac:dyDescent="0.3">
      <c r="B532" s="79" t="s">
        <v>371</v>
      </c>
      <c r="C532" s="79" t="s">
        <v>181</v>
      </c>
      <c r="D532" s="73" t="s">
        <v>102</v>
      </c>
      <c r="E532" s="73" t="s">
        <v>161</v>
      </c>
      <c r="F532" s="74">
        <v>175000</v>
      </c>
      <c r="G532" s="80">
        <v>0.17499999999999999</v>
      </c>
      <c r="H532" s="81" t="s">
        <v>94</v>
      </c>
      <c r="I532" s="81" t="s">
        <v>372</v>
      </c>
      <c r="J532" s="82" t="s">
        <v>373</v>
      </c>
    </row>
    <row r="533" spans="2:10" x14ac:dyDescent="0.3">
      <c r="B533" s="70" t="s">
        <v>371</v>
      </c>
      <c r="C533" s="70" t="s">
        <v>181</v>
      </c>
      <c r="D533" s="71" t="s">
        <v>102</v>
      </c>
      <c r="E533" s="71" t="s">
        <v>161</v>
      </c>
      <c r="F533" s="72">
        <v>175000</v>
      </c>
      <c r="G533" s="83">
        <v>0.17499999999999999</v>
      </c>
      <c r="H533" s="84" t="s">
        <v>94</v>
      </c>
      <c r="I533" s="84" t="s">
        <v>372</v>
      </c>
      <c r="J533" s="84" t="s">
        <v>373</v>
      </c>
    </row>
    <row r="534" spans="2:10" x14ac:dyDescent="0.3">
      <c r="B534" s="79" t="s">
        <v>371</v>
      </c>
      <c r="C534" s="79" t="s">
        <v>181</v>
      </c>
      <c r="D534" s="73" t="s">
        <v>96</v>
      </c>
      <c r="E534" s="73" t="s">
        <v>161</v>
      </c>
      <c r="F534" s="74">
        <v>4153488</v>
      </c>
      <c r="G534" s="80">
        <v>4.1534880000000003</v>
      </c>
      <c r="H534" s="81" t="s">
        <v>94</v>
      </c>
      <c r="I534" s="81" t="s">
        <v>372</v>
      </c>
      <c r="J534" s="82" t="s">
        <v>373</v>
      </c>
    </row>
    <row r="535" spans="2:10" x14ac:dyDescent="0.3">
      <c r="B535" s="70" t="s">
        <v>371</v>
      </c>
      <c r="C535" s="70" t="s">
        <v>181</v>
      </c>
      <c r="D535" s="71" t="s">
        <v>107</v>
      </c>
      <c r="E535" s="71" t="s">
        <v>161</v>
      </c>
      <c r="F535" s="72">
        <v>1142857</v>
      </c>
      <c r="G535" s="83">
        <v>1.142857</v>
      </c>
      <c r="H535" s="84" t="s">
        <v>94</v>
      </c>
      <c r="I535" s="84" t="s">
        <v>372</v>
      </c>
      <c r="J535" s="84" t="s">
        <v>373</v>
      </c>
    </row>
    <row r="536" spans="2:10" x14ac:dyDescent="0.3">
      <c r="B536" s="79" t="s">
        <v>371</v>
      </c>
      <c r="C536" s="79" t="s">
        <v>181</v>
      </c>
      <c r="D536" s="73" t="s">
        <v>96</v>
      </c>
      <c r="E536" s="73" t="s">
        <v>161</v>
      </c>
      <c r="F536" s="74">
        <v>4153488</v>
      </c>
      <c r="G536" s="80">
        <v>4.1534880000000003</v>
      </c>
      <c r="H536" s="81" t="s">
        <v>94</v>
      </c>
      <c r="I536" s="81" t="s">
        <v>372</v>
      </c>
      <c r="J536" s="82" t="s">
        <v>373</v>
      </c>
    </row>
    <row r="537" spans="2:10" x14ac:dyDescent="0.3">
      <c r="B537" s="70" t="s">
        <v>371</v>
      </c>
      <c r="C537" s="70" t="s">
        <v>181</v>
      </c>
      <c r="D537" s="71" t="s">
        <v>102</v>
      </c>
      <c r="E537" s="71" t="s">
        <v>161</v>
      </c>
      <c r="F537" s="72">
        <v>175000</v>
      </c>
      <c r="G537" s="83">
        <v>0.17499999999999999</v>
      </c>
      <c r="H537" s="84" t="s">
        <v>94</v>
      </c>
      <c r="I537" s="84" t="s">
        <v>372</v>
      </c>
      <c r="J537" s="84" t="s">
        <v>373</v>
      </c>
    </row>
    <row r="538" spans="2:10" x14ac:dyDescent="0.3">
      <c r="B538" s="79" t="s">
        <v>371</v>
      </c>
      <c r="C538" s="79" t="s">
        <v>181</v>
      </c>
      <c r="D538" s="73" t="s">
        <v>98</v>
      </c>
      <c r="E538" s="73" t="s">
        <v>161</v>
      </c>
      <c r="F538" s="74">
        <v>200000</v>
      </c>
      <c r="G538" s="80">
        <v>0.2</v>
      </c>
      <c r="H538" s="81" t="s">
        <v>94</v>
      </c>
      <c r="I538" s="81" t="s">
        <v>372</v>
      </c>
      <c r="J538" s="82" t="s">
        <v>373</v>
      </c>
    </row>
    <row r="539" spans="2:10" x14ac:dyDescent="0.3">
      <c r="B539" s="70" t="s">
        <v>371</v>
      </c>
      <c r="C539" s="70" t="s">
        <v>181</v>
      </c>
      <c r="D539" s="71" t="s">
        <v>100</v>
      </c>
      <c r="E539" s="71" t="s">
        <v>161</v>
      </c>
      <c r="F539" s="72">
        <v>6268378</v>
      </c>
      <c r="G539" s="83">
        <v>6.2683780000000002</v>
      </c>
      <c r="H539" s="84" t="s">
        <v>94</v>
      </c>
      <c r="I539" s="84" t="s">
        <v>372</v>
      </c>
      <c r="J539" s="84" t="s">
        <v>373</v>
      </c>
    </row>
    <row r="540" spans="2:10" x14ac:dyDescent="0.3">
      <c r="B540" s="79" t="s">
        <v>371</v>
      </c>
      <c r="C540" s="79" t="s">
        <v>181</v>
      </c>
      <c r="D540" s="73" t="s">
        <v>96</v>
      </c>
      <c r="E540" s="73" t="s">
        <v>161</v>
      </c>
      <c r="F540" s="74">
        <v>17500</v>
      </c>
      <c r="G540" s="80">
        <v>1.7500000000000002E-2</v>
      </c>
      <c r="H540" s="81" t="s">
        <v>94</v>
      </c>
      <c r="I540" s="81" t="s">
        <v>372</v>
      </c>
      <c r="J540" s="82" t="s">
        <v>373</v>
      </c>
    </row>
    <row r="541" spans="2:10" x14ac:dyDescent="0.3">
      <c r="B541" s="70" t="s">
        <v>371</v>
      </c>
      <c r="C541" s="70" t="s">
        <v>181</v>
      </c>
      <c r="D541" s="71" t="s">
        <v>96</v>
      </c>
      <c r="E541" s="71" t="s">
        <v>161</v>
      </c>
      <c r="F541" s="72">
        <v>4152843</v>
      </c>
      <c r="G541" s="83">
        <v>4.1528429999999998</v>
      </c>
      <c r="H541" s="84" t="s">
        <v>94</v>
      </c>
      <c r="I541" s="84" t="s">
        <v>372</v>
      </c>
      <c r="J541" s="84" t="s">
        <v>373</v>
      </c>
    </row>
    <row r="542" spans="2:10" x14ac:dyDescent="0.3">
      <c r="B542" s="79" t="s">
        <v>371</v>
      </c>
      <c r="C542" s="79" t="s">
        <v>181</v>
      </c>
      <c r="D542" s="73" t="s">
        <v>102</v>
      </c>
      <c r="E542" s="73" t="s">
        <v>161</v>
      </c>
      <c r="F542" s="74">
        <v>220000</v>
      </c>
      <c r="G542" s="80">
        <v>0.22</v>
      </c>
      <c r="H542" s="81" t="s">
        <v>94</v>
      </c>
      <c r="I542" s="81" t="s">
        <v>372</v>
      </c>
      <c r="J542" s="82" t="s">
        <v>373</v>
      </c>
    </row>
    <row r="543" spans="2:10" x14ac:dyDescent="0.3">
      <c r="B543" s="70" t="s">
        <v>371</v>
      </c>
      <c r="C543" s="70" t="s">
        <v>181</v>
      </c>
      <c r="D543" s="71" t="s">
        <v>100</v>
      </c>
      <c r="E543" s="71" t="s">
        <v>161</v>
      </c>
      <c r="F543" s="72">
        <v>73764743</v>
      </c>
      <c r="G543" s="83">
        <v>73.764742999999996</v>
      </c>
      <c r="H543" s="84" t="s">
        <v>94</v>
      </c>
      <c r="I543" s="84" t="s">
        <v>372</v>
      </c>
      <c r="J543" s="84" t="s">
        <v>373</v>
      </c>
    </row>
    <row r="544" spans="2:10" x14ac:dyDescent="0.3">
      <c r="B544" s="79" t="s">
        <v>371</v>
      </c>
      <c r="C544" s="79" t="s">
        <v>181</v>
      </c>
      <c r="D544" s="73" t="s">
        <v>100</v>
      </c>
      <c r="E544" s="73" t="s">
        <v>161</v>
      </c>
      <c r="F544" s="74">
        <v>26235257</v>
      </c>
      <c r="G544" s="80">
        <v>26.235257000000001</v>
      </c>
      <c r="H544" s="81" t="s">
        <v>94</v>
      </c>
      <c r="I544" s="81" t="s">
        <v>372</v>
      </c>
      <c r="J544" s="82" t="s">
        <v>373</v>
      </c>
    </row>
    <row r="545" spans="2:10" x14ac:dyDescent="0.3">
      <c r="B545" s="70" t="s">
        <v>371</v>
      </c>
      <c r="C545" s="70" t="s">
        <v>181</v>
      </c>
      <c r="D545" s="71" t="s">
        <v>102</v>
      </c>
      <c r="E545" s="71" t="s">
        <v>161</v>
      </c>
      <c r="F545" s="72">
        <v>130000</v>
      </c>
      <c r="G545" s="83">
        <v>0.13</v>
      </c>
      <c r="H545" s="84" t="s">
        <v>94</v>
      </c>
      <c r="I545" s="84" t="s">
        <v>372</v>
      </c>
      <c r="J545" s="84" t="s">
        <v>373</v>
      </c>
    </row>
    <row r="546" spans="2:10" x14ac:dyDescent="0.3">
      <c r="B546" s="79" t="s">
        <v>371</v>
      </c>
      <c r="C546" s="79" t="s">
        <v>181</v>
      </c>
      <c r="D546" s="73" t="s">
        <v>96</v>
      </c>
      <c r="E546" s="73" t="s">
        <v>161</v>
      </c>
      <c r="F546" s="74">
        <v>4153908</v>
      </c>
      <c r="G546" s="80">
        <v>4.1539080000000004</v>
      </c>
      <c r="H546" s="81" t="s">
        <v>94</v>
      </c>
      <c r="I546" s="81" t="s">
        <v>372</v>
      </c>
      <c r="J546" s="82" t="s">
        <v>373</v>
      </c>
    </row>
    <row r="547" spans="2:10" x14ac:dyDescent="0.3">
      <c r="B547" s="70" t="s">
        <v>371</v>
      </c>
      <c r="C547" s="70" t="s">
        <v>181</v>
      </c>
      <c r="D547" s="71" t="s">
        <v>96</v>
      </c>
      <c r="E547" s="71" t="s">
        <v>161</v>
      </c>
      <c r="F547" s="72">
        <v>4152843</v>
      </c>
      <c r="G547" s="83">
        <v>4.1528429999999998</v>
      </c>
      <c r="H547" s="84" t="s">
        <v>94</v>
      </c>
      <c r="I547" s="84" t="s">
        <v>372</v>
      </c>
      <c r="J547" s="84" t="s">
        <v>373</v>
      </c>
    </row>
    <row r="548" spans="2:10" x14ac:dyDescent="0.3">
      <c r="B548" s="79" t="s">
        <v>371</v>
      </c>
      <c r="C548" s="79" t="s">
        <v>204</v>
      </c>
      <c r="D548" s="73" t="s">
        <v>96</v>
      </c>
      <c r="E548" s="73" t="s">
        <v>161</v>
      </c>
      <c r="F548" s="74">
        <v>8650</v>
      </c>
      <c r="G548" s="80">
        <v>8.6499999999999997E-3</v>
      </c>
      <c r="H548" s="81" t="s">
        <v>94</v>
      </c>
      <c r="I548" s="81" t="s">
        <v>372</v>
      </c>
      <c r="J548" s="82" t="s">
        <v>373</v>
      </c>
    </row>
    <row r="549" spans="2:10" x14ac:dyDescent="0.3">
      <c r="B549" s="70" t="s">
        <v>371</v>
      </c>
      <c r="C549" s="70" t="s">
        <v>204</v>
      </c>
      <c r="D549" s="71" t="s">
        <v>96</v>
      </c>
      <c r="E549" s="71" t="s">
        <v>161</v>
      </c>
      <c r="F549" s="72">
        <v>134544</v>
      </c>
      <c r="G549" s="83">
        <v>0.134544</v>
      </c>
      <c r="H549" s="84" t="s">
        <v>94</v>
      </c>
      <c r="I549" s="84" t="s">
        <v>372</v>
      </c>
      <c r="J549" s="84" t="s">
        <v>373</v>
      </c>
    </row>
    <row r="550" spans="2:10" x14ac:dyDescent="0.3">
      <c r="B550" s="79" t="s">
        <v>371</v>
      </c>
      <c r="C550" s="79" t="s">
        <v>204</v>
      </c>
      <c r="D550" s="73" t="s">
        <v>96</v>
      </c>
      <c r="E550" s="73" t="s">
        <v>161</v>
      </c>
      <c r="F550" s="74">
        <v>12100</v>
      </c>
      <c r="G550" s="80">
        <v>1.21E-2</v>
      </c>
      <c r="H550" s="81" t="s">
        <v>94</v>
      </c>
      <c r="I550" s="81" t="s">
        <v>372</v>
      </c>
      <c r="J550" s="82" t="s">
        <v>373</v>
      </c>
    </row>
    <row r="551" spans="2:10" x14ac:dyDescent="0.3">
      <c r="B551" s="70" t="s">
        <v>371</v>
      </c>
      <c r="C551" s="70" t="s">
        <v>204</v>
      </c>
      <c r="D551" s="71" t="s">
        <v>96</v>
      </c>
      <c r="E551" s="71" t="s">
        <v>161</v>
      </c>
      <c r="F551" s="72">
        <v>3774345</v>
      </c>
      <c r="G551" s="83">
        <v>3.7743449999999998</v>
      </c>
      <c r="H551" s="84" t="s">
        <v>94</v>
      </c>
      <c r="I551" s="84" t="s">
        <v>372</v>
      </c>
      <c r="J551" s="84" t="s">
        <v>373</v>
      </c>
    </row>
    <row r="552" spans="2:10" x14ac:dyDescent="0.3">
      <c r="B552" s="79" t="s">
        <v>371</v>
      </c>
      <c r="C552" s="79" t="s">
        <v>204</v>
      </c>
      <c r="D552" s="73" t="s">
        <v>96</v>
      </c>
      <c r="E552" s="73" t="s">
        <v>161</v>
      </c>
      <c r="F552" s="74">
        <v>134544</v>
      </c>
      <c r="G552" s="80">
        <v>0.134544</v>
      </c>
      <c r="H552" s="81" t="s">
        <v>94</v>
      </c>
      <c r="I552" s="81" t="s">
        <v>372</v>
      </c>
      <c r="J552" s="82" t="s">
        <v>373</v>
      </c>
    </row>
    <row r="553" spans="2:10" x14ac:dyDescent="0.3">
      <c r="B553" s="70" t="s">
        <v>371</v>
      </c>
      <c r="C553" s="70" t="s">
        <v>204</v>
      </c>
      <c r="D553" s="71" t="s">
        <v>96</v>
      </c>
      <c r="E553" s="71" t="s">
        <v>161</v>
      </c>
      <c r="F553" s="72">
        <v>444068</v>
      </c>
      <c r="G553" s="83">
        <v>0.44406800000000002</v>
      </c>
      <c r="H553" s="84" t="s">
        <v>94</v>
      </c>
      <c r="I553" s="84" t="s">
        <v>372</v>
      </c>
      <c r="J553" s="84" t="s">
        <v>373</v>
      </c>
    </row>
    <row r="554" spans="2:10" x14ac:dyDescent="0.3">
      <c r="B554" s="79" t="s">
        <v>371</v>
      </c>
      <c r="C554" s="79" t="s">
        <v>204</v>
      </c>
      <c r="D554" s="73" t="s">
        <v>96</v>
      </c>
      <c r="E554" s="73" t="s">
        <v>161</v>
      </c>
      <c r="F554" s="74">
        <v>134544</v>
      </c>
      <c r="G554" s="80">
        <v>0.134544</v>
      </c>
      <c r="H554" s="81" t="s">
        <v>94</v>
      </c>
      <c r="I554" s="81" t="s">
        <v>372</v>
      </c>
      <c r="J554" s="82" t="s">
        <v>373</v>
      </c>
    </row>
    <row r="555" spans="2:10" x14ac:dyDescent="0.3">
      <c r="B555" s="70" t="s">
        <v>371</v>
      </c>
      <c r="C555" s="70" t="s">
        <v>204</v>
      </c>
      <c r="D555" s="71" t="s">
        <v>96</v>
      </c>
      <c r="E555" s="71" t="s">
        <v>161</v>
      </c>
      <c r="F555" s="72">
        <v>134544</v>
      </c>
      <c r="G555" s="83">
        <v>0.134544</v>
      </c>
      <c r="H555" s="84" t="s">
        <v>94</v>
      </c>
      <c r="I555" s="84" t="s">
        <v>372</v>
      </c>
      <c r="J555" s="84" t="s">
        <v>373</v>
      </c>
    </row>
    <row r="556" spans="2:10" x14ac:dyDescent="0.3">
      <c r="B556" s="79" t="s">
        <v>371</v>
      </c>
      <c r="C556" s="79" t="s">
        <v>204</v>
      </c>
      <c r="D556" s="73" t="s">
        <v>96</v>
      </c>
      <c r="E556" s="73" t="s">
        <v>161</v>
      </c>
      <c r="F556" s="74">
        <v>12100</v>
      </c>
      <c r="G556" s="80">
        <v>1.21E-2</v>
      </c>
      <c r="H556" s="81" t="s">
        <v>94</v>
      </c>
      <c r="I556" s="81" t="s">
        <v>372</v>
      </c>
      <c r="J556" s="82" t="s">
        <v>373</v>
      </c>
    </row>
    <row r="557" spans="2:10" x14ac:dyDescent="0.3">
      <c r="B557" s="70" t="s">
        <v>371</v>
      </c>
      <c r="C557" s="70" t="s">
        <v>204</v>
      </c>
      <c r="D557" s="71" t="s">
        <v>102</v>
      </c>
      <c r="E557" s="71" t="s">
        <v>161</v>
      </c>
      <c r="F557" s="72">
        <v>92060</v>
      </c>
      <c r="G557" s="83">
        <v>9.2060000000000003E-2</v>
      </c>
      <c r="H557" s="84" t="s">
        <v>94</v>
      </c>
      <c r="I557" s="84" t="s">
        <v>372</v>
      </c>
      <c r="J557" s="84" t="s">
        <v>373</v>
      </c>
    </row>
    <row r="558" spans="2:10" x14ac:dyDescent="0.3">
      <c r="B558" s="79" t="s">
        <v>371</v>
      </c>
      <c r="C558" s="79" t="s">
        <v>204</v>
      </c>
      <c r="D558" s="73" t="s">
        <v>96</v>
      </c>
      <c r="E558" s="73" t="s">
        <v>161</v>
      </c>
      <c r="F558" s="74">
        <v>444068</v>
      </c>
      <c r="G558" s="80">
        <v>0.44406800000000002</v>
      </c>
      <c r="H558" s="81" t="s">
        <v>94</v>
      </c>
      <c r="I558" s="81" t="s">
        <v>372</v>
      </c>
      <c r="J558" s="82" t="s">
        <v>373</v>
      </c>
    </row>
    <row r="559" spans="2:10" x14ac:dyDescent="0.3">
      <c r="B559" s="70" t="s">
        <v>371</v>
      </c>
      <c r="C559" s="70" t="s">
        <v>204</v>
      </c>
      <c r="D559" s="71" t="s">
        <v>102</v>
      </c>
      <c r="E559" s="71" t="s">
        <v>161</v>
      </c>
      <c r="F559" s="72">
        <v>88640</v>
      </c>
      <c r="G559" s="83">
        <v>8.8639999999999997E-2</v>
      </c>
      <c r="H559" s="84" t="s">
        <v>94</v>
      </c>
      <c r="I559" s="84" t="s">
        <v>372</v>
      </c>
      <c r="J559" s="84" t="s">
        <v>373</v>
      </c>
    </row>
    <row r="560" spans="2:10" x14ac:dyDescent="0.3">
      <c r="B560" s="79" t="s">
        <v>371</v>
      </c>
      <c r="C560" s="79" t="s">
        <v>204</v>
      </c>
      <c r="D560" s="73" t="s">
        <v>102</v>
      </c>
      <c r="E560" s="73" t="s">
        <v>161</v>
      </c>
      <c r="F560" s="74">
        <v>181320</v>
      </c>
      <c r="G560" s="80">
        <v>0.18132000000000001</v>
      </c>
      <c r="H560" s="81" t="s">
        <v>94</v>
      </c>
      <c r="I560" s="81" t="s">
        <v>372</v>
      </c>
      <c r="J560" s="82" t="s">
        <v>373</v>
      </c>
    </row>
    <row r="561" spans="2:10" x14ac:dyDescent="0.3">
      <c r="B561" s="70" t="s">
        <v>371</v>
      </c>
      <c r="C561" s="70" t="s">
        <v>204</v>
      </c>
      <c r="D561" s="71" t="s">
        <v>102</v>
      </c>
      <c r="E561" s="71" t="s">
        <v>161</v>
      </c>
      <c r="F561" s="72">
        <v>190200</v>
      </c>
      <c r="G561" s="83">
        <v>0.19020000000000001</v>
      </c>
      <c r="H561" s="84" t="s">
        <v>94</v>
      </c>
      <c r="I561" s="84" t="s">
        <v>372</v>
      </c>
      <c r="J561" s="84" t="s">
        <v>373</v>
      </c>
    </row>
    <row r="562" spans="2:10" x14ac:dyDescent="0.3">
      <c r="B562" s="79" t="s">
        <v>371</v>
      </c>
      <c r="C562" s="79" t="s">
        <v>204</v>
      </c>
      <c r="D562" s="73" t="s">
        <v>102</v>
      </c>
      <c r="E562" s="73" t="s">
        <v>161</v>
      </c>
      <c r="F562" s="74">
        <v>26389</v>
      </c>
      <c r="G562" s="80">
        <v>2.6388999999999999E-2</v>
      </c>
      <c r="H562" s="81" t="s">
        <v>94</v>
      </c>
      <c r="I562" s="81" t="s">
        <v>372</v>
      </c>
      <c r="J562" s="82" t="s">
        <v>373</v>
      </c>
    </row>
    <row r="563" spans="2:10" x14ac:dyDescent="0.3">
      <c r="B563" s="70" t="s">
        <v>371</v>
      </c>
      <c r="C563" s="70" t="s">
        <v>204</v>
      </c>
      <c r="D563" s="71" t="s">
        <v>96</v>
      </c>
      <c r="E563" s="71" t="s">
        <v>161</v>
      </c>
      <c r="F563" s="72">
        <v>444068</v>
      </c>
      <c r="G563" s="83">
        <v>0.44406800000000002</v>
      </c>
      <c r="H563" s="84" t="s">
        <v>94</v>
      </c>
      <c r="I563" s="84" t="s">
        <v>372</v>
      </c>
      <c r="J563" s="84" t="s">
        <v>373</v>
      </c>
    </row>
    <row r="564" spans="2:10" x14ac:dyDescent="0.3">
      <c r="B564" s="79" t="s">
        <v>371</v>
      </c>
      <c r="C564" s="79" t="s">
        <v>204</v>
      </c>
      <c r="D564" s="73" t="s">
        <v>102</v>
      </c>
      <c r="E564" s="73" t="s">
        <v>161</v>
      </c>
      <c r="F564" s="74">
        <v>37800</v>
      </c>
      <c r="G564" s="80">
        <v>3.78E-2</v>
      </c>
      <c r="H564" s="81" t="s">
        <v>94</v>
      </c>
      <c r="I564" s="81" t="s">
        <v>372</v>
      </c>
      <c r="J564" s="82" t="s">
        <v>373</v>
      </c>
    </row>
    <row r="565" spans="2:10" x14ac:dyDescent="0.3">
      <c r="B565" s="70" t="s">
        <v>371</v>
      </c>
      <c r="C565" s="70" t="s">
        <v>204</v>
      </c>
      <c r="D565" s="71" t="s">
        <v>96</v>
      </c>
      <c r="E565" s="71" t="s">
        <v>161</v>
      </c>
      <c r="F565" s="72">
        <v>12100</v>
      </c>
      <c r="G565" s="83">
        <v>1.21E-2</v>
      </c>
      <c r="H565" s="84" t="s">
        <v>94</v>
      </c>
      <c r="I565" s="84" t="s">
        <v>372</v>
      </c>
      <c r="J565" s="84" t="s">
        <v>373</v>
      </c>
    </row>
    <row r="566" spans="2:10" x14ac:dyDescent="0.3">
      <c r="B566" s="79" t="s">
        <v>371</v>
      </c>
      <c r="C566" s="79" t="s">
        <v>204</v>
      </c>
      <c r="D566" s="73" t="s">
        <v>102</v>
      </c>
      <c r="E566" s="73" t="s">
        <v>161</v>
      </c>
      <c r="F566" s="74">
        <v>129000</v>
      </c>
      <c r="G566" s="80">
        <v>0.129</v>
      </c>
      <c r="H566" s="81" t="s">
        <v>94</v>
      </c>
      <c r="I566" s="81" t="s">
        <v>372</v>
      </c>
      <c r="J566" s="82" t="s">
        <v>373</v>
      </c>
    </row>
    <row r="567" spans="2:10" x14ac:dyDescent="0.3">
      <c r="B567" s="70" t="s">
        <v>371</v>
      </c>
      <c r="C567" s="70" t="s">
        <v>204</v>
      </c>
      <c r="D567" s="71" t="s">
        <v>102</v>
      </c>
      <c r="E567" s="71" t="s">
        <v>161</v>
      </c>
      <c r="F567" s="72">
        <v>101550</v>
      </c>
      <c r="G567" s="83">
        <v>0.10155</v>
      </c>
      <c r="H567" s="84" t="s">
        <v>94</v>
      </c>
      <c r="I567" s="84" t="s">
        <v>372</v>
      </c>
      <c r="J567" s="84" t="s">
        <v>373</v>
      </c>
    </row>
    <row r="568" spans="2:10" x14ac:dyDescent="0.3">
      <c r="B568" s="79" t="s">
        <v>371</v>
      </c>
      <c r="C568" s="79" t="s">
        <v>204</v>
      </c>
      <c r="D568" s="73" t="s">
        <v>96</v>
      </c>
      <c r="E568" s="73" t="s">
        <v>161</v>
      </c>
      <c r="F568" s="74">
        <v>444068</v>
      </c>
      <c r="G568" s="80">
        <v>0.44406800000000002</v>
      </c>
      <c r="H568" s="81" t="s">
        <v>94</v>
      </c>
      <c r="I568" s="81" t="s">
        <v>372</v>
      </c>
      <c r="J568" s="82" t="s">
        <v>373</v>
      </c>
    </row>
    <row r="569" spans="2:10" x14ac:dyDescent="0.3">
      <c r="B569" s="70" t="s">
        <v>371</v>
      </c>
      <c r="C569" s="70" t="s">
        <v>204</v>
      </c>
      <c r="D569" s="71" t="s">
        <v>102</v>
      </c>
      <c r="E569" s="71" t="s">
        <v>161</v>
      </c>
      <c r="F569" s="72">
        <v>41200</v>
      </c>
      <c r="G569" s="83">
        <v>4.1200000000000001E-2</v>
      </c>
      <c r="H569" s="84" t="s">
        <v>94</v>
      </c>
      <c r="I569" s="84" t="s">
        <v>372</v>
      </c>
      <c r="J569" s="84" t="s">
        <v>373</v>
      </c>
    </row>
    <row r="570" spans="2:10" x14ac:dyDescent="0.3">
      <c r="B570" s="79" t="s">
        <v>371</v>
      </c>
      <c r="C570" s="79" t="s">
        <v>204</v>
      </c>
      <c r="D570" s="73" t="s">
        <v>102</v>
      </c>
      <c r="E570" s="73" t="s">
        <v>161</v>
      </c>
      <c r="F570" s="74">
        <v>226389</v>
      </c>
      <c r="G570" s="80">
        <v>0.22638900000000001</v>
      </c>
      <c r="H570" s="81" t="s">
        <v>94</v>
      </c>
      <c r="I570" s="81" t="s">
        <v>372</v>
      </c>
      <c r="J570" s="82" t="s">
        <v>373</v>
      </c>
    </row>
    <row r="571" spans="2:10" x14ac:dyDescent="0.3">
      <c r="B571" s="70" t="s">
        <v>371</v>
      </c>
      <c r="C571" s="70" t="s">
        <v>204</v>
      </c>
      <c r="D571" s="71" t="s">
        <v>96</v>
      </c>
      <c r="E571" s="71" t="s">
        <v>161</v>
      </c>
      <c r="F571" s="72">
        <v>131345</v>
      </c>
      <c r="G571" s="83">
        <v>0.13134499999999999</v>
      </c>
      <c r="H571" s="84" t="s">
        <v>94</v>
      </c>
      <c r="I571" s="84" t="s">
        <v>372</v>
      </c>
      <c r="J571" s="84" t="s">
        <v>373</v>
      </c>
    </row>
    <row r="572" spans="2:10" x14ac:dyDescent="0.3">
      <c r="B572" s="79" t="s">
        <v>371</v>
      </c>
      <c r="C572" s="79" t="s">
        <v>204</v>
      </c>
      <c r="D572" s="73" t="s">
        <v>96</v>
      </c>
      <c r="E572" s="73" t="s">
        <v>161</v>
      </c>
      <c r="F572" s="74">
        <v>2528470</v>
      </c>
      <c r="G572" s="80">
        <v>2.52847</v>
      </c>
      <c r="H572" s="81" t="s">
        <v>94</v>
      </c>
      <c r="I572" s="81" t="s">
        <v>372</v>
      </c>
      <c r="J572" s="82" t="s">
        <v>373</v>
      </c>
    </row>
    <row r="573" spans="2:10" x14ac:dyDescent="0.3">
      <c r="B573" s="70" t="s">
        <v>371</v>
      </c>
      <c r="C573" s="70" t="s">
        <v>204</v>
      </c>
      <c r="D573" s="71" t="s">
        <v>96</v>
      </c>
      <c r="E573" s="71" t="s">
        <v>161</v>
      </c>
      <c r="F573" s="72">
        <v>444068</v>
      </c>
      <c r="G573" s="83">
        <v>0.44406800000000002</v>
      </c>
      <c r="H573" s="84" t="s">
        <v>94</v>
      </c>
      <c r="I573" s="84" t="s">
        <v>372</v>
      </c>
      <c r="J573" s="84" t="s">
        <v>373</v>
      </c>
    </row>
    <row r="574" spans="2:10" x14ac:dyDescent="0.3">
      <c r="B574" s="79" t="s">
        <v>371</v>
      </c>
      <c r="C574" s="79" t="s">
        <v>204</v>
      </c>
      <c r="D574" s="73" t="s">
        <v>96</v>
      </c>
      <c r="E574" s="73" t="s">
        <v>161</v>
      </c>
      <c r="F574" s="74">
        <v>444068</v>
      </c>
      <c r="G574" s="80">
        <v>0.44406800000000002</v>
      </c>
      <c r="H574" s="81" t="s">
        <v>94</v>
      </c>
      <c r="I574" s="81" t="s">
        <v>372</v>
      </c>
      <c r="J574" s="82" t="s">
        <v>373</v>
      </c>
    </row>
    <row r="575" spans="2:10" x14ac:dyDescent="0.3">
      <c r="B575" s="70" t="s">
        <v>371</v>
      </c>
      <c r="C575" s="70" t="s">
        <v>204</v>
      </c>
      <c r="D575" s="71" t="s">
        <v>96</v>
      </c>
      <c r="E575" s="71" t="s">
        <v>161</v>
      </c>
      <c r="F575" s="72">
        <v>12100</v>
      </c>
      <c r="G575" s="83">
        <v>1.21E-2</v>
      </c>
      <c r="H575" s="84" t="s">
        <v>94</v>
      </c>
      <c r="I575" s="84" t="s">
        <v>372</v>
      </c>
      <c r="J575" s="84" t="s">
        <v>373</v>
      </c>
    </row>
    <row r="576" spans="2:10" x14ac:dyDescent="0.3">
      <c r="B576" s="79" t="s">
        <v>371</v>
      </c>
      <c r="C576" s="79" t="s">
        <v>204</v>
      </c>
      <c r="D576" s="73" t="s">
        <v>96</v>
      </c>
      <c r="E576" s="73" t="s">
        <v>161</v>
      </c>
      <c r="F576" s="74">
        <v>12100</v>
      </c>
      <c r="G576" s="80">
        <v>1.21E-2</v>
      </c>
      <c r="H576" s="81" t="s">
        <v>94</v>
      </c>
      <c r="I576" s="81" t="s">
        <v>372</v>
      </c>
      <c r="J576" s="82" t="s">
        <v>373</v>
      </c>
    </row>
    <row r="577" spans="2:10" x14ac:dyDescent="0.3">
      <c r="B577" s="70" t="s">
        <v>371</v>
      </c>
      <c r="C577" s="70" t="s">
        <v>204</v>
      </c>
      <c r="D577" s="71" t="s">
        <v>96</v>
      </c>
      <c r="E577" s="71" t="s">
        <v>161</v>
      </c>
      <c r="F577" s="72">
        <v>12100</v>
      </c>
      <c r="G577" s="83">
        <v>1.21E-2</v>
      </c>
      <c r="H577" s="84" t="s">
        <v>94</v>
      </c>
      <c r="I577" s="84" t="s">
        <v>372</v>
      </c>
      <c r="J577" s="84" t="s">
        <v>373</v>
      </c>
    </row>
    <row r="578" spans="2:10" x14ac:dyDescent="0.3">
      <c r="B578" s="79" t="s">
        <v>371</v>
      </c>
      <c r="C578" s="79" t="s">
        <v>204</v>
      </c>
      <c r="D578" s="73" t="s">
        <v>102</v>
      </c>
      <c r="E578" s="73" t="s">
        <v>161</v>
      </c>
      <c r="F578" s="74">
        <v>61389</v>
      </c>
      <c r="G578" s="80">
        <v>6.1388999999999999E-2</v>
      </c>
      <c r="H578" s="81" t="s">
        <v>94</v>
      </c>
      <c r="I578" s="81" t="s">
        <v>372</v>
      </c>
      <c r="J578" s="82" t="s">
        <v>373</v>
      </c>
    </row>
    <row r="579" spans="2:10" x14ac:dyDescent="0.3">
      <c r="B579" s="70" t="s">
        <v>371</v>
      </c>
      <c r="C579" s="70" t="s">
        <v>204</v>
      </c>
      <c r="D579" s="71" t="s">
        <v>96</v>
      </c>
      <c r="E579" s="71" t="s">
        <v>161</v>
      </c>
      <c r="F579" s="72">
        <v>13900</v>
      </c>
      <c r="G579" s="83">
        <v>1.3899999999999999E-2</v>
      </c>
      <c r="H579" s="84" t="s">
        <v>94</v>
      </c>
      <c r="I579" s="84" t="s">
        <v>372</v>
      </c>
      <c r="J579" s="84" t="s">
        <v>373</v>
      </c>
    </row>
    <row r="580" spans="2:10" x14ac:dyDescent="0.3">
      <c r="B580" s="79" t="s">
        <v>371</v>
      </c>
      <c r="C580" s="79" t="s">
        <v>204</v>
      </c>
      <c r="D580" s="73" t="s">
        <v>96</v>
      </c>
      <c r="E580" s="73" t="s">
        <v>161</v>
      </c>
      <c r="F580" s="74">
        <v>20300</v>
      </c>
      <c r="G580" s="80">
        <v>2.0299999999999999E-2</v>
      </c>
      <c r="H580" s="81" t="s">
        <v>94</v>
      </c>
      <c r="I580" s="81" t="s">
        <v>372</v>
      </c>
      <c r="J580" s="82" t="s">
        <v>373</v>
      </c>
    </row>
    <row r="581" spans="2:10" x14ac:dyDescent="0.3">
      <c r="B581" s="70" t="s">
        <v>371</v>
      </c>
      <c r="C581" s="70" t="s">
        <v>204</v>
      </c>
      <c r="D581" s="71" t="s">
        <v>96</v>
      </c>
      <c r="E581" s="71" t="s">
        <v>161</v>
      </c>
      <c r="F581" s="72">
        <v>444068</v>
      </c>
      <c r="G581" s="83">
        <v>0.44406800000000002</v>
      </c>
      <c r="H581" s="84" t="s">
        <v>94</v>
      </c>
      <c r="I581" s="84" t="s">
        <v>372</v>
      </c>
      <c r="J581" s="84" t="s">
        <v>373</v>
      </c>
    </row>
    <row r="582" spans="2:10" x14ac:dyDescent="0.3">
      <c r="B582" s="79" t="s">
        <v>371</v>
      </c>
      <c r="C582" s="79" t="s">
        <v>204</v>
      </c>
      <c r="D582" s="73" t="s">
        <v>96</v>
      </c>
      <c r="E582" s="73" t="s">
        <v>161</v>
      </c>
      <c r="F582" s="74">
        <v>12100</v>
      </c>
      <c r="G582" s="80">
        <v>1.21E-2</v>
      </c>
      <c r="H582" s="81" t="s">
        <v>94</v>
      </c>
      <c r="I582" s="81" t="s">
        <v>372</v>
      </c>
      <c r="J582" s="82" t="s">
        <v>373</v>
      </c>
    </row>
    <row r="583" spans="2:10" x14ac:dyDescent="0.3">
      <c r="B583" s="70" t="s">
        <v>371</v>
      </c>
      <c r="C583" s="70" t="s">
        <v>204</v>
      </c>
      <c r="D583" s="71" t="s">
        <v>96</v>
      </c>
      <c r="E583" s="71" t="s">
        <v>161</v>
      </c>
      <c r="F583" s="72">
        <v>12100</v>
      </c>
      <c r="G583" s="83">
        <v>1.21E-2</v>
      </c>
      <c r="H583" s="84" t="s">
        <v>94</v>
      </c>
      <c r="I583" s="84" t="s">
        <v>372</v>
      </c>
      <c r="J583" s="84" t="s">
        <v>373</v>
      </c>
    </row>
    <row r="584" spans="2:10" x14ac:dyDescent="0.3">
      <c r="B584" s="79" t="s">
        <v>371</v>
      </c>
      <c r="C584" s="79" t="s">
        <v>204</v>
      </c>
      <c r="D584" s="73" t="s">
        <v>96</v>
      </c>
      <c r="E584" s="73" t="s">
        <v>161</v>
      </c>
      <c r="F584" s="74">
        <v>134544</v>
      </c>
      <c r="G584" s="80">
        <v>0.134544</v>
      </c>
      <c r="H584" s="81" t="s">
        <v>94</v>
      </c>
      <c r="I584" s="81" t="s">
        <v>372</v>
      </c>
      <c r="J584" s="82" t="s">
        <v>373</v>
      </c>
    </row>
    <row r="585" spans="2:10" x14ac:dyDescent="0.3">
      <c r="B585" s="70" t="s">
        <v>371</v>
      </c>
      <c r="C585" s="70" t="s">
        <v>204</v>
      </c>
      <c r="D585" s="71" t="s">
        <v>96</v>
      </c>
      <c r="E585" s="71" t="s">
        <v>161</v>
      </c>
      <c r="F585" s="72">
        <v>444068</v>
      </c>
      <c r="G585" s="83">
        <v>0.44406800000000002</v>
      </c>
      <c r="H585" s="84" t="s">
        <v>94</v>
      </c>
      <c r="I585" s="84" t="s">
        <v>372</v>
      </c>
      <c r="J585" s="84" t="s">
        <v>373</v>
      </c>
    </row>
    <row r="586" spans="2:10" x14ac:dyDescent="0.3">
      <c r="B586" s="79" t="s">
        <v>371</v>
      </c>
      <c r="C586" s="79" t="s">
        <v>204</v>
      </c>
      <c r="D586" s="73" t="s">
        <v>96</v>
      </c>
      <c r="E586" s="73" t="s">
        <v>161</v>
      </c>
      <c r="F586" s="74">
        <v>134544</v>
      </c>
      <c r="G586" s="80">
        <v>0.134544</v>
      </c>
      <c r="H586" s="81" t="s">
        <v>94</v>
      </c>
      <c r="I586" s="81" t="s">
        <v>372</v>
      </c>
      <c r="J586" s="82" t="s">
        <v>373</v>
      </c>
    </row>
    <row r="587" spans="2:10" x14ac:dyDescent="0.3">
      <c r="B587" s="70" t="s">
        <v>371</v>
      </c>
      <c r="C587" s="70" t="s">
        <v>204</v>
      </c>
      <c r="D587" s="71" t="s">
        <v>96</v>
      </c>
      <c r="E587" s="71" t="s">
        <v>161</v>
      </c>
      <c r="F587" s="72">
        <v>681268</v>
      </c>
      <c r="G587" s="83">
        <v>0.68126799999999998</v>
      </c>
      <c r="H587" s="84" t="s">
        <v>94</v>
      </c>
      <c r="I587" s="84" t="s">
        <v>372</v>
      </c>
      <c r="J587" s="84" t="s">
        <v>373</v>
      </c>
    </row>
    <row r="588" spans="2:10" x14ac:dyDescent="0.3">
      <c r="B588" s="79" t="s">
        <v>371</v>
      </c>
      <c r="C588" s="79" t="s">
        <v>204</v>
      </c>
      <c r="D588" s="73" t="s">
        <v>96</v>
      </c>
      <c r="E588" s="73" t="s">
        <v>161</v>
      </c>
      <c r="F588" s="74">
        <v>134544</v>
      </c>
      <c r="G588" s="80">
        <v>0.134544</v>
      </c>
      <c r="H588" s="81" t="s">
        <v>94</v>
      </c>
      <c r="I588" s="81" t="s">
        <v>372</v>
      </c>
      <c r="J588" s="82" t="s">
        <v>373</v>
      </c>
    </row>
    <row r="589" spans="2:10" x14ac:dyDescent="0.3">
      <c r="B589" s="70" t="s">
        <v>371</v>
      </c>
      <c r="C589" s="70" t="s">
        <v>204</v>
      </c>
      <c r="D589" s="71" t="s">
        <v>96</v>
      </c>
      <c r="E589" s="71" t="s">
        <v>161</v>
      </c>
      <c r="F589" s="72">
        <v>134544</v>
      </c>
      <c r="G589" s="83">
        <v>0.134544</v>
      </c>
      <c r="H589" s="84" t="s">
        <v>94</v>
      </c>
      <c r="I589" s="84" t="s">
        <v>372</v>
      </c>
      <c r="J589" s="84" t="s">
        <v>373</v>
      </c>
    </row>
    <row r="590" spans="2:10" x14ac:dyDescent="0.3">
      <c r="B590" s="79" t="s">
        <v>371</v>
      </c>
      <c r="C590" s="79" t="s">
        <v>232</v>
      </c>
      <c r="D590" s="73" t="s">
        <v>96</v>
      </c>
      <c r="E590" s="73" t="s">
        <v>161</v>
      </c>
      <c r="F590" s="74">
        <v>20430</v>
      </c>
      <c r="G590" s="80">
        <v>2.043E-2</v>
      </c>
      <c r="H590" s="81" t="s">
        <v>94</v>
      </c>
      <c r="I590" s="81" t="s">
        <v>372</v>
      </c>
      <c r="J590" s="82" t="s">
        <v>373</v>
      </c>
    </row>
    <row r="591" spans="2:10" x14ac:dyDescent="0.3">
      <c r="B591" s="70" t="s">
        <v>371</v>
      </c>
      <c r="C591" s="70" t="s">
        <v>232</v>
      </c>
      <c r="D591" s="71" t="s">
        <v>96</v>
      </c>
      <c r="E591" s="71" t="s">
        <v>161</v>
      </c>
      <c r="F591" s="72">
        <v>29533</v>
      </c>
      <c r="G591" s="83">
        <v>2.9533E-2</v>
      </c>
      <c r="H591" s="84" t="s">
        <v>94</v>
      </c>
      <c r="I591" s="84" t="s">
        <v>372</v>
      </c>
      <c r="J591" s="84" t="s">
        <v>373</v>
      </c>
    </row>
    <row r="592" spans="2:10" x14ac:dyDescent="0.3">
      <c r="B592" s="79" t="s">
        <v>371</v>
      </c>
      <c r="C592" s="79" t="s">
        <v>232</v>
      </c>
      <c r="D592" s="73" t="s">
        <v>96</v>
      </c>
      <c r="E592" s="73" t="s">
        <v>161</v>
      </c>
      <c r="F592" s="74">
        <v>2800</v>
      </c>
      <c r="G592" s="80">
        <v>2.8E-3</v>
      </c>
      <c r="H592" s="81" t="s">
        <v>94</v>
      </c>
      <c r="I592" s="81" t="s">
        <v>372</v>
      </c>
      <c r="J592" s="82" t="s">
        <v>373</v>
      </c>
    </row>
    <row r="593" spans="2:10" x14ac:dyDescent="0.3">
      <c r="B593" s="70" t="s">
        <v>371</v>
      </c>
      <c r="C593" s="70" t="s">
        <v>232</v>
      </c>
      <c r="D593" s="71" t="s">
        <v>96</v>
      </c>
      <c r="E593" s="71" t="s">
        <v>161</v>
      </c>
      <c r="F593" s="72">
        <v>2800</v>
      </c>
      <c r="G593" s="83">
        <v>2.8E-3</v>
      </c>
      <c r="H593" s="84" t="s">
        <v>94</v>
      </c>
      <c r="I593" s="84" t="s">
        <v>372</v>
      </c>
      <c r="J593" s="84" t="s">
        <v>373</v>
      </c>
    </row>
    <row r="594" spans="2:10" x14ac:dyDescent="0.3">
      <c r="B594" s="79" t="s">
        <v>371</v>
      </c>
      <c r="C594" s="79" t="s">
        <v>232</v>
      </c>
      <c r="D594" s="73" t="s">
        <v>96</v>
      </c>
      <c r="E594" s="73" t="s">
        <v>161</v>
      </c>
      <c r="F594" s="74">
        <v>2800</v>
      </c>
      <c r="G594" s="80">
        <v>2.8E-3</v>
      </c>
      <c r="H594" s="81" t="s">
        <v>94</v>
      </c>
      <c r="I594" s="81" t="s">
        <v>372</v>
      </c>
      <c r="J594" s="82" t="s">
        <v>373</v>
      </c>
    </row>
    <row r="595" spans="2:10" x14ac:dyDescent="0.3">
      <c r="B595" s="70" t="s">
        <v>371</v>
      </c>
      <c r="C595" s="70" t="s">
        <v>232</v>
      </c>
      <c r="D595" s="71" t="s">
        <v>102</v>
      </c>
      <c r="E595" s="71" t="s">
        <v>161</v>
      </c>
      <c r="F595" s="72">
        <v>72000</v>
      </c>
      <c r="G595" s="83">
        <v>7.1999999999999995E-2</v>
      </c>
      <c r="H595" s="84" t="s">
        <v>94</v>
      </c>
      <c r="I595" s="84" t="s">
        <v>372</v>
      </c>
      <c r="J595" s="84" t="s">
        <v>373</v>
      </c>
    </row>
    <row r="596" spans="2:10" x14ac:dyDescent="0.3">
      <c r="B596" s="79" t="s">
        <v>371</v>
      </c>
      <c r="C596" s="79" t="s">
        <v>232</v>
      </c>
      <c r="D596" s="73" t="s">
        <v>102</v>
      </c>
      <c r="E596" s="73" t="s">
        <v>161</v>
      </c>
      <c r="F596" s="74">
        <v>50000</v>
      </c>
      <c r="G596" s="80">
        <v>0.05</v>
      </c>
      <c r="H596" s="81" t="s">
        <v>94</v>
      </c>
      <c r="I596" s="81" t="s">
        <v>372</v>
      </c>
      <c r="J596" s="82" t="s">
        <v>373</v>
      </c>
    </row>
    <row r="597" spans="2:10" x14ac:dyDescent="0.3">
      <c r="B597" s="70" t="s">
        <v>371</v>
      </c>
      <c r="C597" s="70" t="s">
        <v>232</v>
      </c>
      <c r="D597" s="71" t="s">
        <v>96</v>
      </c>
      <c r="E597" s="71" t="s">
        <v>161</v>
      </c>
      <c r="F597" s="72">
        <v>2800</v>
      </c>
      <c r="G597" s="83">
        <v>2.8E-3</v>
      </c>
      <c r="H597" s="84" t="s">
        <v>94</v>
      </c>
      <c r="I597" s="84" t="s">
        <v>372</v>
      </c>
      <c r="J597" s="84" t="s">
        <v>373</v>
      </c>
    </row>
    <row r="598" spans="2:10" x14ac:dyDescent="0.3">
      <c r="B598" s="79" t="s">
        <v>371</v>
      </c>
      <c r="C598" s="79" t="s">
        <v>232</v>
      </c>
      <c r="D598" s="73" t="s">
        <v>102</v>
      </c>
      <c r="E598" s="73" t="s">
        <v>161</v>
      </c>
      <c r="F598" s="74">
        <v>50000</v>
      </c>
      <c r="G598" s="80">
        <v>0.05</v>
      </c>
      <c r="H598" s="81" t="s">
        <v>94</v>
      </c>
      <c r="I598" s="81" t="s">
        <v>372</v>
      </c>
      <c r="J598" s="82" t="s">
        <v>373</v>
      </c>
    </row>
    <row r="599" spans="2:10" x14ac:dyDescent="0.3">
      <c r="B599" s="70" t="s">
        <v>371</v>
      </c>
      <c r="C599" s="70" t="s">
        <v>232</v>
      </c>
      <c r="D599" s="71" t="s">
        <v>96</v>
      </c>
      <c r="E599" s="71" t="s">
        <v>161</v>
      </c>
      <c r="F599" s="72">
        <v>29533</v>
      </c>
      <c r="G599" s="83">
        <v>2.9533E-2</v>
      </c>
      <c r="H599" s="84" t="s">
        <v>94</v>
      </c>
      <c r="I599" s="84" t="s">
        <v>372</v>
      </c>
      <c r="J599" s="84" t="s">
        <v>373</v>
      </c>
    </row>
    <row r="600" spans="2:10" x14ac:dyDescent="0.3">
      <c r="B600" s="79" t="s">
        <v>371</v>
      </c>
      <c r="C600" s="79" t="s">
        <v>232</v>
      </c>
      <c r="D600" s="73" t="s">
        <v>96</v>
      </c>
      <c r="E600" s="73" t="s">
        <v>161</v>
      </c>
      <c r="F600" s="74">
        <v>20430</v>
      </c>
      <c r="G600" s="80">
        <v>2.043E-2</v>
      </c>
      <c r="H600" s="81" t="s">
        <v>94</v>
      </c>
      <c r="I600" s="81" t="s">
        <v>372</v>
      </c>
      <c r="J600" s="82" t="s">
        <v>373</v>
      </c>
    </row>
    <row r="601" spans="2:10" x14ac:dyDescent="0.3">
      <c r="B601" s="70" t="s">
        <v>371</v>
      </c>
      <c r="C601" s="70" t="s">
        <v>232</v>
      </c>
      <c r="D601" s="71" t="s">
        <v>96</v>
      </c>
      <c r="E601" s="71" t="s">
        <v>161</v>
      </c>
      <c r="F601" s="72">
        <v>20430</v>
      </c>
      <c r="G601" s="83">
        <v>2.043E-2</v>
      </c>
      <c r="H601" s="84" t="s">
        <v>94</v>
      </c>
      <c r="I601" s="84" t="s">
        <v>372</v>
      </c>
      <c r="J601" s="84" t="s">
        <v>373</v>
      </c>
    </row>
    <row r="602" spans="2:10" x14ac:dyDescent="0.3">
      <c r="B602" s="79" t="s">
        <v>371</v>
      </c>
      <c r="C602" s="79" t="s">
        <v>232</v>
      </c>
      <c r="D602" s="73" t="s">
        <v>96</v>
      </c>
      <c r="E602" s="73" t="s">
        <v>161</v>
      </c>
      <c r="F602" s="74">
        <v>29533</v>
      </c>
      <c r="G602" s="80">
        <v>2.9533E-2</v>
      </c>
      <c r="H602" s="81" t="s">
        <v>94</v>
      </c>
      <c r="I602" s="81" t="s">
        <v>372</v>
      </c>
      <c r="J602" s="82" t="s">
        <v>373</v>
      </c>
    </row>
    <row r="603" spans="2:10" x14ac:dyDescent="0.3">
      <c r="B603" s="70" t="s">
        <v>371</v>
      </c>
      <c r="C603" s="70" t="s">
        <v>232</v>
      </c>
      <c r="D603" s="71" t="s">
        <v>96</v>
      </c>
      <c r="E603" s="71" t="s">
        <v>161</v>
      </c>
      <c r="F603" s="72">
        <v>20430</v>
      </c>
      <c r="G603" s="83">
        <v>2.043E-2</v>
      </c>
      <c r="H603" s="84" t="s">
        <v>94</v>
      </c>
      <c r="I603" s="84" t="s">
        <v>372</v>
      </c>
      <c r="J603" s="84" t="s">
        <v>373</v>
      </c>
    </row>
    <row r="604" spans="2:10" x14ac:dyDescent="0.3">
      <c r="B604" s="79" t="s">
        <v>371</v>
      </c>
      <c r="C604" s="79" t="s">
        <v>232</v>
      </c>
      <c r="D604" s="73" t="s">
        <v>102</v>
      </c>
      <c r="E604" s="73" t="s">
        <v>161</v>
      </c>
      <c r="F604" s="74">
        <v>50000</v>
      </c>
      <c r="G604" s="80">
        <v>0.05</v>
      </c>
      <c r="H604" s="81" t="s">
        <v>94</v>
      </c>
      <c r="I604" s="81" t="s">
        <v>372</v>
      </c>
      <c r="J604" s="82" t="s">
        <v>373</v>
      </c>
    </row>
    <row r="605" spans="2:10" x14ac:dyDescent="0.3">
      <c r="B605" s="70" t="s">
        <v>371</v>
      </c>
      <c r="C605" s="70" t="s">
        <v>232</v>
      </c>
      <c r="D605" s="71" t="s">
        <v>96</v>
      </c>
      <c r="E605" s="71" t="s">
        <v>161</v>
      </c>
      <c r="F605" s="72">
        <v>20430</v>
      </c>
      <c r="G605" s="83">
        <v>2.043E-2</v>
      </c>
      <c r="H605" s="84" t="s">
        <v>94</v>
      </c>
      <c r="I605" s="84" t="s">
        <v>372</v>
      </c>
      <c r="J605" s="84" t="s">
        <v>373</v>
      </c>
    </row>
    <row r="606" spans="2:10" x14ac:dyDescent="0.3">
      <c r="B606" s="79" t="s">
        <v>371</v>
      </c>
      <c r="C606" s="79" t="s">
        <v>232</v>
      </c>
      <c r="D606" s="73" t="s">
        <v>96</v>
      </c>
      <c r="E606" s="73" t="s">
        <v>161</v>
      </c>
      <c r="F606" s="74">
        <v>20430</v>
      </c>
      <c r="G606" s="80">
        <v>2.043E-2</v>
      </c>
      <c r="H606" s="81" t="s">
        <v>94</v>
      </c>
      <c r="I606" s="81" t="s">
        <v>372</v>
      </c>
      <c r="J606" s="82" t="s">
        <v>373</v>
      </c>
    </row>
    <row r="607" spans="2:10" x14ac:dyDescent="0.3">
      <c r="B607" s="70" t="s">
        <v>371</v>
      </c>
      <c r="C607" s="70" t="s">
        <v>232</v>
      </c>
      <c r="D607" s="71" t="s">
        <v>130</v>
      </c>
      <c r="E607" s="71" t="s">
        <v>161</v>
      </c>
      <c r="F607" s="72">
        <v>5000</v>
      </c>
      <c r="G607" s="83">
        <v>5.0000000000000001E-3</v>
      </c>
      <c r="H607" s="84" t="s">
        <v>94</v>
      </c>
      <c r="I607" s="84" t="s">
        <v>372</v>
      </c>
      <c r="J607" s="84" t="s">
        <v>373</v>
      </c>
    </row>
    <row r="608" spans="2:10" x14ac:dyDescent="0.3">
      <c r="B608" s="79" t="s">
        <v>371</v>
      </c>
      <c r="C608" s="79" t="s">
        <v>232</v>
      </c>
      <c r="D608" s="73" t="s">
        <v>96</v>
      </c>
      <c r="E608" s="73" t="s">
        <v>161</v>
      </c>
      <c r="F608" s="74">
        <v>2800</v>
      </c>
      <c r="G608" s="80">
        <v>2.8E-3</v>
      </c>
      <c r="H608" s="81" t="s">
        <v>94</v>
      </c>
      <c r="I608" s="81" t="s">
        <v>372</v>
      </c>
      <c r="J608" s="82" t="s">
        <v>373</v>
      </c>
    </row>
    <row r="609" spans="2:10" x14ac:dyDescent="0.3">
      <c r="B609" s="70" t="s">
        <v>371</v>
      </c>
      <c r="C609" s="70" t="s">
        <v>232</v>
      </c>
      <c r="D609" s="71" t="s">
        <v>96</v>
      </c>
      <c r="E609" s="71" t="s">
        <v>161</v>
      </c>
      <c r="F609" s="72">
        <v>2800</v>
      </c>
      <c r="G609" s="83">
        <v>2.8E-3</v>
      </c>
      <c r="H609" s="84" t="s">
        <v>94</v>
      </c>
      <c r="I609" s="84" t="s">
        <v>372</v>
      </c>
      <c r="J609" s="84" t="s">
        <v>373</v>
      </c>
    </row>
    <row r="610" spans="2:10" x14ac:dyDescent="0.3">
      <c r="B610" s="79" t="s">
        <v>371</v>
      </c>
      <c r="C610" s="79" t="s">
        <v>232</v>
      </c>
      <c r="D610" s="73" t="s">
        <v>96</v>
      </c>
      <c r="E610" s="73" t="s">
        <v>161</v>
      </c>
      <c r="F610" s="74">
        <v>29533</v>
      </c>
      <c r="G610" s="80">
        <v>2.9533E-2</v>
      </c>
      <c r="H610" s="81" t="s">
        <v>94</v>
      </c>
      <c r="I610" s="81" t="s">
        <v>372</v>
      </c>
      <c r="J610" s="82" t="s">
        <v>373</v>
      </c>
    </row>
    <row r="611" spans="2:10" x14ac:dyDescent="0.3">
      <c r="B611" s="70" t="s">
        <v>371</v>
      </c>
      <c r="C611" s="70" t="s">
        <v>232</v>
      </c>
      <c r="D611" s="71" t="s">
        <v>96</v>
      </c>
      <c r="E611" s="71" t="s">
        <v>161</v>
      </c>
      <c r="F611" s="72">
        <v>2800</v>
      </c>
      <c r="G611" s="83">
        <v>2.8E-3</v>
      </c>
      <c r="H611" s="84" t="s">
        <v>94</v>
      </c>
      <c r="I611" s="84" t="s">
        <v>372</v>
      </c>
      <c r="J611" s="84" t="s">
        <v>373</v>
      </c>
    </row>
    <row r="612" spans="2:10" x14ac:dyDescent="0.3">
      <c r="B612" s="79" t="s">
        <v>371</v>
      </c>
      <c r="C612" s="79" t="s">
        <v>232</v>
      </c>
      <c r="D612" s="73" t="s">
        <v>102</v>
      </c>
      <c r="E612" s="73" t="s">
        <v>161</v>
      </c>
      <c r="F612" s="74">
        <v>50000</v>
      </c>
      <c r="G612" s="80">
        <v>0.05</v>
      </c>
      <c r="H612" s="81" t="s">
        <v>94</v>
      </c>
      <c r="I612" s="81" t="s">
        <v>372</v>
      </c>
      <c r="J612" s="82" t="s">
        <v>373</v>
      </c>
    </row>
    <row r="613" spans="2:10" x14ac:dyDescent="0.3">
      <c r="B613" s="70" t="s">
        <v>371</v>
      </c>
      <c r="C613" s="70" t="s">
        <v>232</v>
      </c>
      <c r="D613" s="71" t="s">
        <v>96</v>
      </c>
      <c r="E613" s="71" t="s">
        <v>161</v>
      </c>
      <c r="F613" s="72">
        <v>2800</v>
      </c>
      <c r="G613" s="83">
        <v>2.8E-3</v>
      </c>
      <c r="H613" s="84" t="s">
        <v>94</v>
      </c>
      <c r="I613" s="84" t="s">
        <v>372</v>
      </c>
      <c r="J613" s="84" t="s">
        <v>373</v>
      </c>
    </row>
    <row r="614" spans="2:10" x14ac:dyDescent="0.3">
      <c r="B614" s="79" t="s">
        <v>371</v>
      </c>
      <c r="C614" s="79" t="s">
        <v>232</v>
      </c>
      <c r="D614" s="73" t="s">
        <v>96</v>
      </c>
      <c r="E614" s="73" t="s">
        <v>161</v>
      </c>
      <c r="F614" s="74">
        <v>29533</v>
      </c>
      <c r="G614" s="80">
        <v>2.9533E-2</v>
      </c>
      <c r="H614" s="81" t="s">
        <v>94</v>
      </c>
      <c r="I614" s="81" t="s">
        <v>372</v>
      </c>
      <c r="J614" s="82" t="s">
        <v>373</v>
      </c>
    </row>
    <row r="615" spans="2:10" x14ac:dyDescent="0.3">
      <c r="B615" s="70" t="s">
        <v>371</v>
      </c>
      <c r="C615" s="70" t="s">
        <v>232</v>
      </c>
      <c r="D615" s="71" t="s">
        <v>96</v>
      </c>
      <c r="E615" s="71" t="s">
        <v>161</v>
      </c>
      <c r="F615" s="72">
        <v>29533</v>
      </c>
      <c r="G615" s="83">
        <v>2.9533E-2</v>
      </c>
      <c r="H615" s="84" t="s">
        <v>94</v>
      </c>
      <c r="I615" s="84" t="s">
        <v>372</v>
      </c>
      <c r="J615" s="84" t="s">
        <v>373</v>
      </c>
    </row>
    <row r="616" spans="2:10" x14ac:dyDescent="0.3">
      <c r="B616" s="79" t="s">
        <v>371</v>
      </c>
      <c r="C616" s="79" t="s">
        <v>232</v>
      </c>
      <c r="D616" s="73" t="s">
        <v>96</v>
      </c>
      <c r="E616" s="73" t="s">
        <v>161</v>
      </c>
      <c r="F616" s="74">
        <v>20430</v>
      </c>
      <c r="G616" s="80">
        <v>2.043E-2</v>
      </c>
      <c r="H616" s="81" t="s">
        <v>94</v>
      </c>
      <c r="I616" s="81" t="s">
        <v>372</v>
      </c>
      <c r="J616" s="82" t="s">
        <v>373</v>
      </c>
    </row>
    <row r="617" spans="2:10" x14ac:dyDescent="0.3">
      <c r="B617" s="70" t="s">
        <v>371</v>
      </c>
      <c r="C617" s="70" t="s">
        <v>232</v>
      </c>
      <c r="D617" s="71" t="s">
        <v>96</v>
      </c>
      <c r="E617" s="71" t="s">
        <v>161</v>
      </c>
      <c r="F617" s="72">
        <v>20430</v>
      </c>
      <c r="G617" s="83">
        <v>2.043E-2</v>
      </c>
      <c r="H617" s="84" t="s">
        <v>94</v>
      </c>
      <c r="I617" s="84" t="s">
        <v>372</v>
      </c>
      <c r="J617" s="84" t="s">
        <v>373</v>
      </c>
    </row>
    <row r="618" spans="2:10" x14ac:dyDescent="0.3">
      <c r="B618" s="79" t="s">
        <v>371</v>
      </c>
      <c r="C618" s="79" t="s">
        <v>232</v>
      </c>
      <c r="D618" s="73" t="s">
        <v>96</v>
      </c>
      <c r="E618" s="73" t="s">
        <v>161</v>
      </c>
      <c r="F618" s="74">
        <v>2800</v>
      </c>
      <c r="G618" s="80">
        <v>2.8E-3</v>
      </c>
      <c r="H618" s="81" t="s">
        <v>94</v>
      </c>
      <c r="I618" s="81" t="s">
        <v>372</v>
      </c>
      <c r="J618" s="82" t="s">
        <v>373</v>
      </c>
    </row>
    <row r="619" spans="2:10" x14ac:dyDescent="0.3">
      <c r="B619" s="70" t="s">
        <v>371</v>
      </c>
      <c r="C619" s="70" t="s">
        <v>232</v>
      </c>
      <c r="D619" s="71" t="s">
        <v>96</v>
      </c>
      <c r="E619" s="71" t="s">
        <v>161</v>
      </c>
      <c r="F619" s="72">
        <v>29533</v>
      </c>
      <c r="G619" s="83">
        <v>2.9533E-2</v>
      </c>
      <c r="H619" s="84" t="s">
        <v>94</v>
      </c>
      <c r="I619" s="84" t="s">
        <v>372</v>
      </c>
      <c r="J619" s="84" t="s">
        <v>373</v>
      </c>
    </row>
    <row r="620" spans="2:10" x14ac:dyDescent="0.3">
      <c r="B620" s="79" t="s">
        <v>371</v>
      </c>
      <c r="C620" s="79" t="s">
        <v>232</v>
      </c>
      <c r="D620" s="73" t="s">
        <v>102</v>
      </c>
      <c r="E620" s="73" t="s">
        <v>161</v>
      </c>
      <c r="F620" s="74">
        <v>50000</v>
      </c>
      <c r="G620" s="80">
        <v>0.05</v>
      </c>
      <c r="H620" s="81" t="s">
        <v>94</v>
      </c>
      <c r="I620" s="81" t="s">
        <v>372</v>
      </c>
      <c r="J620" s="82" t="s">
        <v>373</v>
      </c>
    </row>
    <row r="621" spans="2:10" x14ac:dyDescent="0.3">
      <c r="B621" s="70" t="s">
        <v>371</v>
      </c>
      <c r="C621" s="70" t="s">
        <v>232</v>
      </c>
      <c r="D621" s="71" t="s">
        <v>102</v>
      </c>
      <c r="E621" s="71" t="s">
        <v>161</v>
      </c>
      <c r="F621" s="72">
        <v>50000</v>
      </c>
      <c r="G621" s="83">
        <v>0.05</v>
      </c>
      <c r="H621" s="84" t="s">
        <v>94</v>
      </c>
      <c r="I621" s="84" t="s">
        <v>372</v>
      </c>
      <c r="J621" s="84" t="s">
        <v>373</v>
      </c>
    </row>
    <row r="622" spans="2:10" x14ac:dyDescent="0.3">
      <c r="B622" s="79" t="s">
        <v>371</v>
      </c>
      <c r="C622" s="79" t="s">
        <v>232</v>
      </c>
      <c r="D622" s="73" t="s">
        <v>102</v>
      </c>
      <c r="E622" s="73" t="s">
        <v>161</v>
      </c>
      <c r="F622" s="74">
        <v>50000</v>
      </c>
      <c r="G622" s="80">
        <v>0.05</v>
      </c>
      <c r="H622" s="81" t="s">
        <v>94</v>
      </c>
      <c r="I622" s="81" t="s">
        <v>372</v>
      </c>
      <c r="J622" s="82" t="s">
        <v>373</v>
      </c>
    </row>
    <row r="623" spans="2:10" x14ac:dyDescent="0.3">
      <c r="B623" s="70" t="s">
        <v>371</v>
      </c>
      <c r="C623" s="70" t="s">
        <v>232</v>
      </c>
      <c r="D623" s="71" t="s">
        <v>96</v>
      </c>
      <c r="E623" s="71" t="s">
        <v>161</v>
      </c>
      <c r="F623" s="72">
        <v>29533</v>
      </c>
      <c r="G623" s="83">
        <v>2.9533E-2</v>
      </c>
      <c r="H623" s="84" t="s">
        <v>94</v>
      </c>
      <c r="I623" s="84" t="s">
        <v>372</v>
      </c>
      <c r="J623" s="84" t="s">
        <v>373</v>
      </c>
    </row>
    <row r="624" spans="2:10" x14ac:dyDescent="0.3">
      <c r="B624" s="79" t="s">
        <v>371</v>
      </c>
      <c r="C624" s="79" t="s">
        <v>232</v>
      </c>
      <c r="D624" s="73" t="s">
        <v>102</v>
      </c>
      <c r="E624" s="73" t="s">
        <v>161</v>
      </c>
      <c r="F624" s="74">
        <v>50000</v>
      </c>
      <c r="G624" s="80">
        <v>0.05</v>
      </c>
      <c r="H624" s="81" t="s">
        <v>94</v>
      </c>
      <c r="I624" s="81" t="s">
        <v>372</v>
      </c>
      <c r="J624" s="82" t="s">
        <v>373</v>
      </c>
    </row>
    <row r="625" spans="2:10" x14ac:dyDescent="0.3">
      <c r="B625" s="70" t="s">
        <v>371</v>
      </c>
      <c r="C625" s="70" t="s">
        <v>232</v>
      </c>
      <c r="D625" s="71" t="s">
        <v>96</v>
      </c>
      <c r="E625" s="71" t="s">
        <v>161</v>
      </c>
      <c r="F625" s="72">
        <v>20430</v>
      </c>
      <c r="G625" s="83">
        <v>2.043E-2</v>
      </c>
      <c r="H625" s="84" t="s">
        <v>94</v>
      </c>
      <c r="I625" s="84" t="s">
        <v>372</v>
      </c>
      <c r="J625" s="84" t="s">
        <v>373</v>
      </c>
    </row>
    <row r="626" spans="2:10" x14ac:dyDescent="0.3">
      <c r="B626" s="79" t="s">
        <v>371</v>
      </c>
      <c r="C626" s="79" t="s">
        <v>232</v>
      </c>
      <c r="D626" s="73" t="s">
        <v>96</v>
      </c>
      <c r="E626" s="73" t="s">
        <v>161</v>
      </c>
      <c r="F626" s="74">
        <v>29533</v>
      </c>
      <c r="G626" s="80">
        <v>2.9533E-2</v>
      </c>
      <c r="H626" s="81" t="s">
        <v>94</v>
      </c>
      <c r="I626" s="81" t="s">
        <v>372</v>
      </c>
      <c r="J626" s="82" t="s">
        <v>373</v>
      </c>
    </row>
    <row r="627" spans="2:10" x14ac:dyDescent="0.3">
      <c r="B627" s="70" t="s">
        <v>371</v>
      </c>
      <c r="C627" s="70" t="s">
        <v>232</v>
      </c>
      <c r="D627" s="71" t="s">
        <v>102</v>
      </c>
      <c r="E627" s="71" t="s">
        <v>161</v>
      </c>
      <c r="F627" s="72">
        <v>50000</v>
      </c>
      <c r="G627" s="83">
        <v>0.05</v>
      </c>
      <c r="H627" s="84" t="s">
        <v>94</v>
      </c>
      <c r="I627" s="84" t="s">
        <v>372</v>
      </c>
      <c r="J627" s="84" t="s">
        <v>373</v>
      </c>
    </row>
    <row r="628" spans="2:10" x14ac:dyDescent="0.3">
      <c r="B628" s="79" t="s">
        <v>371</v>
      </c>
      <c r="C628" s="79" t="s">
        <v>232</v>
      </c>
      <c r="D628" s="73" t="s">
        <v>96</v>
      </c>
      <c r="E628" s="73" t="s">
        <v>161</v>
      </c>
      <c r="F628" s="74">
        <v>2800</v>
      </c>
      <c r="G628" s="80">
        <v>2.8E-3</v>
      </c>
      <c r="H628" s="81" t="s">
        <v>94</v>
      </c>
      <c r="I628" s="81" t="s">
        <v>372</v>
      </c>
      <c r="J628" s="82" t="s">
        <v>373</v>
      </c>
    </row>
    <row r="629" spans="2:10" x14ac:dyDescent="0.3">
      <c r="B629" s="70" t="s">
        <v>371</v>
      </c>
      <c r="C629" s="70" t="s">
        <v>232</v>
      </c>
      <c r="D629" s="71" t="s">
        <v>102</v>
      </c>
      <c r="E629" s="71" t="s">
        <v>161</v>
      </c>
      <c r="F629" s="72">
        <v>50000</v>
      </c>
      <c r="G629" s="83">
        <v>0.05</v>
      </c>
      <c r="H629" s="84" t="s">
        <v>94</v>
      </c>
      <c r="I629" s="84" t="s">
        <v>372</v>
      </c>
      <c r="J629" s="84" t="s">
        <v>373</v>
      </c>
    </row>
    <row r="630" spans="2:10" x14ac:dyDescent="0.3">
      <c r="B630" s="79" t="s">
        <v>371</v>
      </c>
      <c r="C630" s="79" t="s">
        <v>232</v>
      </c>
      <c r="D630" s="73" t="s">
        <v>96</v>
      </c>
      <c r="E630" s="73" t="s">
        <v>161</v>
      </c>
      <c r="F630" s="74">
        <v>29533</v>
      </c>
      <c r="G630" s="80">
        <v>2.9533E-2</v>
      </c>
      <c r="H630" s="81" t="s">
        <v>94</v>
      </c>
      <c r="I630" s="81" t="s">
        <v>372</v>
      </c>
      <c r="J630" s="82" t="s">
        <v>373</v>
      </c>
    </row>
    <row r="631" spans="2:10" x14ac:dyDescent="0.3">
      <c r="B631" s="70" t="s">
        <v>371</v>
      </c>
      <c r="C631" s="70" t="s">
        <v>232</v>
      </c>
      <c r="D631" s="71" t="s">
        <v>96</v>
      </c>
      <c r="E631" s="71" t="s">
        <v>161</v>
      </c>
      <c r="F631" s="72">
        <v>20430</v>
      </c>
      <c r="G631" s="83">
        <v>2.043E-2</v>
      </c>
      <c r="H631" s="84" t="s">
        <v>94</v>
      </c>
      <c r="I631" s="84" t="s">
        <v>372</v>
      </c>
      <c r="J631" s="84" t="s">
        <v>373</v>
      </c>
    </row>
    <row r="632" spans="2:10" x14ac:dyDescent="0.3">
      <c r="B632" s="79" t="s">
        <v>371</v>
      </c>
      <c r="C632" s="79" t="s">
        <v>232</v>
      </c>
      <c r="D632" s="73" t="s">
        <v>96</v>
      </c>
      <c r="E632" s="73" t="s">
        <v>161</v>
      </c>
      <c r="F632" s="74">
        <v>29533</v>
      </c>
      <c r="G632" s="80">
        <v>2.9533E-2</v>
      </c>
      <c r="H632" s="81" t="s">
        <v>94</v>
      </c>
      <c r="I632" s="81" t="s">
        <v>372</v>
      </c>
      <c r="J632" s="82" t="s">
        <v>373</v>
      </c>
    </row>
    <row r="633" spans="2:10" x14ac:dyDescent="0.3">
      <c r="B633" s="70" t="s">
        <v>371</v>
      </c>
      <c r="C633" s="70" t="s">
        <v>232</v>
      </c>
      <c r="D633" s="71" t="s">
        <v>96</v>
      </c>
      <c r="E633" s="71" t="s">
        <v>161</v>
      </c>
      <c r="F633" s="72">
        <v>20430</v>
      </c>
      <c r="G633" s="83">
        <v>2.043E-2</v>
      </c>
      <c r="H633" s="84" t="s">
        <v>94</v>
      </c>
      <c r="I633" s="84" t="s">
        <v>372</v>
      </c>
      <c r="J633" s="84" t="s">
        <v>373</v>
      </c>
    </row>
    <row r="634" spans="2:10" x14ac:dyDescent="0.3">
      <c r="B634" s="79" t="s">
        <v>371</v>
      </c>
      <c r="C634" s="79" t="s">
        <v>232</v>
      </c>
      <c r="D634" s="73" t="s">
        <v>96</v>
      </c>
      <c r="E634" s="73" t="s">
        <v>168</v>
      </c>
      <c r="F634" s="74">
        <v>2800</v>
      </c>
      <c r="G634" s="80">
        <v>2.8E-3</v>
      </c>
      <c r="H634" s="81" t="s">
        <v>94</v>
      </c>
      <c r="I634" s="81" t="s">
        <v>372</v>
      </c>
      <c r="J634" s="82" t="s">
        <v>373</v>
      </c>
    </row>
    <row r="635" spans="2:10" x14ac:dyDescent="0.3">
      <c r="B635" s="70" t="s">
        <v>371</v>
      </c>
      <c r="C635" s="70" t="s">
        <v>210</v>
      </c>
      <c r="D635" s="71" t="s">
        <v>96</v>
      </c>
      <c r="E635" s="71" t="s">
        <v>168</v>
      </c>
      <c r="F635" s="72">
        <v>8000</v>
      </c>
      <c r="G635" s="83">
        <v>8.0000000000000002E-3</v>
      </c>
      <c r="H635" s="84" t="s">
        <v>94</v>
      </c>
      <c r="I635" s="84" t="s">
        <v>372</v>
      </c>
      <c r="J635" s="84" t="s">
        <v>373</v>
      </c>
    </row>
    <row r="636" spans="2:10" x14ac:dyDescent="0.3">
      <c r="B636" s="79" t="s">
        <v>371</v>
      </c>
      <c r="C636" s="79" t="s">
        <v>210</v>
      </c>
      <c r="D636" s="73" t="s">
        <v>102</v>
      </c>
      <c r="E636" s="73" t="s">
        <v>168</v>
      </c>
      <c r="F636" s="74">
        <v>5000</v>
      </c>
      <c r="G636" s="80">
        <v>5.0000000000000001E-3</v>
      </c>
      <c r="H636" s="81" t="s">
        <v>94</v>
      </c>
      <c r="I636" s="81" t="s">
        <v>372</v>
      </c>
      <c r="J636" s="82" t="s">
        <v>373</v>
      </c>
    </row>
    <row r="637" spans="2:10" x14ac:dyDescent="0.3">
      <c r="B637" s="70" t="s">
        <v>371</v>
      </c>
      <c r="C637" s="70" t="s">
        <v>210</v>
      </c>
      <c r="D637" s="71" t="s">
        <v>102</v>
      </c>
      <c r="E637" s="71" t="s">
        <v>168</v>
      </c>
      <c r="F637" s="72">
        <v>3158</v>
      </c>
      <c r="G637" s="83">
        <v>3.1580000000000002E-3</v>
      </c>
      <c r="H637" s="84" t="s">
        <v>94</v>
      </c>
      <c r="I637" s="84" t="s">
        <v>372</v>
      </c>
      <c r="J637" s="84" t="s">
        <v>373</v>
      </c>
    </row>
    <row r="638" spans="2:10" x14ac:dyDescent="0.3">
      <c r="B638" s="79" t="s">
        <v>371</v>
      </c>
      <c r="C638" s="79" t="s">
        <v>210</v>
      </c>
      <c r="D638" s="73" t="s">
        <v>102</v>
      </c>
      <c r="E638" s="73" t="s">
        <v>168</v>
      </c>
      <c r="F638" s="74">
        <v>3158</v>
      </c>
      <c r="G638" s="80">
        <v>3.1580000000000002E-3</v>
      </c>
      <c r="H638" s="81" t="s">
        <v>94</v>
      </c>
      <c r="I638" s="81" t="s">
        <v>372</v>
      </c>
      <c r="J638" s="82" t="s">
        <v>373</v>
      </c>
    </row>
    <row r="639" spans="2:10" x14ac:dyDescent="0.3">
      <c r="B639" s="70" t="s">
        <v>371</v>
      </c>
      <c r="C639" s="70" t="s">
        <v>210</v>
      </c>
      <c r="D639" s="71" t="s">
        <v>96</v>
      </c>
      <c r="E639" s="71" t="s">
        <v>168</v>
      </c>
      <c r="F639" s="72">
        <v>6000</v>
      </c>
      <c r="G639" s="83">
        <v>6.0000000000000001E-3</v>
      </c>
      <c r="H639" s="84" t="s">
        <v>94</v>
      </c>
      <c r="I639" s="84" t="s">
        <v>372</v>
      </c>
      <c r="J639" s="84" t="s">
        <v>373</v>
      </c>
    </row>
    <row r="640" spans="2:10" x14ac:dyDescent="0.3">
      <c r="B640" s="79" t="s">
        <v>371</v>
      </c>
      <c r="C640" s="79" t="s">
        <v>210</v>
      </c>
      <c r="D640" s="73" t="s">
        <v>96</v>
      </c>
      <c r="E640" s="73" t="s">
        <v>168</v>
      </c>
      <c r="F640" s="74">
        <v>406845</v>
      </c>
      <c r="G640" s="80">
        <v>0.40684500000000001</v>
      </c>
      <c r="H640" s="81" t="s">
        <v>94</v>
      </c>
      <c r="I640" s="81" t="s">
        <v>372</v>
      </c>
      <c r="J640" s="82" t="s">
        <v>373</v>
      </c>
    </row>
    <row r="641" spans="2:10" x14ac:dyDescent="0.3">
      <c r="B641" s="70" t="s">
        <v>371</v>
      </c>
      <c r="C641" s="70" t="s">
        <v>210</v>
      </c>
      <c r="D641" s="71" t="s">
        <v>96</v>
      </c>
      <c r="E641" s="71" t="s">
        <v>168</v>
      </c>
      <c r="F641" s="72">
        <v>550882</v>
      </c>
      <c r="G641" s="83">
        <v>0.55088199999999998</v>
      </c>
      <c r="H641" s="84" t="s">
        <v>94</v>
      </c>
      <c r="I641" s="84" t="s">
        <v>372</v>
      </c>
      <c r="J641" s="84" t="s">
        <v>373</v>
      </c>
    </row>
    <row r="642" spans="2:10" x14ac:dyDescent="0.3">
      <c r="B642" s="79" t="s">
        <v>371</v>
      </c>
      <c r="C642" s="79" t="s">
        <v>210</v>
      </c>
      <c r="D642" s="73" t="s">
        <v>96</v>
      </c>
      <c r="E642" s="73" t="s">
        <v>168</v>
      </c>
      <c r="F642" s="74">
        <v>8000</v>
      </c>
      <c r="G642" s="80">
        <v>8.0000000000000002E-3</v>
      </c>
      <c r="H642" s="81" t="s">
        <v>94</v>
      </c>
      <c r="I642" s="81" t="s">
        <v>372</v>
      </c>
      <c r="J642" s="82" t="s">
        <v>373</v>
      </c>
    </row>
    <row r="643" spans="2:10" x14ac:dyDescent="0.3">
      <c r="B643" s="70" t="s">
        <v>371</v>
      </c>
      <c r="C643" s="70" t="s">
        <v>210</v>
      </c>
      <c r="D643" s="71" t="s">
        <v>102</v>
      </c>
      <c r="E643" s="71" t="s">
        <v>168</v>
      </c>
      <c r="F643" s="72">
        <v>3158</v>
      </c>
      <c r="G643" s="83">
        <v>3.1580000000000002E-3</v>
      </c>
      <c r="H643" s="84" t="s">
        <v>94</v>
      </c>
      <c r="I643" s="84" t="s">
        <v>372</v>
      </c>
      <c r="J643" s="84" t="s">
        <v>373</v>
      </c>
    </row>
    <row r="644" spans="2:10" x14ac:dyDescent="0.3">
      <c r="B644" s="79" t="s">
        <v>371</v>
      </c>
      <c r="C644" s="79" t="s">
        <v>210</v>
      </c>
      <c r="D644" s="73" t="s">
        <v>102</v>
      </c>
      <c r="E644" s="73" t="s">
        <v>168</v>
      </c>
      <c r="F644" s="74">
        <v>3158</v>
      </c>
      <c r="G644" s="80">
        <v>3.1580000000000002E-3</v>
      </c>
      <c r="H644" s="81" t="s">
        <v>94</v>
      </c>
      <c r="I644" s="81" t="s">
        <v>372</v>
      </c>
      <c r="J644" s="82" t="s">
        <v>373</v>
      </c>
    </row>
    <row r="645" spans="2:10" x14ac:dyDescent="0.3">
      <c r="B645" s="70" t="s">
        <v>371</v>
      </c>
      <c r="C645" s="70" t="s">
        <v>210</v>
      </c>
      <c r="D645" s="71" t="s">
        <v>96</v>
      </c>
      <c r="E645" s="71" t="s">
        <v>168</v>
      </c>
      <c r="F645" s="72">
        <v>8000</v>
      </c>
      <c r="G645" s="83">
        <v>8.0000000000000002E-3</v>
      </c>
      <c r="H645" s="84" t="s">
        <v>94</v>
      </c>
      <c r="I645" s="84" t="s">
        <v>372</v>
      </c>
      <c r="J645" s="84" t="s">
        <v>373</v>
      </c>
    </row>
    <row r="646" spans="2:10" x14ac:dyDescent="0.3">
      <c r="B646" s="79" t="s">
        <v>371</v>
      </c>
      <c r="C646" s="79" t="s">
        <v>210</v>
      </c>
      <c r="D646" s="73" t="s">
        <v>96</v>
      </c>
      <c r="E646" s="73" t="s">
        <v>168</v>
      </c>
      <c r="F646" s="74">
        <v>8000</v>
      </c>
      <c r="G646" s="80">
        <v>8.0000000000000002E-3</v>
      </c>
      <c r="H646" s="81" t="s">
        <v>94</v>
      </c>
      <c r="I646" s="81" t="s">
        <v>372</v>
      </c>
      <c r="J646" s="82" t="s">
        <v>373</v>
      </c>
    </row>
    <row r="647" spans="2:10" x14ac:dyDescent="0.3">
      <c r="B647" s="70" t="s">
        <v>371</v>
      </c>
      <c r="C647" s="70" t="s">
        <v>210</v>
      </c>
      <c r="D647" s="71" t="s">
        <v>96</v>
      </c>
      <c r="E647" s="71" t="s">
        <v>168</v>
      </c>
      <c r="F647" s="72">
        <v>8000</v>
      </c>
      <c r="G647" s="83">
        <v>8.0000000000000002E-3</v>
      </c>
      <c r="H647" s="84" t="s">
        <v>94</v>
      </c>
      <c r="I647" s="84" t="s">
        <v>372</v>
      </c>
      <c r="J647" s="84" t="s">
        <v>373</v>
      </c>
    </row>
    <row r="648" spans="2:10" x14ac:dyDescent="0.3">
      <c r="B648" s="79" t="s">
        <v>371</v>
      </c>
      <c r="C648" s="79" t="s">
        <v>210</v>
      </c>
      <c r="D648" s="73" t="s">
        <v>102</v>
      </c>
      <c r="E648" s="73" t="s">
        <v>168</v>
      </c>
      <c r="F648" s="74">
        <v>3158</v>
      </c>
      <c r="G648" s="80">
        <v>3.1580000000000002E-3</v>
      </c>
      <c r="H648" s="81" t="s">
        <v>94</v>
      </c>
      <c r="I648" s="81" t="s">
        <v>372</v>
      </c>
      <c r="J648" s="82" t="s">
        <v>373</v>
      </c>
    </row>
    <row r="649" spans="2:10" x14ac:dyDescent="0.3">
      <c r="B649" s="70" t="s">
        <v>371</v>
      </c>
      <c r="C649" s="70" t="s">
        <v>210</v>
      </c>
      <c r="D649" s="71" t="s">
        <v>96</v>
      </c>
      <c r="E649" s="71" t="s">
        <v>168</v>
      </c>
      <c r="F649" s="72">
        <v>406845</v>
      </c>
      <c r="G649" s="83">
        <v>0.40684500000000001</v>
      </c>
      <c r="H649" s="84" t="s">
        <v>94</v>
      </c>
      <c r="I649" s="84" t="s">
        <v>372</v>
      </c>
      <c r="J649" s="84" t="s">
        <v>373</v>
      </c>
    </row>
    <row r="650" spans="2:10" x14ac:dyDescent="0.3">
      <c r="B650" s="79" t="s">
        <v>371</v>
      </c>
      <c r="C650" s="79" t="s">
        <v>210</v>
      </c>
      <c r="D650" s="73" t="s">
        <v>96</v>
      </c>
      <c r="E650" s="73" t="s">
        <v>168</v>
      </c>
      <c r="F650" s="74">
        <v>8000</v>
      </c>
      <c r="G650" s="80">
        <v>8.0000000000000002E-3</v>
      </c>
      <c r="H650" s="81" t="s">
        <v>94</v>
      </c>
      <c r="I650" s="81" t="s">
        <v>372</v>
      </c>
      <c r="J650" s="82" t="s">
        <v>373</v>
      </c>
    </row>
    <row r="651" spans="2:10" x14ac:dyDescent="0.3">
      <c r="B651" s="70" t="s">
        <v>371</v>
      </c>
      <c r="C651" s="70" t="s">
        <v>210</v>
      </c>
      <c r="D651" s="71" t="s">
        <v>96</v>
      </c>
      <c r="E651" s="71" t="s">
        <v>168</v>
      </c>
      <c r="F651" s="72">
        <v>406395</v>
      </c>
      <c r="G651" s="83">
        <v>0.40639500000000001</v>
      </c>
      <c r="H651" s="84" t="s">
        <v>94</v>
      </c>
      <c r="I651" s="84" t="s">
        <v>372</v>
      </c>
      <c r="J651" s="84" t="s">
        <v>373</v>
      </c>
    </row>
    <row r="652" spans="2:10" x14ac:dyDescent="0.3">
      <c r="B652" s="79" t="s">
        <v>371</v>
      </c>
      <c r="C652" s="79" t="s">
        <v>210</v>
      </c>
      <c r="D652" s="73" t="s">
        <v>96</v>
      </c>
      <c r="E652" s="73" t="s">
        <v>168</v>
      </c>
      <c r="F652" s="74">
        <v>164203</v>
      </c>
      <c r="G652" s="80">
        <v>0.16420299999999999</v>
      </c>
      <c r="H652" s="81" t="s">
        <v>94</v>
      </c>
      <c r="I652" s="81" t="s">
        <v>372</v>
      </c>
      <c r="J652" s="82" t="s">
        <v>373</v>
      </c>
    </row>
    <row r="653" spans="2:10" x14ac:dyDescent="0.3">
      <c r="B653" s="70" t="s">
        <v>371</v>
      </c>
      <c r="C653" s="70" t="s">
        <v>210</v>
      </c>
      <c r="D653" s="71" t="s">
        <v>96</v>
      </c>
      <c r="E653" s="71" t="s">
        <v>168</v>
      </c>
      <c r="F653" s="72">
        <v>8000</v>
      </c>
      <c r="G653" s="83">
        <v>8.0000000000000002E-3</v>
      </c>
      <c r="H653" s="84" t="s">
        <v>94</v>
      </c>
      <c r="I653" s="84" t="s">
        <v>372</v>
      </c>
      <c r="J653" s="84" t="s">
        <v>373</v>
      </c>
    </row>
    <row r="654" spans="2:10" x14ac:dyDescent="0.3">
      <c r="B654" s="79" t="s">
        <v>371</v>
      </c>
      <c r="C654" s="79" t="s">
        <v>210</v>
      </c>
      <c r="D654" s="73" t="s">
        <v>96</v>
      </c>
      <c r="E654" s="73" t="s">
        <v>168</v>
      </c>
      <c r="F654" s="74">
        <v>1142998</v>
      </c>
      <c r="G654" s="80">
        <v>1.142998</v>
      </c>
      <c r="H654" s="81" t="s">
        <v>94</v>
      </c>
      <c r="I654" s="81" t="s">
        <v>372</v>
      </c>
      <c r="J654" s="82" t="s">
        <v>373</v>
      </c>
    </row>
    <row r="655" spans="2:10" x14ac:dyDescent="0.3">
      <c r="B655" s="70" t="s">
        <v>371</v>
      </c>
      <c r="C655" s="70" t="s">
        <v>210</v>
      </c>
      <c r="D655" s="71" t="s">
        <v>96</v>
      </c>
      <c r="E655" s="71" t="s">
        <v>168</v>
      </c>
      <c r="F655" s="72">
        <v>510684</v>
      </c>
      <c r="G655" s="83">
        <v>0.51068400000000003</v>
      </c>
      <c r="H655" s="84" t="s">
        <v>94</v>
      </c>
      <c r="I655" s="84" t="s">
        <v>372</v>
      </c>
      <c r="J655" s="84" t="s">
        <v>373</v>
      </c>
    </row>
    <row r="656" spans="2:10" x14ac:dyDescent="0.3">
      <c r="B656" s="79" t="s">
        <v>371</v>
      </c>
      <c r="C656" s="79" t="s">
        <v>210</v>
      </c>
      <c r="D656" s="73" t="s">
        <v>96</v>
      </c>
      <c r="E656" s="73" t="s">
        <v>168</v>
      </c>
      <c r="F656" s="74">
        <v>405835</v>
      </c>
      <c r="G656" s="80">
        <v>0.405835</v>
      </c>
      <c r="H656" s="81" t="s">
        <v>94</v>
      </c>
      <c r="I656" s="81" t="s">
        <v>372</v>
      </c>
      <c r="J656" s="82" t="s">
        <v>373</v>
      </c>
    </row>
    <row r="657" spans="2:10" x14ac:dyDescent="0.3">
      <c r="B657" s="70" t="s">
        <v>371</v>
      </c>
      <c r="C657" s="70" t="s">
        <v>210</v>
      </c>
      <c r="D657" s="71" t="s">
        <v>102</v>
      </c>
      <c r="E657" s="71" t="s">
        <v>168</v>
      </c>
      <c r="F657" s="72">
        <v>5000</v>
      </c>
      <c r="G657" s="83">
        <v>5.0000000000000001E-3</v>
      </c>
      <c r="H657" s="84" t="s">
        <v>94</v>
      </c>
      <c r="I657" s="84" t="s">
        <v>372</v>
      </c>
      <c r="J657" s="84" t="s">
        <v>373</v>
      </c>
    </row>
    <row r="658" spans="2:10" x14ac:dyDescent="0.3">
      <c r="B658" s="79" t="s">
        <v>371</v>
      </c>
      <c r="C658" s="79" t="s">
        <v>210</v>
      </c>
      <c r="D658" s="73" t="s">
        <v>96</v>
      </c>
      <c r="E658" s="73" t="s">
        <v>168</v>
      </c>
      <c r="F658" s="74">
        <v>746946</v>
      </c>
      <c r="G658" s="80">
        <v>0.746946</v>
      </c>
      <c r="H658" s="81" t="s">
        <v>94</v>
      </c>
      <c r="I658" s="81" t="s">
        <v>372</v>
      </c>
      <c r="J658" s="82" t="s">
        <v>373</v>
      </c>
    </row>
    <row r="659" spans="2:10" x14ac:dyDescent="0.3">
      <c r="B659" s="70" t="s">
        <v>371</v>
      </c>
      <c r="C659" s="70" t="s">
        <v>210</v>
      </c>
      <c r="D659" s="71" t="s">
        <v>102</v>
      </c>
      <c r="E659" s="71" t="s">
        <v>168</v>
      </c>
      <c r="F659" s="72">
        <v>5000</v>
      </c>
      <c r="G659" s="83">
        <v>5.0000000000000001E-3</v>
      </c>
      <c r="H659" s="84" t="s">
        <v>94</v>
      </c>
      <c r="I659" s="84" t="s">
        <v>372</v>
      </c>
      <c r="J659" s="84" t="s">
        <v>373</v>
      </c>
    </row>
    <row r="660" spans="2:10" x14ac:dyDescent="0.3">
      <c r="B660" s="79" t="s">
        <v>371</v>
      </c>
      <c r="C660" s="79" t="s">
        <v>210</v>
      </c>
      <c r="D660" s="73" t="s">
        <v>102</v>
      </c>
      <c r="E660" s="73" t="s">
        <v>168</v>
      </c>
      <c r="F660" s="74">
        <v>5000</v>
      </c>
      <c r="G660" s="80">
        <v>5.0000000000000001E-3</v>
      </c>
      <c r="H660" s="81" t="s">
        <v>94</v>
      </c>
      <c r="I660" s="81" t="s">
        <v>372</v>
      </c>
      <c r="J660" s="82" t="s">
        <v>373</v>
      </c>
    </row>
    <row r="661" spans="2:10" x14ac:dyDescent="0.3">
      <c r="B661" s="70" t="s">
        <v>371</v>
      </c>
      <c r="C661" s="70" t="s">
        <v>210</v>
      </c>
      <c r="D661" s="71" t="s">
        <v>96</v>
      </c>
      <c r="E661" s="71" t="s">
        <v>168</v>
      </c>
      <c r="F661" s="72">
        <v>406845</v>
      </c>
      <c r="G661" s="83">
        <v>0.40684500000000001</v>
      </c>
      <c r="H661" s="84" t="s">
        <v>94</v>
      </c>
      <c r="I661" s="84" t="s">
        <v>372</v>
      </c>
      <c r="J661" s="84" t="s">
        <v>373</v>
      </c>
    </row>
    <row r="662" spans="2:10" x14ac:dyDescent="0.3">
      <c r="B662" s="79" t="s">
        <v>371</v>
      </c>
      <c r="C662" s="79" t="s">
        <v>210</v>
      </c>
      <c r="D662" s="73" t="s">
        <v>96</v>
      </c>
      <c r="E662" s="73" t="s">
        <v>168</v>
      </c>
      <c r="F662" s="74">
        <v>8000</v>
      </c>
      <c r="G662" s="80">
        <v>8.0000000000000002E-3</v>
      </c>
      <c r="H662" s="81" t="s">
        <v>94</v>
      </c>
      <c r="I662" s="81" t="s">
        <v>372</v>
      </c>
      <c r="J662" s="82" t="s">
        <v>373</v>
      </c>
    </row>
    <row r="663" spans="2:10" x14ac:dyDescent="0.3">
      <c r="B663" s="70" t="s">
        <v>371</v>
      </c>
      <c r="C663" s="70" t="s">
        <v>210</v>
      </c>
      <c r="D663" s="71" t="s">
        <v>102</v>
      </c>
      <c r="E663" s="71" t="s">
        <v>168</v>
      </c>
      <c r="F663" s="72">
        <v>3158</v>
      </c>
      <c r="G663" s="83">
        <v>3.1580000000000002E-3</v>
      </c>
      <c r="H663" s="84" t="s">
        <v>94</v>
      </c>
      <c r="I663" s="84" t="s">
        <v>372</v>
      </c>
      <c r="J663" s="84" t="s">
        <v>373</v>
      </c>
    </row>
    <row r="664" spans="2:10" x14ac:dyDescent="0.3">
      <c r="B664" s="79" t="s">
        <v>371</v>
      </c>
      <c r="C664" s="79" t="s">
        <v>210</v>
      </c>
      <c r="D664" s="73" t="s">
        <v>96</v>
      </c>
      <c r="E664" s="73" t="s">
        <v>168</v>
      </c>
      <c r="F664" s="74">
        <v>1372133</v>
      </c>
      <c r="G664" s="80">
        <v>1.372133</v>
      </c>
      <c r="H664" s="81" t="s">
        <v>94</v>
      </c>
      <c r="I664" s="81" t="s">
        <v>372</v>
      </c>
      <c r="J664" s="82" t="s">
        <v>373</v>
      </c>
    </row>
    <row r="665" spans="2:10" x14ac:dyDescent="0.3">
      <c r="B665" s="70" t="s">
        <v>371</v>
      </c>
      <c r="C665" s="70" t="s">
        <v>210</v>
      </c>
      <c r="D665" s="71" t="s">
        <v>96</v>
      </c>
      <c r="E665" s="71" t="s">
        <v>168</v>
      </c>
      <c r="F665" s="72">
        <v>2000</v>
      </c>
      <c r="G665" s="83">
        <v>2E-3</v>
      </c>
      <c r="H665" s="84" t="s">
        <v>94</v>
      </c>
      <c r="I665" s="84" t="s">
        <v>372</v>
      </c>
      <c r="J665" s="84" t="s">
        <v>373</v>
      </c>
    </row>
    <row r="666" spans="2:10" x14ac:dyDescent="0.3">
      <c r="B666" s="79" t="s">
        <v>371</v>
      </c>
      <c r="C666" s="79" t="s">
        <v>210</v>
      </c>
      <c r="D666" s="73" t="s">
        <v>96</v>
      </c>
      <c r="E666" s="73" t="s">
        <v>168</v>
      </c>
      <c r="F666" s="74">
        <v>8000</v>
      </c>
      <c r="G666" s="80">
        <v>8.0000000000000002E-3</v>
      </c>
      <c r="H666" s="81" t="s">
        <v>94</v>
      </c>
      <c r="I666" s="81" t="s">
        <v>372</v>
      </c>
      <c r="J666" s="82" t="s">
        <v>373</v>
      </c>
    </row>
    <row r="667" spans="2:10" x14ac:dyDescent="0.3">
      <c r="B667" s="70" t="s">
        <v>371</v>
      </c>
      <c r="C667" s="70" t="s">
        <v>210</v>
      </c>
      <c r="D667" s="71" t="s">
        <v>96</v>
      </c>
      <c r="E667" s="71" t="s">
        <v>168</v>
      </c>
      <c r="F667" s="72">
        <v>534734</v>
      </c>
      <c r="G667" s="83">
        <v>0.53473400000000004</v>
      </c>
      <c r="H667" s="84" t="s">
        <v>94</v>
      </c>
      <c r="I667" s="84" t="s">
        <v>372</v>
      </c>
      <c r="J667" s="84" t="s">
        <v>373</v>
      </c>
    </row>
    <row r="668" spans="2:10" x14ac:dyDescent="0.3">
      <c r="B668" s="79" t="s">
        <v>371</v>
      </c>
      <c r="C668" s="79" t="s">
        <v>210</v>
      </c>
      <c r="D668" s="73" t="s">
        <v>102</v>
      </c>
      <c r="E668" s="73" t="s">
        <v>168</v>
      </c>
      <c r="F668" s="74">
        <v>3158</v>
      </c>
      <c r="G668" s="80">
        <v>3.1580000000000002E-3</v>
      </c>
      <c r="H668" s="81" t="s">
        <v>94</v>
      </c>
      <c r="I668" s="81" t="s">
        <v>372</v>
      </c>
      <c r="J668" s="82" t="s">
        <v>373</v>
      </c>
    </row>
    <row r="669" spans="2:10" x14ac:dyDescent="0.3">
      <c r="B669" s="70" t="s">
        <v>371</v>
      </c>
      <c r="C669" s="70" t="s">
        <v>210</v>
      </c>
      <c r="D669" s="71" t="s">
        <v>96</v>
      </c>
      <c r="E669" s="71" t="s">
        <v>168</v>
      </c>
      <c r="F669" s="72">
        <v>16000</v>
      </c>
      <c r="G669" s="83">
        <v>1.6E-2</v>
      </c>
      <c r="H669" s="84" t="s">
        <v>94</v>
      </c>
      <c r="I669" s="84" t="s">
        <v>372</v>
      </c>
      <c r="J669" s="84" t="s">
        <v>373</v>
      </c>
    </row>
    <row r="670" spans="2:10" x14ac:dyDescent="0.3">
      <c r="B670" s="79" t="s">
        <v>371</v>
      </c>
      <c r="C670" s="79" t="s">
        <v>210</v>
      </c>
      <c r="D670" s="73" t="s">
        <v>102</v>
      </c>
      <c r="E670" s="73" t="s">
        <v>168</v>
      </c>
      <c r="F670" s="74">
        <v>3158</v>
      </c>
      <c r="G670" s="80">
        <v>3.1580000000000002E-3</v>
      </c>
      <c r="H670" s="81" t="s">
        <v>94</v>
      </c>
      <c r="I670" s="81" t="s">
        <v>372</v>
      </c>
      <c r="J670" s="82" t="s">
        <v>373</v>
      </c>
    </row>
    <row r="671" spans="2:10" x14ac:dyDescent="0.3">
      <c r="B671" s="70" t="s">
        <v>371</v>
      </c>
      <c r="C671" s="70" t="s">
        <v>197</v>
      </c>
      <c r="D671" s="71" t="s">
        <v>98</v>
      </c>
      <c r="E671" s="71" t="s">
        <v>161</v>
      </c>
      <c r="F671" s="72">
        <v>5000000</v>
      </c>
      <c r="G671" s="83">
        <v>5</v>
      </c>
      <c r="H671" s="84" t="s">
        <v>94</v>
      </c>
      <c r="I671" s="84" t="s">
        <v>372</v>
      </c>
      <c r="J671" s="84" t="s">
        <v>373</v>
      </c>
    </row>
    <row r="672" spans="2:10" x14ac:dyDescent="0.3">
      <c r="B672" s="79" t="s">
        <v>371</v>
      </c>
      <c r="C672" s="79" t="s">
        <v>197</v>
      </c>
      <c r="D672" s="73" t="s">
        <v>96</v>
      </c>
      <c r="E672" s="73" t="s">
        <v>161</v>
      </c>
      <c r="F672" s="74">
        <v>1000000</v>
      </c>
      <c r="G672" s="80">
        <v>1</v>
      </c>
      <c r="H672" s="81" t="s">
        <v>94</v>
      </c>
      <c r="I672" s="81" t="s">
        <v>372</v>
      </c>
      <c r="J672" s="82" t="s">
        <v>373</v>
      </c>
    </row>
    <row r="673" spans="2:10" x14ac:dyDescent="0.3">
      <c r="B673" s="70" t="s">
        <v>371</v>
      </c>
      <c r="C673" s="70" t="s">
        <v>197</v>
      </c>
      <c r="D673" s="71" t="s">
        <v>98</v>
      </c>
      <c r="E673" s="71" t="s">
        <v>161</v>
      </c>
      <c r="F673" s="72">
        <v>5590223</v>
      </c>
      <c r="G673" s="83">
        <v>5.5902229999999999</v>
      </c>
      <c r="H673" s="84" t="s">
        <v>94</v>
      </c>
      <c r="I673" s="84" t="s">
        <v>372</v>
      </c>
      <c r="J673" s="84" t="s">
        <v>373</v>
      </c>
    </row>
    <row r="674" spans="2:10" x14ac:dyDescent="0.3">
      <c r="B674" s="79" t="s">
        <v>371</v>
      </c>
      <c r="C674" s="79" t="s">
        <v>197</v>
      </c>
      <c r="D674" s="73" t="s">
        <v>98</v>
      </c>
      <c r="E674" s="73" t="s">
        <v>161</v>
      </c>
      <c r="F674" s="74">
        <v>5000000</v>
      </c>
      <c r="G674" s="80">
        <v>5</v>
      </c>
      <c r="H674" s="81" t="s">
        <v>94</v>
      </c>
      <c r="I674" s="81" t="s">
        <v>372</v>
      </c>
      <c r="J674" s="82" t="s">
        <v>373</v>
      </c>
    </row>
    <row r="675" spans="2:10" x14ac:dyDescent="0.3">
      <c r="B675" s="70" t="s">
        <v>371</v>
      </c>
      <c r="C675" s="70" t="s">
        <v>197</v>
      </c>
      <c r="D675" s="71" t="s">
        <v>96</v>
      </c>
      <c r="E675" s="71" t="s">
        <v>161</v>
      </c>
      <c r="F675" s="72">
        <v>1000000</v>
      </c>
      <c r="G675" s="83">
        <v>1</v>
      </c>
      <c r="H675" s="84" t="s">
        <v>94</v>
      </c>
      <c r="I675" s="84" t="s">
        <v>372</v>
      </c>
      <c r="J675" s="84" t="s">
        <v>373</v>
      </c>
    </row>
    <row r="676" spans="2:10" x14ac:dyDescent="0.3">
      <c r="B676" s="79" t="s">
        <v>371</v>
      </c>
      <c r="C676" s="79" t="s">
        <v>197</v>
      </c>
      <c r="D676" s="73" t="s">
        <v>98</v>
      </c>
      <c r="E676" s="73" t="s">
        <v>161</v>
      </c>
      <c r="F676" s="74">
        <v>-400373</v>
      </c>
      <c r="G676" s="80">
        <v>-0.40037299999999998</v>
      </c>
      <c r="H676" s="81" t="s">
        <v>94</v>
      </c>
      <c r="I676" s="81" t="s">
        <v>372</v>
      </c>
      <c r="J676" s="82" t="s">
        <v>373</v>
      </c>
    </row>
    <row r="677" spans="2:10" x14ac:dyDescent="0.3">
      <c r="B677" s="70" t="s">
        <v>371</v>
      </c>
      <c r="C677" s="70" t="s">
        <v>197</v>
      </c>
      <c r="D677" s="71" t="s">
        <v>98</v>
      </c>
      <c r="E677" s="71" t="s">
        <v>161</v>
      </c>
      <c r="F677" s="72">
        <v>400373</v>
      </c>
      <c r="G677" s="83">
        <v>0.40037299999999998</v>
      </c>
      <c r="H677" s="84" t="s">
        <v>94</v>
      </c>
      <c r="I677" s="84" t="s">
        <v>372</v>
      </c>
      <c r="J677" s="84" t="s">
        <v>373</v>
      </c>
    </row>
    <row r="678" spans="2:10" x14ac:dyDescent="0.3">
      <c r="B678" s="79" t="s">
        <v>371</v>
      </c>
      <c r="C678" s="79" t="s">
        <v>197</v>
      </c>
      <c r="D678" s="73" t="s">
        <v>98</v>
      </c>
      <c r="E678" s="73" t="s">
        <v>161</v>
      </c>
      <c r="F678" s="74">
        <v>5000000</v>
      </c>
      <c r="G678" s="80">
        <v>5</v>
      </c>
      <c r="H678" s="81" t="s">
        <v>94</v>
      </c>
      <c r="I678" s="81" t="s">
        <v>372</v>
      </c>
      <c r="J678" s="82" t="s">
        <v>373</v>
      </c>
    </row>
    <row r="679" spans="2:10" x14ac:dyDescent="0.3">
      <c r="B679" s="70" t="s">
        <v>371</v>
      </c>
      <c r="C679" s="70" t="s">
        <v>197</v>
      </c>
      <c r="D679" s="71" t="s">
        <v>98</v>
      </c>
      <c r="E679" s="71" t="s">
        <v>161</v>
      </c>
      <c r="F679" s="72">
        <v>5000000</v>
      </c>
      <c r="G679" s="83">
        <v>5</v>
      </c>
      <c r="H679" s="84" t="s">
        <v>94</v>
      </c>
      <c r="I679" s="84" t="s">
        <v>372</v>
      </c>
      <c r="J679" s="84" t="s">
        <v>373</v>
      </c>
    </row>
    <row r="680" spans="2:10" x14ac:dyDescent="0.3">
      <c r="B680" s="79" t="s">
        <v>371</v>
      </c>
      <c r="C680" s="79" t="s">
        <v>197</v>
      </c>
      <c r="D680" s="73" t="s">
        <v>98</v>
      </c>
      <c r="E680" s="73" t="s">
        <v>161</v>
      </c>
      <c r="F680" s="74">
        <v>5000000</v>
      </c>
      <c r="G680" s="80">
        <v>5</v>
      </c>
      <c r="H680" s="81" t="s">
        <v>94</v>
      </c>
      <c r="I680" s="81" t="s">
        <v>372</v>
      </c>
      <c r="J680" s="82" t="s">
        <v>373</v>
      </c>
    </row>
    <row r="681" spans="2:10" x14ac:dyDescent="0.3">
      <c r="B681" s="70" t="s">
        <v>371</v>
      </c>
      <c r="C681" s="70" t="s">
        <v>271</v>
      </c>
      <c r="D681" s="71" t="s">
        <v>98</v>
      </c>
      <c r="E681" s="71" t="s">
        <v>161</v>
      </c>
      <c r="F681" s="72">
        <v>500000</v>
      </c>
      <c r="G681" s="83">
        <v>0.5</v>
      </c>
      <c r="H681" s="84" t="s">
        <v>94</v>
      </c>
      <c r="I681" s="84" t="s">
        <v>372</v>
      </c>
      <c r="J681" s="84" t="s">
        <v>373</v>
      </c>
    </row>
    <row r="682" spans="2:10" x14ac:dyDescent="0.3">
      <c r="B682" s="79" t="s">
        <v>371</v>
      </c>
      <c r="C682" s="79" t="s">
        <v>267</v>
      </c>
      <c r="D682" s="73" t="s">
        <v>102</v>
      </c>
      <c r="E682" s="73" t="s">
        <v>168</v>
      </c>
      <c r="F682" s="74">
        <v>58497</v>
      </c>
      <c r="G682" s="80">
        <v>5.8497E-2</v>
      </c>
      <c r="H682" s="81" t="s">
        <v>94</v>
      </c>
      <c r="I682" s="81" t="s">
        <v>372</v>
      </c>
      <c r="J682" s="82" t="s">
        <v>373</v>
      </c>
    </row>
    <row r="683" spans="2:10" x14ac:dyDescent="0.3">
      <c r="B683" s="70" t="s">
        <v>371</v>
      </c>
      <c r="C683" s="70" t="s">
        <v>267</v>
      </c>
      <c r="D683" s="71" t="s">
        <v>102</v>
      </c>
      <c r="E683" s="71" t="s">
        <v>168</v>
      </c>
      <c r="F683" s="72">
        <v>58497</v>
      </c>
      <c r="G683" s="83">
        <v>5.8497E-2</v>
      </c>
      <c r="H683" s="84" t="s">
        <v>94</v>
      </c>
      <c r="I683" s="84" t="s">
        <v>372</v>
      </c>
      <c r="J683" s="84" t="s">
        <v>373</v>
      </c>
    </row>
    <row r="684" spans="2:10" x14ac:dyDescent="0.3">
      <c r="B684" s="79" t="s">
        <v>371</v>
      </c>
      <c r="C684" s="79" t="s">
        <v>267</v>
      </c>
      <c r="D684" s="73" t="s">
        <v>102</v>
      </c>
      <c r="E684" s="73" t="s">
        <v>168</v>
      </c>
      <c r="F684" s="74">
        <v>58497</v>
      </c>
      <c r="G684" s="80">
        <v>5.8497E-2</v>
      </c>
      <c r="H684" s="81" t="s">
        <v>94</v>
      </c>
      <c r="I684" s="81" t="s">
        <v>372</v>
      </c>
      <c r="J684" s="82" t="s">
        <v>373</v>
      </c>
    </row>
    <row r="685" spans="2:10" x14ac:dyDescent="0.3">
      <c r="B685" s="70" t="s">
        <v>371</v>
      </c>
      <c r="C685" s="70" t="s">
        <v>267</v>
      </c>
      <c r="D685" s="71" t="s">
        <v>96</v>
      </c>
      <c r="E685" s="71" t="s">
        <v>168</v>
      </c>
      <c r="F685" s="72">
        <v>2000</v>
      </c>
      <c r="G685" s="83">
        <v>2E-3</v>
      </c>
      <c r="H685" s="84" t="s">
        <v>94</v>
      </c>
      <c r="I685" s="84" t="s">
        <v>372</v>
      </c>
      <c r="J685" s="84" t="s">
        <v>373</v>
      </c>
    </row>
    <row r="686" spans="2:10" x14ac:dyDescent="0.3">
      <c r="B686" s="79" t="s">
        <v>371</v>
      </c>
      <c r="C686" s="79" t="s">
        <v>267</v>
      </c>
      <c r="D686" s="73" t="s">
        <v>96</v>
      </c>
      <c r="E686" s="73" t="s">
        <v>168</v>
      </c>
      <c r="F686" s="74">
        <v>2000</v>
      </c>
      <c r="G686" s="80">
        <v>2E-3</v>
      </c>
      <c r="H686" s="81" t="s">
        <v>94</v>
      </c>
      <c r="I686" s="81" t="s">
        <v>372</v>
      </c>
      <c r="J686" s="82" t="s">
        <v>373</v>
      </c>
    </row>
    <row r="687" spans="2:10" x14ac:dyDescent="0.3">
      <c r="B687" s="70" t="s">
        <v>371</v>
      </c>
      <c r="C687" s="70" t="s">
        <v>267</v>
      </c>
      <c r="D687" s="71" t="s">
        <v>102</v>
      </c>
      <c r="E687" s="71" t="s">
        <v>168</v>
      </c>
      <c r="F687" s="72">
        <v>58497</v>
      </c>
      <c r="G687" s="83">
        <v>5.8497E-2</v>
      </c>
      <c r="H687" s="84" t="s">
        <v>94</v>
      </c>
      <c r="I687" s="84" t="s">
        <v>372</v>
      </c>
      <c r="J687" s="84" t="s">
        <v>373</v>
      </c>
    </row>
    <row r="688" spans="2:10" x14ac:dyDescent="0.3">
      <c r="B688" s="79" t="s">
        <v>371</v>
      </c>
      <c r="C688" s="79" t="s">
        <v>267</v>
      </c>
      <c r="D688" s="73" t="s">
        <v>96</v>
      </c>
      <c r="E688" s="73" t="s">
        <v>168</v>
      </c>
      <c r="F688" s="74">
        <v>2000</v>
      </c>
      <c r="G688" s="80">
        <v>2E-3</v>
      </c>
      <c r="H688" s="81" t="s">
        <v>94</v>
      </c>
      <c r="I688" s="81" t="s">
        <v>372</v>
      </c>
      <c r="J688" s="82" t="s">
        <v>373</v>
      </c>
    </row>
    <row r="689" spans="2:10" x14ac:dyDescent="0.3">
      <c r="B689" s="70" t="s">
        <v>371</v>
      </c>
      <c r="C689" s="70" t="s">
        <v>267</v>
      </c>
      <c r="D689" s="71" t="s">
        <v>96</v>
      </c>
      <c r="E689" s="71" t="s">
        <v>168</v>
      </c>
      <c r="F689" s="72">
        <v>17789</v>
      </c>
      <c r="G689" s="83">
        <v>1.7788999999999999E-2</v>
      </c>
      <c r="H689" s="84" t="s">
        <v>94</v>
      </c>
      <c r="I689" s="84" t="s">
        <v>372</v>
      </c>
      <c r="J689" s="84" t="s">
        <v>373</v>
      </c>
    </row>
    <row r="690" spans="2:10" x14ac:dyDescent="0.3">
      <c r="B690" s="79" t="s">
        <v>371</v>
      </c>
      <c r="C690" s="79" t="s">
        <v>267</v>
      </c>
      <c r="D690" s="73" t="s">
        <v>96</v>
      </c>
      <c r="E690" s="73" t="s">
        <v>168</v>
      </c>
      <c r="F690" s="74">
        <v>6</v>
      </c>
      <c r="G690" s="80">
        <v>6.0000000000000002E-6</v>
      </c>
      <c r="H690" s="81" t="s">
        <v>94</v>
      </c>
      <c r="I690" s="81" t="s">
        <v>372</v>
      </c>
      <c r="J690" s="82" t="s">
        <v>373</v>
      </c>
    </row>
    <row r="691" spans="2:10" x14ac:dyDescent="0.3">
      <c r="B691" s="70" t="s">
        <v>371</v>
      </c>
      <c r="C691" s="70" t="s">
        <v>267</v>
      </c>
      <c r="D691" s="71" t="s">
        <v>96</v>
      </c>
      <c r="E691" s="71" t="s">
        <v>168</v>
      </c>
      <c r="F691" s="72">
        <v>2000</v>
      </c>
      <c r="G691" s="83">
        <v>2E-3</v>
      </c>
      <c r="H691" s="84" t="s">
        <v>94</v>
      </c>
      <c r="I691" s="84" t="s">
        <v>372</v>
      </c>
      <c r="J691" s="84" t="s">
        <v>373</v>
      </c>
    </row>
    <row r="692" spans="2:10" x14ac:dyDescent="0.3">
      <c r="B692" s="79" t="s">
        <v>371</v>
      </c>
      <c r="C692" s="79" t="s">
        <v>267</v>
      </c>
      <c r="D692" s="73" t="s">
        <v>96</v>
      </c>
      <c r="E692" s="73" t="s">
        <v>168</v>
      </c>
      <c r="F692" s="74">
        <v>17228</v>
      </c>
      <c r="G692" s="80">
        <v>1.7228E-2</v>
      </c>
      <c r="H692" s="81" t="s">
        <v>94</v>
      </c>
      <c r="I692" s="81" t="s">
        <v>372</v>
      </c>
      <c r="J692" s="82" t="s">
        <v>373</v>
      </c>
    </row>
    <row r="693" spans="2:10" x14ac:dyDescent="0.3">
      <c r="B693" s="70" t="s">
        <v>371</v>
      </c>
      <c r="C693" s="70" t="s">
        <v>267</v>
      </c>
      <c r="D693" s="71" t="s">
        <v>96</v>
      </c>
      <c r="E693" s="71" t="s">
        <v>168</v>
      </c>
      <c r="F693" s="72">
        <v>11682</v>
      </c>
      <c r="G693" s="83">
        <v>1.1682E-2</v>
      </c>
      <c r="H693" s="84" t="s">
        <v>94</v>
      </c>
      <c r="I693" s="84" t="s">
        <v>372</v>
      </c>
      <c r="J693" s="84" t="s">
        <v>373</v>
      </c>
    </row>
    <row r="694" spans="2:10" x14ac:dyDescent="0.3">
      <c r="B694" s="79" t="s">
        <v>371</v>
      </c>
      <c r="C694" s="79" t="s">
        <v>267</v>
      </c>
      <c r="D694" s="73" t="s">
        <v>96</v>
      </c>
      <c r="E694" s="73" t="s">
        <v>168</v>
      </c>
      <c r="F694" s="74">
        <v>11688</v>
      </c>
      <c r="G694" s="80">
        <v>1.1688E-2</v>
      </c>
      <c r="H694" s="81" t="s">
        <v>94</v>
      </c>
      <c r="I694" s="81" t="s">
        <v>372</v>
      </c>
      <c r="J694" s="82" t="s">
        <v>373</v>
      </c>
    </row>
    <row r="695" spans="2:10" x14ac:dyDescent="0.3">
      <c r="B695" s="70" t="s">
        <v>371</v>
      </c>
      <c r="C695" s="70" t="s">
        <v>267</v>
      </c>
      <c r="D695" s="71" t="s">
        <v>96</v>
      </c>
      <c r="E695" s="71" t="s">
        <v>168</v>
      </c>
      <c r="F695" s="72">
        <v>17228</v>
      </c>
      <c r="G695" s="83">
        <v>1.7228E-2</v>
      </c>
      <c r="H695" s="84" t="s">
        <v>94</v>
      </c>
      <c r="I695" s="84" t="s">
        <v>372</v>
      </c>
      <c r="J695" s="84" t="s">
        <v>373</v>
      </c>
    </row>
    <row r="696" spans="2:10" x14ac:dyDescent="0.3">
      <c r="B696" s="79" t="s">
        <v>371</v>
      </c>
      <c r="C696" s="79" t="s">
        <v>267</v>
      </c>
      <c r="D696" s="73" t="s">
        <v>96</v>
      </c>
      <c r="E696" s="73" t="s">
        <v>168</v>
      </c>
      <c r="F696" s="74">
        <v>57</v>
      </c>
      <c r="G696" s="80">
        <v>5.7000000000000003E-5</v>
      </c>
      <c r="H696" s="81" t="s">
        <v>94</v>
      </c>
      <c r="I696" s="81" t="s">
        <v>372</v>
      </c>
      <c r="J696" s="82" t="s">
        <v>373</v>
      </c>
    </row>
    <row r="697" spans="2:10" x14ac:dyDescent="0.3">
      <c r="B697" s="70" t="s">
        <v>371</v>
      </c>
      <c r="C697" s="70" t="s">
        <v>267</v>
      </c>
      <c r="D697" s="71" t="s">
        <v>96</v>
      </c>
      <c r="E697" s="71" t="s">
        <v>168</v>
      </c>
      <c r="F697" s="72">
        <v>17228</v>
      </c>
      <c r="G697" s="83">
        <v>1.7228E-2</v>
      </c>
      <c r="H697" s="84" t="s">
        <v>94</v>
      </c>
      <c r="I697" s="84" t="s">
        <v>372</v>
      </c>
      <c r="J697" s="84" t="s">
        <v>373</v>
      </c>
    </row>
    <row r="698" spans="2:10" x14ac:dyDescent="0.3">
      <c r="B698" s="79" t="s">
        <v>371</v>
      </c>
      <c r="C698" s="79" t="s">
        <v>267</v>
      </c>
      <c r="D698" s="73" t="s">
        <v>96</v>
      </c>
      <c r="E698" s="73" t="s">
        <v>168</v>
      </c>
      <c r="F698" s="74">
        <v>19286</v>
      </c>
      <c r="G698" s="80">
        <v>1.9286000000000001E-2</v>
      </c>
      <c r="H698" s="81" t="s">
        <v>94</v>
      </c>
      <c r="I698" s="81" t="s">
        <v>372</v>
      </c>
      <c r="J698" s="82" t="s">
        <v>373</v>
      </c>
    </row>
    <row r="699" spans="2:10" x14ac:dyDescent="0.3">
      <c r="B699" s="70" t="s">
        <v>371</v>
      </c>
      <c r="C699" s="70" t="s">
        <v>267</v>
      </c>
      <c r="D699" s="71" t="s">
        <v>96</v>
      </c>
      <c r="E699" s="71" t="s">
        <v>168</v>
      </c>
      <c r="F699" s="72">
        <v>11682</v>
      </c>
      <c r="G699" s="83">
        <v>1.1682E-2</v>
      </c>
      <c r="H699" s="84" t="s">
        <v>94</v>
      </c>
      <c r="I699" s="84" t="s">
        <v>372</v>
      </c>
      <c r="J699" s="84" t="s">
        <v>373</v>
      </c>
    </row>
    <row r="700" spans="2:10" x14ac:dyDescent="0.3">
      <c r="B700" s="79" t="s">
        <v>371</v>
      </c>
      <c r="C700" s="79" t="s">
        <v>267</v>
      </c>
      <c r="D700" s="73" t="s">
        <v>96</v>
      </c>
      <c r="E700" s="73" t="s">
        <v>168</v>
      </c>
      <c r="F700" s="74">
        <v>11681</v>
      </c>
      <c r="G700" s="80">
        <v>1.1681E-2</v>
      </c>
      <c r="H700" s="81" t="s">
        <v>94</v>
      </c>
      <c r="I700" s="81" t="s">
        <v>372</v>
      </c>
      <c r="J700" s="82" t="s">
        <v>373</v>
      </c>
    </row>
    <row r="701" spans="2:10" x14ac:dyDescent="0.3">
      <c r="B701" s="70" t="s">
        <v>371</v>
      </c>
      <c r="C701" s="70" t="s">
        <v>267</v>
      </c>
      <c r="D701" s="71" t="s">
        <v>102</v>
      </c>
      <c r="E701" s="71" t="s">
        <v>168</v>
      </c>
      <c r="F701" s="72">
        <v>58497</v>
      </c>
      <c r="G701" s="83">
        <v>5.8497E-2</v>
      </c>
      <c r="H701" s="84" t="s">
        <v>94</v>
      </c>
      <c r="I701" s="84" t="s">
        <v>372</v>
      </c>
      <c r="J701" s="84" t="s">
        <v>373</v>
      </c>
    </row>
    <row r="702" spans="2:10" x14ac:dyDescent="0.3">
      <c r="B702" s="79" t="s">
        <v>371</v>
      </c>
      <c r="C702" s="79" t="s">
        <v>267</v>
      </c>
      <c r="D702" s="73" t="s">
        <v>96</v>
      </c>
      <c r="E702" s="73" t="s">
        <v>168</v>
      </c>
      <c r="F702" s="74">
        <v>17277</v>
      </c>
      <c r="G702" s="80">
        <v>1.7277000000000001E-2</v>
      </c>
      <c r="H702" s="81" t="s">
        <v>94</v>
      </c>
      <c r="I702" s="81" t="s">
        <v>372</v>
      </c>
      <c r="J702" s="82" t="s">
        <v>373</v>
      </c>
    </row>
    <row r="703" spans="2:10" x14ac:dyDescent="0.3">
      <c r="B703" s="70" t="s">
        <v>371</v>
      </c>
      <c r="C703" s="70" t="s">
        <v>267</v>
      </c>
      <c r="D703" s="71" t="s">
        <v>102</v>
      </c>
      <c r="E703" s="71" t="s">
        <v>168</v>
      </c>
      <c r="F703" s="72">
        <v>58497</v>
      </c>
      <c r="G703" s="83">
        <v>5.8497E-2</v>
      </c>
      <c r="H703" s="84" t="s">
        <v>94</v>
      </c>
      <c r="I703" s="84" t="s">
        <v>372</v>
      </c>
      <c r="J703" s="84" t="s">
        <v>373</v>
      </c>
    </row>
    <row r="704" spans="2:10" x14ac:dyDescent="0.3">
      <c r="B704" s="79" t="s">
        <v>371</v>
      </c>
      <c r="C704" s="79" t="s">
        <v>267</v>
      </c>
      <c r="D704" s="73" t="s">
        <v>96</v>
      </c>
      <c r="E704" s="73" t="s">
        <v>168</v>
      </c>
      <c r="F704" s="74">
        <v>2000</v>
      </c>
      <c r="G704" s="80">
        <v>2E-3</v>
      </c>
      <c r="H704" s="81" t="s">
        <v>94</v>
      </c>
      <c r="I704" s="81" t="s">
        <v>372</v>
      </c>
      <c r="J704" s="82" t="s">
        <v>373</v>
      </c>
    </row>
    <row r="705" spans="2:10" x14ac:dyDescent="0.3">
      <c r="B705" s="70" t="s">
        <v>371</v>
      </c>
      <c r="C705" s="70" t="s">
        <v>267</v>
      </c>
      <c r="D705" s="71" t="s">
        <v>96</v>
      </c>
      <c r="E705" s="71" t="s">
        <v>168</v>
      </c>
      <c r="F705" s="72">
        <v>19021</v>
      </c>
      <c r="G705" s="83">
        <v>1.9021E-2</v>
      </c>
      <c r="H705" s="84" t="s">
        <v>94</v>
      </c>
      <c r="I705" s="84" t="s">
        <v>372</v>
      </c>
      <c r="J705" s="84" t="s">
        <v>373</v>
      </c>
    </row>
    <row r="706" spans="2:10" x14ac:dyDescent="0.3">
      <c r="B706" s="79" t="s">
        <v>371</v>
      </c>
      <c r="C706" s="79" t="s">
        <v>267</v>
      </c>
      <c r="D706" s="73" t="s">
        <v>102</v>
      </c>
      <c r="E706" s="73" t="s">
        <v>168</v>
      </c>
      <c r="F706" s="74">
        <v>116995</v>
      </c>
      <c r="G706" s="80">
        <v>0.116995</v>
      </c>
      <c r="H706" s="81" t="s">
        <v>94</v>
      </c>
      <c r="I706" s="81" t="s">
        <v>372</v>
      </c>
      <c r="J706" s="82" t="s">
        <v>373</v>
      </c>
    </row>
    <row r="707" spans="2:10" x14ac:dyDescent="0.3">
      <c r="B707" s="70" t="s">
        <v>371</v>
      </c>
      <c r="C707" s="70" t="s">
        <v>267</v>
      </c>
      <c r="D707" s="71" t="s">
        <v>96</v>
      </c>
      <c r="E707" s="71" t="s">
        <v>168</v>
      </c>
      <c r="F707" s="72">
        <v>8000</v>
      </c>
      <c r="G707" s="83">
        <v>8.0000000000000002E-3</v>
      </c>
      <c r="H707" s="84" t="s">
        <v>94</v>
      </c>
      <c r="I707" s="84" t="s">
        <v>372</v>
      </c>
      <c r="J707" s="84" t="s">
        <v>373</v>
      </c>
    </row>
    <row r="708" spans="2:10" x14ac:dyDescent="0.3">
      <c r="B708" s="79" t="s">
        <v>371</v>
      </c>
      <c r="C708" s="79" t="s">
        <v>267</v>
      </c>
      <c r="D708" s="73" t="s">
        <v>96</v>
      </c>
      <c r="E708" s="73" t="s">
        <v>168</v>
      </c>
      <c r="F708" s="74">
        <v>19021</v>
      </c>
      <c r="G708" s="80">
        <v>1.9021E-2</v>
      </c>
      <c r="H708" s="81" t="s">
        <v>94</v>
      </c>
      <c r="I708" s="81" t="s">
        <v>372</v>
      </c>
      <c r="J708" s="82" t="s">
        <v>373</v>
      </c>
    </row>
    <row r="709" spans="2:10" x14ac:dyDescent="0.3">
      <c r="B709" s="70" t="s">
        <v>371</v>
      </c>
      <c r="C709" s="70" t="s">
        <v>267</v>
      </c>
      <c r="D709" s="71" t="s">
        <v>102</v>
      </c>
      <c r="E709" s="71" t="s">
        <v>168</v>
      </c>
      <c r="F709" s="72">
        <v>116995</v>
      </c>
      <c r="G709" s="83">
        <v>0.116995</v>
      </c>
      <c r="H709" s="84" t="s">
        <v>94</v>
      </c>
      <c r="I709" s="84" t="s">
        <v>372</v>
      </c>
      <c r="J709" s="84" t="s">
        <v>373</v>
      </c>
    </row>
    <row r="710" spans="2:10" x14ac:dyDescent="0.3">
      <c r="B710" s="79" t="s">
        <v>371</v>
      </c>
      <c r="C710" s="79" t="s">
        <v>267</v>
      </c>
      <c r="D710" s="73" t="s">
        <v>102</v>
      </c>
      <c r="E710" s="73" t="s">
        <v>168</v>
      </c>
      <c r="F710" s="74">
        <v>58497</v>
      </c>
      <c r="G710" s="80">
        <v>5.8497E-2</v>
      </c>
      <c r="H710" s="81" t="s">
        <v>94</v>
      </c>
      <c r="I710" s="81" t="s">
        <v>372</v>
      </c>
      <c r="J710" s="82" t="s">
        <v>373</v>
      </c>
    </row>
    <row r="711" spans="2:10" x14ac:dyDescent="0.3">
      <c r="B711" s="70" t="s">
        <v>371</v>
      </c>
      <c r="C711" s="70" t="s">
        <v>267</v>
      </c>
      <c r="D711" s="71" t="s">
        <v>96</v>
      </c>
      <c r="E711" s="71" t="s">
        <v>168</v>
      </c>
      <c r="F711" s="72">
        <v>2000</v>
      </c>
      <c r="G711" s="83">
        <v>2E-3</v>
      </c>
      <c r="H711" s="84" t="s">
        <v>94</v>
      </c>
      <c r="I711" s="84" t="s">
        <v>372</v>
      </c>
      <c r="J711" s="84" t="s">
        <v>373</v>
      </c>
    </row>
    <row r="712" spans="2:10" x14ac:dyDescent="0.3">
      <c r="B712" s="79" t="s">
        <v>371</v>
      </c>
      <c r="C712" s="79" t="s">
        <v>267</v>
      </c>
      <c r="D712" s="73" t="s">
        <v>96</v>
      </c>
      <c r="E712" s="73" t="s">
        <v>168</v>
      </c>
      <c r="F712" s="74">
        <v>2000</v>
      </c>
      <c r="G712" s="80">
        <v>2E-3</v>
      </c>
      <c r="H712" s="81" t="s">
        <v>94</v>
      </c>
      <c r="I712" s="81" t="s">
        <v>372</v>
      </c>
      <c r="J712" s="82" t="s">
        <v>373</v>
      </c>
    </row>
    <row r="713" spans="2:10" x14ac:dyDescent="0.3">
      <c r="B713" s="70" t="s">
        <v>371</v>
      </c>
      <c r="C713" s="70" t="s">
        <v>267</v>
      </c>
      <c r="D713" s="71" t="s">
        <v>96</v>
      </c>
      <c r="E713" s="71" t="s">
        <v>168</v>
      </c>
      <c r="F713" s="72">
        <v>2000</v>
      </c>
      <c r="G713" s="83">
        <v>2E-3</v>
      </c>
      <c r="H713" s="84" t="s">
        <v>94</v>
      </c>
      <c r="I713" s="84" t="s">
        <v>372</v>
      </c>
      <c r="J713" s="84" t="s">
        <v>373</v>
      </c>
    </row>
    <row r="714" spans="2:10" x14ac:dyDescent="0.3">
      <c r="B714" s="79" t="s">
        <v>371</v>
      </c>
      <c r="C714" s="79" t="s">
        <v>267</v>
      </c>
      <c r="D714" s="73" t="s">
        <v>96</v>
      </c>
      <c r="E714" s="73" t="s">
        <v>168</v>
      </c>
      <c r="F714" s="74">
        <v>2000</v>
      </c>
      <c r="G714" s="80">
        <v>2E-3</v>
      </c>
      <c r="H714" s="81" t="s">
        <v>94</v>
      </c>
      <c r="I714" s="81" t="s">
        <v>372</v>
      </c>
      <c r="J714" s="82" t="s">
        <v>373</v>
      </c>
    </row>
    <row r="715" spans="2:10" x14ac:dyDescent="0.3">
      <c r="B715" s="70" t="s">
        <v>371</v>
      </c>
      <c r="C715" s="70" t="s">
        <v>267</v>
      </c>
      <c r="D715" s="71" t="s">
        <v>102</v>
      </c>
      <c r="E715" s="71" t="s">
        <v>168</v>
      </c>
      <c r="F715" s="72">
        <v>116995</v>
      </c>
      <c r="G715" s="83">
        <v>0.116995</v>
      </c>
      <c r="H715" s="84" t="s">
        <v>94</v>
      </c>
      <c r="I715" s="84" t="s">
        <v>372</v>
      </c>
      <c r="J715" s="84" t="s">
        <v>373</v>
      </c>
    </row>
    <row r="716" spans="2:10" x14ac:dyDescent="0.3">
      <c r="B716" s="79" t="s">
        <v>371</v>
      </c>
      <c r="C716" s="79" t="s">
        <v>267</v>
      </c>
      <c r="D716" s="73" t="s">
        <v>96</v>
      </c>
      <c r="E716" s="73" t="s">
        <v>168</v>
      </c>
      <c r="F716" s="74">
        <v>11681</v>
      </c>
      <c r="G716" s="80">
        <v>1.1681E-2</v>
      </c>
      <c r="H716" s="81" t="s">
        <v>94</v>
      </c>
      <c r="I716" s="81" t="s">
        <v>372</v>
      </c>
      <c r="J716" s="82" t="s">
        <v>373</v>
      </c>
    </row>
    <row r="717" spans="2:10" x14ac:dyDescent="0.3">
      <c r="B717" s="70" t="s">
        <v>371</v>
      </c>
      <c r="C717" s="70" t="s">
        <v>203</v>
      </c>
      <c r="D717" s="71" t="s">
        <v>102</v>
      </c>
      <c r="E717" s="71" t="s">
        <v>161</v>
      </c>
      <c r="F717" s="72">
        <v>2668704</v>
      </c>
      <c r="G717" s="83">
        <v>2.668704</v>
      </c>
      <c r="H717" s="84" t="s">
        <v>94</v>
      </c>
      <c r="I717" s="84" t="s">
        <v>372</v>
      </c>
      <c r="J717" s="84" t="s">
        <v>373</v>
      </c>
    </row>
    <row r="718" spans="2:10" x14ac:dyDescent="0.3">
      <c r="B718" s="79" t="s">
        <v>371</v>
      </c>
      <c r="C718" s="79" t="s">
        <v>203</v>
      </c>
      <c r="D718" s="73" t="s">
        <v>96</v>
      </c>
      <c r="E718" s="73" t="s">
        <v>161</v>
      </c>
      <c r="F718" s="74">
        <v>4831296</v>
      </c>
      <c r="G718" s="80">
        <v>4.831296</v>
      </c>
      <c r="H718" s="81" t="s">
        <v>94</v>
      </c>
      <c r="I718" s="81" t="s">
        <v>372</v>
      </c>
      <c r="J718" s="82" t="s">
        <v>373</v>
      </c>
    </row>
    <row r="719" spans="2:10" x14ac:dyDescent="0.3">
      <c r="B719" s="70" t="s">
        <v>371</v>
      </c>
      <c r="C719" s="70" t="s">
        <v>203</v>
      </c>
      <c r="D719" s="71" t="s">
        <v>96</v>
      </c>
      <c r="E719" s="71" t="s">
        <v>161</v>
      </c>
      <c r="F719" s="72">
        <v>2500000</v>
      </c>
      <c r="G719" s="83">
        <v>2.5</v>
      </c>
      <c r="H719" s="84" t="s">
        <v>94</v>
      </c>
      <c r="I719" s="84" t="s">
        <v>372</v>
      </c>
      <c r="J719" s="84" t="s">
        <v>373</v>
      </c>
    </row>
    <row r="720" spans="2:10" x14ac:dyDescent="0.3">
      <c r="B720" s="79" t="s">
        <v>371</v>
      </c>
      <c r="C720" s="79" t="s">
        <v>203</v>
      </c>
      <c r="D720" s="73" t="s">
        <v>96</v>
      </c>
      <c r="E720" s="73" t="s">
        <v>161</v>
      </c>
      <c r="F720" s="74">
        <v>4000000</v>
      </c>
      <c r="G720" s="80">
        <v>4</v>
      </c>
      <c r="H720" s="81" t="s">
        <v>94</v>
      </c>
      <c r="I720" s="81" t="s">
        <v>372</v>
      </c>
      <c r="J720" s="82" t="s">
        <v>373</v>
      </c>
    </row>
    <row r="721" spans="2:10" x14ac:dyDescent="0.3">
      <c r="B721" s="70" t="s">
        <v>371</v>
      </c>
      <c r="C721" s="70" t="s">
        <v>203</v>
      </c>
      <c r="D721" s="71" t="s">
        <v>96</v>
      </c>
      <c r="E721" s="71" t="s">
        <v>161</v>
      </c>
      <c r="F721" s="72">
        <v>168704</v>
      </c>
      <c r="G721" s="83">
        <v>0.16870399999999999</v>
      </c>
      <c r="H721" s="84" t="s">
        <v>94</v>
      </c>
      <c r="I721" s="84" t="s">
        <v>372</v>
      </c>
      <c r="J721" s="84" t="s">
        <v>373</v>
      </c>
    </row>
    <row r="722" spans="2:10" x14ac:dyDescent="0.3">
      <c r="B722" s="79" t="s">
        <v>371</v>
      </c>
      <c r="C722" s="79" t="s">
        <v>275</v>
      </c>
      <c r="D722" s="73" t="s">
        <v>102</v>
      </c>
      <c r="E722" s="73" t="s">
        <v>161</v>
      </c>
      <c r="F722" s="74">
        <v>305260</v>
      </c>
      <c r="G722" s="80">
        <v>0.30525999999999998</v>
      </c>
      <c r="H722" s="81" t="s">
        <v>94</v>
      </c>
      <c r="I722" s="81" t="s">
        <v>372</v>
      </c>
      <c r="J722" s="82" t="s">
        <v>373</v>
      </c>
    </row>
    <row r="723" spans="2:10" x14ac:dyDescent="0.3">
      <c r="B723" s="70" t="s">
        <v>371</v>
      </c>
      <c r="C723" s="70" t="s">
        <v>228</v>
      </c>
      <c r="D723" s="71" t="s">
        <v>96</v>
      </c>
      <c r="E723" s="71" t="s">
        <v>161</v>
      </c>
      <c r="F723" s="72">
        <v>58000</v>
      </c>
      <c r="G723" s="83">
        <v>5.8000000000000003E-2</v>
      </c>
      <c r="H723" s="84" t="s">
        <v>94</v>
      </c>
      <c r="I723" s="84" t="s">
        <v>372</v>
      </c>
      <c r="J723" s="84" t="s">
        <v>373</v>
      </c>
    </row>
    <row r="724" spans="2:10" x14ac:dyDescent="0.3">
      <c r="B724" s="79" t="s">
        <v>371</v>
      </c>
      <c r="C724" s="79" t="s">
        <v>228</v>
      </c>
      <c r="D724" s="73" t="s">
        <v>96</v>
      </c>
      <c r="E724" s="73" t="s">
        <v>161</v>
      </c>
      <c r="F724" s="74">
        <v>10780</v>
      </c>
      <c r="G724" s="80">
        <v>1.078E-2</v>
      </c>
      <c r="H724" s="81" t="s">
        <v>94</v>
      </c>
      <c r="I724" s="81" t="s">
        <v>372</v>
      </c>
      <c r="J724" s="82" t="s">
        <v>373</v>
      </c>
    </row>
    <row r="725" spans="2:10" x14ac:dyDescent="0.3">
      <c r="B725" s="70" t="s">
        <v>371</v>
      </c>
      <c r="C725" s="70" t="s">
        <v>228</v>
      </c>
      <c r="D725" s="71" t="s">
        <v>98</v>
      </c>
      <c r="E725" s="71" t="s">
        <v>161</v>
      </c>
      <c r="F725" s="72">
        <v>500000</v>
      </c>
      <c r="G725" s="83">
        <v>0.5</v>
      </c>
      <c r="H725" s="84" t="s">
        <v>94</v>
      </c>
      <c r="I725" s="84" t="s">
        <v>372</v>
      </c>
      <c r="J725" s="84" t="s">
        <v>373</v>
      </c>
    </row>
    <row r="726" spans="2:10" x14ac:dyDescent="0.3">
      <c r="B726" s="79" t="s">
        <v>371</v>
      </c>
      <c r="C726" s="79" t="s">
        <v>228</v>
      </c>
      <c r="D726" s="73" t="s">
        <v>96</v>
      </c>
      <c r="E726" s="73" t="s">
        <v>161</v>
      </c>
      <c r="F726" s="74">
        <v>2000</v>
      </c>
      <c r="G726" s="80">
        <v>2E-3</v>
      </c>
      <c r="H726" s="81" t="s">
        <v>94</v>
      </c>
      <c r="I726" s="81" t="s">
        <v>372</v>
      </c>
      <c r="J726" s="82" t="s">
        <v>373</v>
      </c>
    </row>
    <row r="727" spans="2:10" x14ac:dyDescent="0.3">
      <c r="B727" s="70" t="s">
        <v>371</v>
      </c>
      <c r="C727" s="70" t="s">
        <v>228</v>
      </c>
      <c r="D727" s="71" t="s">
        <v>96</v>
      </c>
      <c r="E727" s="71" t="s">
        <v>161</v>
      </c>
      <c r="F727" s="72">
        <v>58000</v>
      </c>
      <c r="G727" s="83">
        <v>5.8000000000000003E-2</v>
      </c>
      <c r="H727" s="84" t="s">
        <v>94</v>
      </c>
      <c r="I727" s="84" t="s">
        <v>372</v>
      </c>
      <c r="J727" s="84" t="s">
        <v>373</v>
      </c>
    </row>
    <row r="728" spans="2:10" x14ac:dyDescent="0.3">
      <c r="B728" s="79" t="s">
        <v>371</v>
      </c>
      <c r="C728" s="79" t="s">
        <v>228</v>
      </c>
      <c r="D728" s="73" t="s">
        <v>96</v>
      </c>
      <c r="E728" s="73" t="s">
        <v>161</v>
      </c>
      <c r="F728" s="74">
        <v>2000</v>
      </c>
      <c r="G728" s="80">
        <v>2E-3</v>
      </c>
      <c r="H728" s="81" t="s">
        <v>94</v>
      </c>
      <c r="I728" s="81" t="s">
        <v>372</v>
      </c>
      <c r="J728" s="82" t="s">
        <v>373</v>
      </c>
    </row>
    <row r="729" spans="2:10" x14ac:dyDescent="0.3">
      <c r="B729" s="70" t="s">
        <v>371</v>
      </c>
      <c r="C729" s="70" t="s">
        <v>228</v>
      </c>
      <c r="D729" s="71" t="s">
        <v>96</v>
      </c>
      <c r="E729" s="71" t="s">
        <v>161</v>
      </c>
      <c r="F729" s="72">
        <v>15020</v>
      </c>
      <c r="G729" s="83">
        <v>1.502E-2</v>
      </c>
      <c r="H729" s="84" t="s">
        <v>94</v>
      </c>
      <c r="I729" s="84" t="s">
        <v>372</v>
      </c>
      <c r="J729" s="84" t="s">
        <v>373</v>
      </c>
    </row>
    <row r="730" spans="2:10" x14ac:dyDescent="0.3">
      <c r="B730" s="79" t="s">
        <v>371</v>
      </c>
      <c r="C730" s="79" t="s">
        <v>228</v>
      </c>
      <c r="D730" s="73" t="s">
        <v>96</v>
      </c>
      <c r="E730" s="73" t="s">
        <v>161</v>
      </c>
      <c r="F730" s="74">
        <v>10780</v>
      </c>
      <c r="G730" s="80">
        <v>1.078E-2</v>
      </c>
      <c r="H730" s="81" t="s">
        <v>94</v>
      </c>
      <c r="I730" s="81" t="s">
        <v>372</v>
      </c>
      <c r="J730" s="82" t="s">
        <v>373</v>
      </c>
    </row>
    <row r="731" spans="2:10" x14ac:dyDescent="0.3">
      <c r="B731" s="70" t="s">
        <v>371</v>
      </c>
      <c r="C731" s="70" t="s">
        <v>228</v>
      </c>
      <c r="D731" s="71" t="s">
        <v>96</v>
      </c>
      <c r="E731" s="71" t="s">
        <v>161</v>
      </c>
      <c r="F731" s="72">
        <v>2000</v>
      </c>
      <c r="G731" s="83">
        <v>2E-3</v>
      </c>
      <c r="H731" s="84" t="s">
        <v>94</v>
      </c>
      <c r="I731" s="84" t="s">
        <v>372</v>
      </c>
      <c r="J731" s="84" t="s">
        <v>373</v>
      </c>
    </row>
    <row r="732" spans="2:10" x14ac:dyDescent="0.3">
      <c r="B732" s="79" t="s">
        <v>371</v>
      </c>
      <c r="C732" s="79" t="s">
        <v>228</v>
      </c>
      <c r="D732" s="73" t="s">
        <v>96</v>
      </c>
      <c r="E732" s="73" t="s">
        <v>161</v>
      </c>
      <c r="F732" s="74">
        <v>15020</v>
      </c>
      <c r="G732" s="80">
        <v>1.502E-2</v>
      </c>
      <c r="H732" s="81" t="s">
        <v>94</v>
      </c>
      <c r="I732" s="81" t="s">
        <v>372</v>
      </c>
      <c r="J732" s="82" t="s">
        <v>373</v>
      </c>
    </row>
    <row r="733" spans="2:10" x14ac:dyDescent="0.3">
      <c r="B733" s="70" t="s">
        <v>371</v>
      </c>
      <c r="C733" s="70" t="s">
        <v>228</v>
      </c>
      <c r="D733" s="71" t="s">
        <v>96</v>
      </c>
      <c r="E733" s="71" t="s">
        <v>161</v>
      </c>
      <c r="F733" s="72">
        <v>2000</v>
      </c>
      <c r="G733" s="83">
        <v>2E-3</v>
      </c>
      <c r="H733" s="84" t="s">
        <v>94</v>
      </c>
      <c r="I733" s="84" t="s">
        <v>372</v>
      </c>
      <c r="J733" s="84" t="s">
        <v>373</v>
      </c>
    </row>
    <row r="734" spans="2:10" x14ac:dyDescent="0.3">
      <c r="B734" s="79" t="s">
        <v>371</v>
      </c>
      <c r="C734" s="79" t="s">
        <v>228</v>
      </c>
      <c r="D734" s="73" t="s">
        <v>96</v>
      </c>
      <c r="E734" s="73" t="s">
        <v>161</v>
      </c>
      <c r="F734" s="74">
        <v>24775</v>
      </c>
      <c r="G734" s="80">
        <v>2.4774999999999998E-2</v>
      </c>
      <c r="H734" s="81" t="s">
        <v>94</v>
      </c>
      <c r="I734" s="81" t="s">
        <v>372</v>
      </c>
      <c r="J734" s="82" t="s">
        <v>373</v>
      </c>
    </row>
    <row r="735" spans="2:10" x14ac:dyDescent="0.3">
      <c r="B735" s="70" t="s">
        <v>371</v>
      </c>
      <c r="C735" s="70" t="s">
        <v>228</v>
      </c>
      <c r="D735" s="71" t="s">
        <v>96</v>
      </c>
      <c r="E735" s="71" t="s">
        <v>161</v>
      </c>
      <c r="F735" s="72">
        <v>62240</v>
      </c>
      <c r="G735" s="83">
        <v>6.2239999999999997E-2</v>
      </c>
      <c r="H735" s="84" t="s">
        <v>94</v>
      </c>
      <c r="I735" s="84" t="s">
        <v>372</v>
      </c>
      <c r="J735" s="84" t="s">
        <v>373</v>
      </c>
    </row>
    <row r="736" spans="2:10" x14ac:dyDescent="0.3">
      <c r="B736" s="79" t="s">
        <v>371</v>
      </c>
      <c r="C736" s="79" t="s">
        <v>228</v>
      </c>
      <c r="D736" s="73" t="s">
        <v>96</v>
      </c>
      <c r="E736" s="73" t="s">
        <v>161</v>
      </c>
      <c r="F736" s="74">
        <v>10780</v>
      </c>
      <c r="G736" s="80">
        <v>1.078E-2</v>
      </c>
      <c r="H736" s="81" t="s">
        <v>94</v>
      </c>
      <c r="I736" s="81" t="s">
        <v>372</v>
      </c>
      <c r="J736" s="82" t="s">
        <v>373</v>
      </c>
    </row>
    <row r="737" spans="2:10" x14ac:dyDescent="0.3">
      <c r="B737" s="70" t="s">
        <v>371</v>
      </c>
      <c r="C737" s="70" t="s">
        <v>228</v>
      </c>
      <c r="D737" s="71" t="s">
        <v>96</v>
      </c>
      <c r="E737" s="71" t="s">
        <v>161</v>
      </c>
      <c r="F737" s="72">
        <v>16174</v>
      </c>
      <c r="G737" s="83">
        <v>1.6174000000000001E-2</v>
      </c>
      <c r="H737" s="84" t="s">
        <v>94</v>
      </c>
      <c r="I737" s="84" t="s">
        <v>372</v>
      </c>
      <c r="J737" s="84" t="s">
        <v>373</v>
      </c>
    </row>
    <row r="738" spans="2:10" x14ac:dyDescent="0.3">
      <c r="B738" s="79" t="s">
        <v>371</v>
      </c>
      <c r="C738" s="79" t="s">
        <v>228</v>
      </c>
      <c r="D738" s="73" t="s">
        <v>96</v>
      </c>
      <c r="E738" s="73" t="s">
        <v>161</v>
      </c>
      <c r="F738" s="74">
        <v>2000</v>
      </c>
      <c r="G738" s="80">
        <v>2E-3</v>
      </c>
      <c r="H738" s="81" t="s">
        <v>94</v>
      </c>
      <c r="I738" s="81" t="s">
        <v>372</v>
      </c>
      <c r="J738" s="82" t="s">
        <v>373</v>
      </c>
    </row>
    <row r="739" spans="2:10" x14ac:dyDescent="0.3">
      <c r="B739" s="70" t="s">
        <v>371</v>
      </c>
      <c r="C739" s="70" t="s">
        <v>228</v>
      </c>
      <c r="D739" s="71" t="s">
        <v>96</v>
      </c>
      <c r="E739" s="71" t="s">
        <v>161</v>
      </c>
      <c r="F739" s="72">
        <v>58000</v>
      </c>
      <c r="G739" s="83">
        <v>5.8000000000000003E-2</v>
      </c>
      <c r="H739" s="84" t="s">
        <v>94</v>
      </c>
      <c r="I739" s="84" t="s">
        <v>372</v>
      </c>
      <c r="J739" s="84" t="s">
        <v>373</v>
      </c>
    </row>
    <row r="740" spans="2:10" x14ac:dyDescent="0.3">
      <c r="B740" s="79" t="s">
        <v>371</v>
      </c>
      <c r="C740" s="79" t="s">
        <v>228</v>
      </c>
      <c r="D740" s="73" t="s">
        <v>96</v>
      </c>
      <c r="E740" s="73" t="s">
        <v>161</v>
      </c>
      <c r="F740" s="74">
        <v>58000</v>
      </c>
      <c r="G740" s="80">
        <v>5.8000000000000003E-2</v>
      </c>
      <c r="H740" s="81" t="s">
        <v>94</v>
      </c>
      <c r="I740" s="81" t="s">
        <v>372</v>
      </c>
      <c r="J740" s="82" t="s">
        <v>373</v>
      </c>
    </row>
    <row r="741" spans="2:10" x14ac:dyDescent="0.3">
      <c r="B741" s="70" t="s">
        <v>371</v>
      </c>
      <c r="C741" s="70" t="s">
        <v>228</v>
      </c>
      <c r="D741" s="71" t="s">
        <v>96</v>
      </c>
      <c r="E741" s="71" t="s">
        <v>161</v>
      </c>
      <c r="F741" s="72">
        <v>2000</v>
      </c>
      <c r="G741" s="83">
        <v>2E-3</v>
      </c>
      <c r="H741" s="84" t="s">
        <v>94</v>
      </c>
      <c r="I741" s="84" t="s">
        <v>372</v>
      </c>
      <c r="J741" s="84" t="s">
        <v>373</v>
      </c>
    </row>
    <row r="742" spans="2:10" x14ac:dyDescent="0.3">
      <c r="B742" s="79" t="s">
        <v>371</v>
      </c>
      <c r="C742" s="79" t="s">
        <v>228</v>
      </c>
      <c r="D742" s="73" t="s">
        <v>96</v>
      </c>
      <c r="E742" s="73" t="s">
        <v>161</v>
      </c>
      <c r="F742" s="74">
        <v>81162</v>
      </c>
      <c r="G742" s="80">
        <v>8.1161999999999998E-2</v>
      </c>
      <c r="H742" s="81" t="s">
        <v>94</v>
      </c>
      <c r="I742" s="81" t="s">
        <v>372</v>
      </c>
      <c r="J742" s="82" t="s">
        <v>373</v>
      </c>
    </row>
    <row r="743" spans="2:10" x14ac:dyDescent="0.3">
      <c r="B743" s="70" t="s">
        <v>371</v>
      </c>
      <c r="C743" s="70" t="s">
        <v>228</v>
      </c>
      <c r="D743" s="71" t="s">
        <v>102</v>
      </c>
      <c r="E743" s="71" t="s">
        <v>161</v>
      </c>
      <c r="F743" s="72">
        <v>156316</v>
      </c>
      <c r="G743" s="83">
        <v>0.15631600000000001</v>
      </c>
      <c r="H743" s="84" t="s">
        <v>94</v>
      </c>
      <c r="I743" s="84" t="s">
        <v>372</v>
      </c>
      <c r="J743" s="84" t="s">
        <v>373</v>
      </c>
    </row>
    <row r="744" spans="2:10" x14ac:dyDescent="0.3">
      <c r="B744" s="79" t="s">
        <v>371</v>
      </c>
      <c r="C744" s="79" t="s">
        <v>228</v>
      </c>
      <c r="D744" s="73" t="s">
        <v>96</v>
      </c>
      <c r="E744" s="73" t="s">
        <v>161</v>
      </c>
      <c r="F744" s="74">
        <v>81162</v>
      </c>
      <c r="G744" s="80">
        <v>8.1161999999999998E-2</v>
      </c>
      <c r="H744" s="81" t="s">
        <v>94</v>
      </c>
      <c r="I744" s="81" t="s">
        <v>372</v>
      </c>
      <c r="J744" s="82" t="s">
        <v>373</v>
      </c>
    </row>
    <row r="745" spans="2:10" x14ac:dyDescent="0.3">
      <c r="B745" s="70" t="s">
        <v>371</v>
      </c>
      <c r="C745" s="70" t="s">
        <v>228</v>
      </c>
      <c r="D745" s="71" t="s">
        <v>102</v>
      </c>
      <c r="E745" s="71" t="s">
        <v>161</v>
      </c>
      <c r="F745" s="72">
        <v>154158</v>
      </c>
      <c r="G745" s="83">
        <v>0.15415799999999999</v>
      </c>
      <c r="H745" s="84" t="s">
        <v>94</v>
      </c>
      <c r="I745" s="84" t="s">
        <v>372</v>
      </c>
      <c r="J745" s="84" t="s">
        <v>373</v>
      </c>
    </row>
    <row r="746" spans="2:10" x14ac:dyDescent="0.3">
      <c r="B746" s="79" t="s">
        <v>371</v>
      </c>
      <c r="C746" s="79" t="s">
        <v>228</v>
      </c>
      <c r="D746" s="73" t="s">
        <v>102</v>
      </c>
      <c r="E746" s="73" t="s">
        <v>161</v>
      </c>
      <c r="F746" s="74">
        <v>87842</v>
      </c>
      <c r="G746" s="80">
        <v>8.7842000000000003E-2</v>
      </c>
      <c r="H746" s="81" t="s">
        <v>94</v>
      </c>
      <c r="I746" s="81" t="s">
        <v>372</v>
      </c>
      <c r="J746" s="82" t="s">
        <v>373</v>
      </c>
    </row>
    <row r="747" spans="2:10" x14ac:dyDescent="0.3">
      <c r="B747" s="70" t="s">
        <v>371</v>
      </c>
      <c r="C747" s="70" t="s">
        <v>228</v>
      </c>
      <c r="D747" s="71" t="s">
        <v>96</v>
      </c>
      <c r="E747" s="71" t="s">
        <v>161</v>
      </c>
      <c r="F747" s="72">
        <v>3000</v>
      </c>
      <c r="G747" s="83">
        <v>3.0000000000000001E-3</v>
      </c>
      <c r="H747" s="84" t="s">
        <v>94</v>
      </c>
      <c r="I747" s="84" t="s">
        <v>372</v>
      </c>
      <c r="J747" s="84" t="s">
        <v>373</v>
      </c>
    </row>
    <row r="748" spans="2:10" x14ac:dyDescent="0.3">
      <c r="B748" s="79" t="s">
        <v>371</v>
      </c>
      <c r="C748" s="79" t="s">
        <v>228</v>
      </c>
      <c r="D748" s="73" t="s">
        <v>96</v>
      </c>
      <c r="E748" s="73" t="s">
        <v>161</v>
      </c>
      <c r="F748" s="74">
        <v>10780</v>
      </c>
      <c r="G748" s="80">
        <v>1.078E-2</v>
      </c>
      <c r="H748" s="81" t="s">
        <v>94</v>
      </c>
      <c r="I748" s="81" t="s">
        <v>372</v>
      </c>
      <c r="J748" s="82" t="s">
        <v>373</v>
      </c>
    </row>
    <row r="749" spans="2:10" x14ac:dyDescent="0.3">
      <c r="B749" s="70" t="s">
        <v>371</v>
      </c>
      <c r="C749" s="70" t="s">
        <v>228</v>
      </c>
      <c r="D749" s="71" t="s">
        <v>96</v>
      </c>
      <c r="E749" s="71" t="s">
        <v>161</v>
      </c>
      <c r="F749" s="72">
        <v>10780</v>
      </c>
      <c r="G749" s="83">
        <v>1.078E-2</v>
      </c>
      <c r="H749" s="84" t="s">
        <v>94</v>
      </c>
      <c r="I749" s="84" t="s">
        <v>372</v>
      </c>
      <c r="J749" s="84" t="s">
        <v>373</v>
      </c>
    </row>
    <row r="750" spans="2:10" x14ac:dyDescent="0.3">
      <c r="B750" s="79" t="s">
        <v>371</v>
      </c>
      <c r="C750" s="79" t="s">
        <v>228</v>
      </c>
      <c r="D750" s="73" t="s">
        <v>96</v>
      </c>
      <c r="E750" s="73" t="s">
        <v>161</v>
      </c>
      <c r="F750" s="74">
        <v>3000</v>
      </c>
      <c r="G750" s="80">
        <v>3.0000000000000001E-3</v>
      </c>
      <c r="H750" s="81" t="s">
        <v>94</v>
      </c>
      <c r="I750" s="81" t="s">
        <v>372</v>
      </c>
      <c r="J750" s="82" t="s">
        <v>373</v>
      </c>
    </row>
    <row r="751" spans="2:10" x14ac:dyDescent="0.3">
      <c r="B751" s="70" t="s">
        <v>371</v>
      </c>
      <c r="C751" s="70" t="s">
        <v>228</v>
      </c>
      <c r="D751" s="71" t="s">
        <v>96</v>
      </c>
      <c r="E751" s="71" t="s">
        <v>161</v>
      </c>
      <c r="F751" s="72">
        <v>118537</v>
      </c>
      <c r="G751" s="83">
        <v>0.118537</v>
      </c>
      <c r="H751" s="84" t="s">
        <v>94</v>
      </c>
      <c r="I751" s="84" t="s">
        <v>372</v>
      </c>
      <c r="J751" s="84" t="s">
        <v>373</v>
      </c>
    </row>
    <row r="752" spans="2:10" x14ac:dyDescent="0.3">
      <c r="B752" s="79" t="s">
        <v>371</v>
      </c>
      <c r="C752" s="79" t="s">
        <v>228</v>
      </c>
      <c r="D752" s="73" t="s">
        <v>96</v>
      </c>
      <c r="E752" s="73" t="s">
        <v>161</v>
      </c>
      <c r="F752" s="74">
        <v>58000</v>
      </c>
      <c r="G752" s="80">
        <v>5.8000000000000003E-2</v>
      </c>
      <c r="H752" s="81" t="s">
        <v>94</v>
      </c>
      <c r="I752" s="81" t="s">
        <v>372</v>
      </c>
      <c r="J752" s="82" t="s">
        <v>373</v>
      </c>
    </row>
    <row r="753" spans="2:10" x14ac:dyDescent="0.3">
      <c r="B753" s="70" t="s">
        <v>371</v>
      </c>
      <c r="C753" s="70" t="s">
        <v>228</v>
      </c>
      <c r="D753" s="71" t="s">
        <v>96</v>
      </c>
      <c r="E753" s="71" t="s">
        <v>161</v>
      </c>
      <c r="F753" s="72">
        <v>62240</v>
      </c>
      <c r="G753" s="83">
        <v>6.2239999999999997E-2</v>
      </c>
      <c r="H753" s="84" t="s">
        <v>94</v>
      </c>
      <c r="I753" s="84" t="s">
        <v>372</v>
      </c>
      <c r="J753" s="84" t="s">
        <v>373</v>
      </c>
    </row>
    <row r="754" spans="2:10" x14ac:dyDescent="0.3">
      <c r="B754" s="79" t="s">
        <v>371</v>
      </c>
      <c r="C754" s="79" t="s">
        <v>228</v>
      </c>
      <c r="D754" s="73" t="s">
        <v>96</v>
      </c>
      <c r="E754" s="73" t="s">
        <v>161</v>
      </c>
      <c r="F754" s="74">
        <v>10780</v>
      </c>
      <c r="G754" s="80">
        <v>1.078E-2</v>
      </c>
      <c r="H754" s="81" t="s">
        <v>94</v>
      </c>
      <c r="I754" s="81" t="s">
        <v>372</v>
      </c>
      <c r="J754" s="82" t="s">
        <v>373</v>
      </c>
    </row>
    <row r="755" spans="2:10" x14ac:dyDescent="0.3">
      <c r="B755" s="70" t="s">
        <v>371</v>
      </c>
      <c r="C755" s="70" t="s">
        <v>228</v>
      </c>
      <c r="D755" s="71" t="s">
        <v>96</v>
      </c>
      <c r="E755" s="71" t="s">
        <v>161</v>
      </c>
      <c r="F755" s="72">
        <v>58000</v>
      </c>
      <c r="G755" s="83">
        <v>5.8000000000000003E-2</v>
      </c>
      <c r="H755" s="84" t="s">
        <v>94</v>
      </c>
      <c r="I755" s="84" t="s">
        <v>372</v>
      </c>
      <c r="J755" s="84" t="s">
        <v>373</v>
      </c>
    </row>
    <row r="756" spans="2:10" x14ac:dyDescent="0.3">
      <c r="B756" s="79" t="s">
        <v>371</v>
      </c>
      <c r="C756" s="79" t="s">
        <v>228</v>
      </c>
      <c r="D756" s="73" t="s">
        <v>96</v>
      </c>
      <c r="E756" s="73" t="s">
        <v>161</v>
      </c>
      <c r="F756" s="74">
        <v>36506</v>
      </c>
      <c r="G756" s="80">
        <v>3.6505999999999997E-2</v>
      </c>
      <c r="H756" s="81" t="s">
        <v>94</v>
      </c>
      <c r="I756" s="81" t="s">
        <v>372</v>
      </c>
      <c r="J756" s="82" t="s">
        <v>373</v>
      </c>
    </row>
    <row r="757" spans="2:10" x14ac:dyDescent="0.3">
      <c r="B757" s="70" t="s">
        <v>371</v>
      </c>
      <c r="C757" s="70" t="s">
        <v>228</v>
      </c>
      <c r="D757" s="71" t="s">
        <v>96</v>
      </c>
      <c r="E757" s="71" t="s">
        <v>161</v>
      </c>
      <c r="F757" s="72">
        <v>2000</v>
      </c>
      <c r="G757" s="83">
        <v>2E-3</v>
      </c>
      <c r="H757" s="84" t="s">
        <v>94</v>
      </c>
      <c r="I757" s="84" t="s">
        <v>372</v>
      </c>
      <c r="J757" s="84" t="s">
        <v>373</v>
      </c>
    </row>
    <row r="758" spans="2:10" x14ac:dyDescent="0.3">
      <c r="B758" s="79" t="s">
        <v>371</v>
      </c>
      <c r="C758" s="79" t="s">
        <v>228</v>
      </c>
      <c r="D758" s="73" t="s">
        <v>96</v>
      </c>
      <c r="E758" s="73" t="s">
        <v>161</v>
      </c>
      <c r="F758" s="74">
        <v>58000</v>
      </c>
      <c r="G758" s="80">
        <v>5.8000000000000003E-2</v>
      </c>
      <c r="H758" s="81" t="s">
        <v>94</v>
      </c>
      <c r="I758" s="81" t="s">
        <v>372</v>
      </c>
      <c r="J758" s="82" t="s">
        <v>373</v>
      </c>
    </row>
    <row r="759" spans="2:10" x14ac:dyDescent="0.3">
      <c r="B759" s="70" t="s">
        <v>371</v>
      </c>
      <c r="C759" s="70" t="s">
        <v>228</v>
      </c>
      <c r="D759" s="71" t="s">
        <v>96</v>
      </c>
      <c r="E759" s="71" t="s">
        <v>161</v>
      </c>
      <c r="F759" s="72">
        <v>2000</v>
      </c>
      <c r="G759" s="83">
        <v>2E-3</v>
      </c>
      <c r="H759" s="84" t="s">
        <v>94</v>
      </c>
      <c r="I759" s="84" t="s">
        <v>372</v>
      </c>
      <c r="J759" s="84" t="s">
        <v>373</v>
      </c>
    </row>
    <row r="760" spans="2:10" x14ac:dyDescent="0.3">
      <c r="B760" s="79" t="s">
        <v>371</v>
      </c>
      <c r="C760" s="79" t="s">
        <v>228</v>
      </c>
      <c r="D760" s="73" t="s">
        <v>96</v>
      </c>
      <c r="E760" s="73" t="s">
        <v>161</v>
      </c>
      <c r="F760" s="74">
        <v>24775</v>
      </c>
      <c r="G760" s="80">
        <v>2.4774999999999998E-2</v>
      </c>
      <c r="H760" s="81" t="s">
        <v>94</v>
      </c>
      <c r="I760" s="81" t="s">
        <v>372</v>
      </c>
      <c r="J760" s="82" t="s">
        <v>373</v>
      </c>
    </row>
    <row r="761" spans="2:10" x14ac:dyDescent="0.3">
      <c r="B761" s="70" t="s">
        <v>371</v>
      </c>
      <c r="C761" s="70" t="s">
        <v>228</v>
      </c>
      <c r="D761" s="71" t="s">
        <v>96</v>
      </c>
      <c r="E761" s="71" t="s">
        <v>161</v>
      </c>
      <c r="F761" s="72">
        <v>10780</v>
      </c>
      <c r="G761" s="83">
        <v>1.078E-2</v>
      </c>
      <c r="H761" s="84" t="s">
        <v>94</v>
      </c>
      <c r="I761" s="84" t="s">
        <v>372</v>
      </c>
      <c r="J761" s="84" t="s">
        <v>373</v>
      </c>
    </row>
    <row r="762" spans="2:10" x14ac:dyDescent="0.3">
      <c r="B762" s="79" t="s">
        <v>371</v>
      </c>
      <c r="C762" s="79" t="s">
        <v>228</v>
      </c>
      <c r="D762" s="73" t="s">
        <v>96</v>
      </c>
      <c r="E762" s="73" t="s">
        <v>161</v>
      </c>
      <c r="F762" s="74">
        <v>2000</v>
      </c>
      <c r="G762" s="80">
        <v>2E-3</v>
      </c>
      <c r="H762" s="81" t="s">
        <v>94</v>
      </c>
      <c r="I762" s="81" t="s">
        <v>372</v>
      </c>
      <c r="J762" s="82" t="s">
        <v>373</v>
      </c>
    </row>
    <row r="763" spans="2:10" x14ac:dyDescent="0.3">
      <c r="B763" s="70" t="s">
        <v>371</v>
      </c>
      <c r="C763" s="70" t="s">
        <v>192</v>
      </c>
      <c r="D763" s="71" t="s">
        <v>96</v>
      </c>
      <c r="E763" s="71" t="s">
        <v>161</v>
      </c>
      <c r="F763" s="72">
        <v>504218</v>
      </c>
      <c r="G763" s="83">
        <v>0.50421800000000006</v>
      </c>
      <c r="H763" s="84" t="s">
        <v>94</v>
      </c>
      <c r="I763" s="84" t="s">
        <v>372</v>
      </c>
      <c r="J763" s="84" t="s">
        <v>373</v>
      </c>
    </row>
    <row r="764" spans="2:10" x14ac:dyDescent="0.3">
      <c r="B764" s="79" t="s">
        <v>371</v>
      </c>
      <c r="C764" s="79" t="s">
        <v>192</v>
      </c>
      <c r="D764" s="73" t="s">
        <v>102</v>
      </c>
      <c r="E764" s="73" t="s">
        <v>161</v>
      </c>
      <c r="F764" s="74">
        <v>407185</v>
      </c>
      <c r="G764" s="80">
        <v>0.40718500000000002</v>
      </c>
      <c r="H764" s="81" t="s">
        <v>94</v>
      </c>
      <c r="I764" s="81" t="s">
        <v>372</v>
      </c>
      <c r="J764" s="82" t="s">
        <v>373</v>
      </c>
    </row>
    <row r="765" spans="2:10" x14ac:dyDescent="0.3">
      <c r="B765" s="70" t="s">
        <v>371</v>
      </c>
      <c r="C765" s="70" t="s">
        <v>192</v>
      </c>
      <c r="D765" s="71" t="s">
        <v>96</v>
      </c>
      <c r="E765" s="71" t="s">
        <v>161</v>
      </c>
      <c r="F765" s="72">
        <v>77500</v>
      </c>
      <c r="G765" s="83">
        <v>7.7499999999999999E-2</v>
      </c>
      <c r="H765" s="84" t="s">
        <v>94</v>
      </c>
      <c r="I765" s="84" t="s">
        <v>372</v>
      </c>
      <c r="J765" s="84" t="s">
        <v>373</v>
      </c>
    </row>
    <row r="766" spans="2:10" x14ac:dyDescent="0.3">
      <c r="B766" s="79" t="s">
        <v>371</v>
      </c>
      <c r="C766" s="79" t="s">
        <v>192</v>
      </c>
      <c r="D766" s="73" t="s">
        <v>96</v>
      </c>
      <c r="E766" s="73" t="s">
        <v>161</v>
      </c>
      <c r="F766" s="74">
        <v>3480656</v>
      </c>
      <c r="G766" s="80">
        <v>3.4806560000000002</v>
      </c>
      <c r="H766" s="81" t="s">
        <v>94</v>
      </c>
      <c r="I766" s="81" t="s">
        <v>372</v>
      </c>
      <c r="J766" s="82" t="s">
        <v>373</v>
      </c>
    </row>
    <row r="767" spans="2:10" x14ac:dyDescent="0.3">
      <c r="B767" s="70" t="s">
        <v>371</v>
      </c>
      <c r="C767" s="70" t="s">
        <v>192</v>
      </c>
      <c r="D767" s="71" t="s">
        <v>96</v>
      </c>
      <c r="E767" s="71" t="s">
        <v>161</v>
      </c>
      <c r="F767" s="72">
        <v>401137</v>
      </c>
      <c r="G767" s="83">
        <v>0.40113700000000002</v>
      </c>
      <c r="H767" s="84" t="s">
        <v>94</v>
      </c>
      <c r="I767" s="84" t="s">
        <v>372</v>
      </c>
      <c r="J767" s="84" t="s">
        <v>373</v>
      </c>
    </row>
    <row r="768" spans="2:10" x14ac:dyDescent="0.3">
      <c r="B768" s="79" t="s">
        <v>371</v>
      </c>
      <c r="C768" s="79" t="s">
        <v>192</v>
      </c>
      <c r="D768" s="73" t="s">
        <v>96</v>
      </c>
      <c r="E768" s="73" t="s">
        <v>161</v>
      </c>
      <c r="F768" s="74">
        <v>10773</v>
      </c>
      <c r="G768" s="80">
        <v>1.0773E-2</v>
      </c>
      <c r="H768" s="81" t="s">
        <v>94</v>
      </c>
      <c r="I768" s="81" t="s">
        <v>372</v>
      </c>
      <c r="J768" s="82" t="s">
        <v>373</v>
      </c>
    </row>
    <row r="769" spans="2:10" x14ac:dyDescent="0.3">
      <c r="B769" s="70" t="s">
        <v>371</v>
      </c>
      <c r="C769" s="70" t="s">
        <v>192</v>
      </c>
      <c r="D769" s="71" t="s">
        <v>102</v>
      </c>
      <c r="E769" s="71" t="s">
        <v>161</v>
      </c>
      <c r="F769" s="72">
        <v>303763</v>
      </c>
      <c r="G769" s="83">
        <v>0.30376300000000001</v>
      </c>
      <c r="H769" s="84" t="s">
        <v>94</v>
      </c>
      <c r="I769" s="84" t="s">
        <v>372</v>
      </c>
      <c r="J769" s="84" t="s">
        <v>373</v>
      </c>
    </row>
    <row r="770" spans="2:10" x14ac:dyDescent="0.3">
      <c r="B770" s="79" t="s">
        <v>371</v>
      </c>
      <c r="C770" s="79" t="s">
        <v>192</v>
      </c>
      <c r="D770" s="73" t="s">
        <v>96</v>
      </c>
      <c r="E770" s="73" t="s">
        <v>161</v>
      </c>
      <c r="F770" s="74">
        <v>441121</v>
      </c>
      <c r="G770" s="80">
        <v>0.44112099999999999</v>
      </c>
      <c r="H770" s="81" t="s">
        <v>94</v>
      </c>
      <c r="I770" s="81" t="s">
        <v>372</v>
      </c>
      <c r="J770" s="82" t="s">
        <v>373</v>
      </c>
    </row>
    <row r="771" spans="2:10" x14ac:dyDescent="0.3">
      <c r="B771" s="70" t="s">
        <v>371</v>
      </c>
      <c r="C771" s="70" t="s">
        <v>192</v>
      </c>
      <c r="D771" s="71" t="s">
        <v>102</v>
      </c>
      <c r="E771" s="71" t="s">
        <v>161</v>
      </c>
      <c r="F771" s="72">
        <v>139683</v>
      </c>
      <c r="G771" s="83">
        <v>0.139683</v>
      </c>
      <c r="H771" s="84" t="s">
        <v>94</v>
      </c>
      <c r="I771" s="84" t="s">
        <v>372</v>
      </c>
      <c r="J771" s="84" t="s">
        <v>373</v>
      </c>
    </row>
    <row r="772" spans="2:10" x14ac:dyDescent="0.3">
      <c r="B772" s="79" t="s">
        <v>371</v>
      </c>
      <c r="C772" s="79" t="s">
        <v>192</v>
      </c>
      <c r="D772" s="73" t="s">
        <v>102</v>
      </c>
      <c r="E772" s="73" t="s">
        <v>161</v>
      </c>
      <c r="F772" s="74">
        <v>631763</v>
      </c>
      <c r="G772" s="80">
        <v>0.63176299999999996</v>
      </c>
      <c r="H772" s="81" t="s">
        <v>94</v>
      </c>
      <c r="I772" s="81" t="s">
        <v>372</v>
      </c>
      <c r="J772" s="82" t="s">
        <v>373</v>
      </c>
    </row>
    <row r="773" spans="2:10" x14ac:dyDescent="0.3">
      <c r="B773" s="70" t="s">
        <v>371</v>
      </c>
      <c r="C773" s="70" t="s">
        <v>192</v>
      </c>
      <c r="D773" s="71" t="s">
        <v>96</v>
      </c>
      <c r="E773" s="71" t="s">
        <v>161</v>
      </c>
      <c r="F773" s="72">
        <v>337718</v>
      </c>
      <c r="G773" s="83">
        <v>0.33771800000000002</v>
      </c>
      <c r="H773" s="84" t="s">
        <v>94</v>
      </c>
      <c r="I773" s="84" t="s">
        <v>372</v>
      </c>
      <c r="J773" s="84" t="s">
        <v>373</v>
      </c>
    </row>
    <row r="774" spans="2:10" x14ac:dyDescent="0.3">
      <c r="B774" s="79" t="s">
        <v>371</v>
      </c>
      <c r="C774" s="79" t="s">
        <v>192</v>
      </c>
      <c r="D774" s="73" t="s">
        <v>96</v>
      </c>
      <c r="E774" s="73" t="s">
        <v>161</v>
      </c>
      <c r="F774" s="74">
        <v>4317721</v>
      </c>
      <c r="G774" s="80">
        <v>4.3177209999999997</v>
      </c>
      <c r="H774" s="81" t="s">
        <v>94</v>
      </c>
      <c r="I774" s="81" t="s">
        <v>372</v>
      </c>
      <c r="J774" s="82" t="s">
        <v>373</v>
      </c>
    </row>
    <row r="775" spans="2:10" x14ac:dyDescent="0.3">
      <c r="B775" s="70" t="s">
        <v>371</v>
      </c>
      <c r="C775" s="70" t="s">
        <v>192</v>
      </c>
      <c r="D775" s="71" t="s">
        <v>96</v>
      </c>
      <c r="E775" s="71" t="s">
        <v>161</v>
      </c>
      <c r="F775" s="72">
        <v>15773</v>
      </c>
      <c r="G775" s="83">
        <v>1.5772999999999999E-2</v>
      </c>
      <c r="H775" s="84" t="s">
        <v>94</v>
      </c>
      <c r="I775" s="84" t="s">
        <v>372</v>
      </c>
      <c r="J775" s="84" t="s">
        <v>373</v>
      </c>
    </row>
    <row r="776" spans="2:10" x14ac:dyDescent="0.3">
      <c r="B776" s="79" t="s">
        <v>371</v>
      </c>
      <c r="C776" s="79" t="s">
        <v>192</v>
      </c>
      <c r="D776" s="73" t="s">
        <v>96</v>
      </c>
      <c r="E776" s="73" t="s">
        <v>161</v>
      </c>
      <c r="F776" s="74">
        <v>441121</v>
      </c>
      <c r="G776" s="80">
        <v>0.44112099999999999</v>
      </c>
      <c r="H776" s="81" t="s">
        <v>94</v>
      </c>
      <c r="I776" s="81" t="s">
        <v>372</v>
      </c>
      <c r="J776" s="82" t="s">
        <v>373</v>
      </c>
    </row>
    <row r="777" spans="2:10" x14ac:dyDescent="0.3">
      <c r="B777" s="70" t="s">
        <v>371</v>
      </c>
      <c r="C777" s="70" t="s">
        <v>192</v>
      </c>
      <c r="D777" s="71" t="s">
        <v>102</v>
      </c>
      <c r="E777" s="71" t="s">
        <v>161</v>
      </c>
      <c r="F777" s="72">
        <v>4337370</v>
      </c>
      <c r="G777" s="83">
        <v>4.3373699999999999</v>
      </c>
      <c r="H777" s="84" t="s">
        <v>94</v>
      </c>
      <c r="I777" s="84" t="s">
        <v>372</v>
      </c>
      <c r="J777" s="84" t="s">
        <v>373</v>
      </c>
    </row>
    <row r="778" spans="2:10" x14ac:dyDescent="0.3">
      <c r="B778" s="79" t="s">
        <v>371</v>
      </c>
      <c r="C778" s="79" t="s">
        <v>192</v>
      </c>
      <c r="D778" s="73" t="s">
        <v>96</v>
      </c>
      <c r="E778" s="73" t="s">
        <v>161</v>
      </c>
      <c r="F778" s="74">
        <v>401137</v>
      </c>
      <c r="G778" s="80">
        <v>0.40113700000000002</v>
      </c>
      <c r="H778" s="81" t="s">
        <v>94</v>
      </c>
      <c r="I778" s="81" t="s">
        <v>372</v>
      </c>
      <c r="J778" s="82" t="s">
        <v>373</v>
      </c>
    </row>
    <row r="779" spans="2:10" x14ac:dyDescent="0.3">
      <c r="B779" s="70" t="s">
        <v>371</v>
      </c>
      <c r="C779" s="70" t="s">
        <v>192</v>
      </c>
      <c r="D779" s="71" t="s">
        <v>96</v>
      </c>
      <c r="E779" s="71" t="s">
        <v>161</v>
      </c>
      <c r="F779" s="72">
        <v>48973</v>
      </c>
      <c r="G779" s="83">
        <v>4.8973000000000003E-2</v>
      </c>
      <c r="H779" s="84" t="s">
        <v>94</v>
      </c>
      <c r="I779" s="84" t="s">
        <v>372</v>
      </c>
      <c r="J779" s="84" t="s">
        <v>373</v>
      </c>
    </row>
    <row r="780" spans="2:10" x14ac:dyDescent="0.3">
      <c r="B780" s="79" t="s">
        <v>371</v>
      </c>
      <c r="C780" s="79" t="s">
        <v>192</v>
      </c>
      <c r="D780" s="73" t="s">
        <v>102</v>
      </c>
      <c r="E780" s="73" t="s">
        <v>161</v>
      </c>
      <c r="F780" s="74">
        <v>18947</v>
      </c>
      <c r="G780" s="80">
        <v>1.8946999999999999E-2</v>
      </c>
      <c r="H780" s="81" t="s">
        <v>94</v>
      </c>
      <c r="I780" s="81" t="s">
        <v>372</v>
      </c>
      <c r="J780" s="82" t="s">
        <v>373</v>
      </c>
    </row>
    <row r="781" spans="2:10" x14ac:dyDescent="0.3">
      <c r="B781" s="70" t="s">
        <v>371</v>
      </c>
      <c r="C781" s="70" t="s">
        <v>192</v>
      </c>
      <c r="D781" s="71" t="s">
        <v>96</v>
      </c>
      <c r="E781" s="71" t="s">
        <v>161</v>
      </c>
      <c r="F781" s="72">
        <v>4317321</v>
      </c>
      <c r="G781" s="83">
        <v>4.3173209999999997</v>
      </c>
      <c r="H781" s="84" t="s">
        <v>94</v>
      </c>
      <c r="I781" s="84" t="s">
        <v>372</v>
      </c>
      <c r="J781" s="84" t="s">
        <v>373</v>
      </c>
    </row>
    <row r="782" spans="2:10" x14ac:dyDescent="0.3">
      <c r="B782" s="79" t="s">
        <v>371</v>
      </c>
      <c r="C782" s="79" t="s">
        <v>192</v>
      </c>
      <c r="D782" s="73" t="s">
        <v>96</v>
      </c>
      <c r="E782" s="73" t="s">
        <v>161</v>
      </c>
      <c r="F782" s="74">
        <v>15773</v>
      </c>
      <c r="G782" s="80">
        <v>1.5772999999999999E-2</v>
      </c>
      <c r="H782" s="81" t="s">
        <v>94</v>
      </c>
      <c r="I782" s="81" t="s">
        <v>372</v>
      </c>
      <c r="J782" s="82" t="s">
        <v>373</v>
      </c>
    </row>
    <row r="783" spans="2:10" x14ac:dyDescent="0.3">
      <c r="B783" s="70" t="s">
        <v>371</v>
      </c>
      <c r="C783" s="70" t="s">
        <v>192</v>
      </c>
      <c r="D783" s="71" t="s">
        <v>96</v>
      </c>
      <c r="E783" s="71" t="s">
        <v>161</v>
      </c>
      <c r="F783" s="72">
        <v>411941</v>
      </c>
      <c r="G783" s="83">
        <v>0.411941</v>
      </c>
      <c r="H783" s="84" t="s">
        <v>94</v>
      </c>
      <c r="I783" s="84" t="s">
        <v>372</v>
      </c>
      <c r="J783" s="84" t="s">
        <v>373</v>
      </c>
    </row>
    <row r="784" spans="2:10" x14ac:dyDescent="0.3">
      <c r="B784" s="79" t="s">
        <v>371</v>
      </c>
      <c r="C784" s="79" t="s">
        <v>192</v>
      </c>
      <c r="D784" s="73" t="s">
        <v>96</v>
      </c>
      <c r="E784" s="73" t="s">
        <v>161</v>
      </c>
      <c r="F784" s="74">
        <v>3611023</v>
      </c>
      <c r="G784" s="80">
        <v>3.6110229999999999</v>
      </c>
      <c r="H784" s="81" t="s">
        <v>94</v>
      </c>
      <c r="I784" s="81" t="s">
        <v>372</v>
      </c>
      <c r="J784" s="82" t="s">
        <v>373</v>
      </c>
    </row>
    <row r="785" spans="2:10" x14ac:dyDescent="0.3">
      <c r="B785" s="70" t="s">
        <v>371</v>
      </c>
      <c r="C785" s="70" t="s">
        <v>192</v>
      </c>
      <c r="D785" s="71" t="s">
        <v>96</v>
      </c>
      <c r="E785" s="71" t="s">
        <v>161</v>
      </c>
      <c r="F785" s="72">
        <v>4845809</v>
      </c>
      <c r="G785" s="83">
        <v>4.845809</v>
      </c>
      <c r="H785" s="84" t="s">
        <v>94</v>
      </c>
      <c r="I785" s="84" t="s">
        <v>372</v>
      </c>
      <c r="J785" s="84" t="s">
        <v>373</v>
      </c>
    </row>
    <row r="786" spans="2:10" x14ac:dyDescent="0.3">
      <c r="B786" s="79" t="s">
        <v>371</v>
      </c>
      <c r="C786" s="79" t="s">
        <v>192</v>
      </c>
      <c r="D786" s="73" t="s">
        <v>96</v>
      </c>
      <c r="E786" s="73" t="s">
        <v>161</v>
      </c>
      <c r="F786" s="74">
        <v>4317321</v>
      </c>
      <c r="G786" s="80">
        <v>4.3173209999999997</v>
      </c>
      <c r="H786" s="81" t="s">
        <v>94</v>
      </c>
      <c r="I786" s="81" t="s">
        <v>372</v>
      </c>
      <c r="J786" s="82" t="s">
        <v>373</v>
      </c>
    </row>
    <row r="787" spans="2:10" x14ac:dyDescent="0.3">
      <c r="B787" s="70" t="s">
        <v>371</v>
      </c>
      <c r="C787" s="70" t="s">
        <v>192</v>
      </c>
      <c r="D787" s="71" t="s">
        <v>96</v>
      </c>
      <c r="E787" s="71" t="s">
        <v>161</v>
      </c>
      <c r="F787" s="72">
        <v>30673</v>
      </c>
      <c r="G787" s="83">
        <v>3.0672999999999999E-2</v>
      </c>
      <c r="H787" s="84" t="s">
        <v>94</v>
      </c>
      <c r="I787" s="84" t="s">
        <v>372</v>
      </c>
      <c r="J787" s="84" t="s">
        <v>373</v>
      </c>
    </row>
    <row r="788" spans="2:10" x14ac:dyDescent="0.3">
      <c r="B788" s="79" t="s">
        <v>371</v>
      </c>
      <c r="C788" s="79" t="s">
        <v>192</v>
      </c>
      <c r="D788" s="73" t="s">
        <v>102</v>
      </c>
      <c r="E788" s="73" t="s">
        <v>161</v>
      </c>
      <c r="F788" s="74">
        <v>103684</v>
      </c>
      <c r="G788" s="80">
        <v>0.103684</v>
      </c>
      <c r="H788" s="81" t="s">
        <v>94</v>
      </c>
      <c r="I788" s="81" t="s">
        <v>372</v>
      </c>
      <c r="J788" s="82" t="s">
        <v>373</v>
      </c>
    </row>
    <row r="789" spans="2:10" x14ac:dyDescent="0.3">
      <c r="B789" s="70" t="s">
        <v>371</v>
      </c>
      <c r="C789" s="70" t="s">
        <v>192</v>
      </c>
      <c r="D789" s="71" t="s">
        <v>102</v>
      </c>
      <c r="E789" s="71" t="s">
        <v>161</v>
      </c>
      <c r="F789" s="72">
        <v>566346</v>
      </c>
      <c r="G789" s="83">
        <v>0.56634600000000002</v>
      </c>
      <c r="H789" s="84" t="s">
        <v>94</v>
      </c>
      <c r="I789" s="84" t="s">
        <v>372</v>
      </c>
      <c r="J789" s="84" t="s">
        <v>373</v>
      </c>
    </row>
    <row r="790" spans="2:10" x14ac:dyDescent="0.3">
      <c r="B790" s="79" t="s">
        <v>371</v>
      </c>
      <c r="C790" s="79" t="s">
        <v>192</v>
      </c>
      <c r="D790" s="73" t="s">
        <v>96</v>
      </c>
      <c r="E790" s="73" t="s">
        <v>161</v>
      </c>
      <c r="F790" s="74">
        <v>3480656</v>
      </c>
      <c r="G790" s="80">
        <v>3.4806560000000002</v>
      </c>
      <c r="H790" s="81" t="s">
        <v>94</v>
      </c>
      <c r="I790" s="81" t="s">
        <v>372</v>
      </c>
      <c r="J790" s="82" t="s">
        <v>373</v>
      </c>
    </row>
    <row r="791" spans="2:10" x14ac:dyDescent="0.3">
      <c r="B791" s="70" t="s">
        <v>371</v>
      </c>
      <c r="C791" s="70" t="s">
        <v>192</v>
      </c>
      <c r="D791" s="71" t="s">
        <v>96</v>
      </c>
      <c r="E791" s="71" t="s">
        <v>161</v>
      </c>
      <c r="F791" s="72">
        <v>441121</v>
      </c>
      <c r="G791" s="83">
        <v>0.44112099999999999</v>
      </c>
      <c r="H791" s="84" t="s">
        <v>94</v>
      </c>
      <c r="I791" s="84" t="s">
        <v>372</v>
      </c>
      <c r="J791" s="84" t="s">
        <v>373</v>
      </c>
    </row>
    <row r="792" spans="2:10" x14ac:dyDescent="0.3">
      <c r="B792" s="79" t="s">
        <v>371</v>
      </c>
      <c r="C792" s="79" t="s">
        <v>192</v>
      </c>
      <c r="D792" s="73" t="s">
        <v>96</v>
      </c>
      <c r="E792" s="73" t="s">
        <v>161</v>
      </c>
      <c r="F792" s="74">
        <v>48973</v>
      </c>
      <c r="G792" s="80">
        <v>4.8973000000000003E-2</v>
      </c>
      <c r="H792" s="81" t="s">
        <v>94</v>
      </c>
      <c r="I792" s="81" t="s">
        <v>372</v>
      </c>
      <c r="J792" s="82" t="s">
        <v>373</v>
      </c>
    </row>
    <row r="793" spans="2:10" x14ac:dyDescent="0.3">
      <c r="B793" s="70" t="s">
        <v>371</v>
      </c>
      <c r="C793" s="70" t="s">
        <v>192</v>
      </c>
      <c r="D793" s="71" t="s">
        <v>96</v>
      </c>
      <c r="E793" s="71" t="s">
        <v>161</v>
      </c>
      <c r="F793" s="72">
        <v>4849593</v>
      </c>
      <c r="G793" s="83">
        <v>4.8495929999999996</v>
      </c>
      <c r="H793" s="84" t="s">
        <v>94</v>
      </c>
      <c r="I793" s="84" t="s">
        <v>372</v>
      </c>
      <c r="J793" s="84" t="s">
        <v>373</v>
      </c>
    </row>
    <row r="794" spans="2:10" x14ac:dyDescent="0.3">
      <c r="B794" s="79" t="s">
        <v>371</v>
      </c>
      <c r="C794" s="79" t="s">
        <v>192</v>
      </c>
      <c r="D794" s="73" t="s">
        <v>96</v>
      </c>
      <c r="E794" s="73" t="s">
        <v>161</v>
      </c>
      <c r="F794" s="74">
        <v>4229817</v>
      </c>
      <c r="G794" s="80">
        <v>4.2298169999999997</v>
      </c>
      <c r="H794" s="81" t="s">
        <v>94</v>
      </c>
      <c r="I794" s="81" t="s">
        <v>372</v>
      </c>
      <c r="J794" s="82" t="s">
        <v>373</v>
      </c>
    </row>
    <row r="795" spans="2:10" x14ac:dyDescent="0.3">
      <c r="B795" s="70" t="s">
        <v>371</v>
      </c>
      <c r="C795" s="70" t="s">
        <v>192</v>
      </c>
      <c r="D795" s="71" t="s">
        <v>102</v>
      </c>
      <c r="E795" s="71" t="s">
        <v>161</v>
      </c>
      <c r="F795" s="72">
        <v>18947</v>
      </c>
      <c r="G795" s="83">
        <v>1.8946999999999999E-2</v>
      </c>
      <c r="H795" s="84" t="s">
        <v>94</v>
      </c>
      <c r="I795" s="84" t="s">
        <v>372</v>
      </c>
      <c r="J795" s="84" t="s">
        <v>373</v>
      </c>
    </row>
    <row r="796" spans="2:10" x14ac:dyDescent="0.3">
      <c r="B796" s="79" t="s">
        <v>371</v>
      </c>
      <c r="C796" s="79" t="s">
        <v>192</v>
      </c>
      <c r="D796" s="73" t="s">
        <v>96</v>
      </c>
      <c r="E796" s="73" t="s">
        <v>161</v>
      </c>
      <c r="F796" s="74">
        <v>4317721</v>
      </c>
      <c r="G796" s="80">
        <v>4.3177209999999997</v>
      </c>
      <c r="H796" s="81" t="s">
        <v>94</v>
      </c>
      <c r="I796" s="81" t="s">
        <v>372</v>
      </c>
      <c r="J796" s="82" t="s">
        <v>373</v>
      </c>
    </row>
    <row r="797" spans="2:10" x14ac:dyDescent="0.3">
      <c r="B797" s="70" t="s">
        <v>371</v>
      </c>
      <c r="C797" s="70" t="s">
        <v>192</v>
      </c>
      <c r="D797" s="71" t="s">
        <v>102</v>
      </c>
      <c r="E797" s="71" t="s">
        <v>161</v>
      </c>
      <c r="F797" s="72">
        <v>119824</v>
      </c>
      <c r="G797" s="83">
        <v>0.119824</v>
      </c>
      <c r="H797" s="84" t="s">
        <v>94</v>
      </c>
      <c r="I797" s="84" t="s">
        <v>372</v>
      </c>
      <c r="J797" s="84" t="s">
        <v>373</v>
      </c>
    </row>
    <row r="798" spans="2:10" x14ac:dyDescent="0.3">
      <c r="B798" s="79" t="s">
        <v>371</v>
      </c>
      <c r="C798" s="79" t="s">
        <v>192</v>
      </c>
      <c r="D798" s="73" t="s">
        <v>96</v>
      </c>
      <c r="E798" s="73" t="s">
        <v>161</v>
      </c>
      <c r="F798" s="74">
        <v>444820</v>
      </c>
      <c r="G798" s="80">
        <v>0.44481999999999999</v>
      </c>
      <c r="H798" s="81" t="s">
        <v>94</v>
      </c>
      <c r="I798" s="81" t="s">
        <v>372</v>
      </c>
      <c r="J798" s="82" t="s">
        <v>373</v>
      </c>
    </row>
    <row r="799" spans="2:10" x14ac:dyDescent="0.3">
      <c r="B799" s="70" t="s">
        <v>371</v>
      </c>
      <c r="C799" s="70" t="s">
        <v>192</v>
      </c>
      <c r="D799" s="71" t="s">
        <v>96</v>
      </c>
      <c r="E799" s="71" t="s">
        <v>161</v>
      </c>
      <c r="F799" s="72">
        <v>17273</v>
      </c>
      <c r="G799" s="83">
        <v>1.7273E-2</v>
      </c>
      <c r="H799" s="84" t="s">
        <v>94</v>
      </c>
      <c r="I799" s="84" t="s">
        <v>372</v>
      </c>
      <c r="J799" s="84" t="s">
        <v>373</v>
      </c>
    </row>
    <row r="800" spans="2:10" x14ac:dyDescent="0.3">
      <c r="B800" s="79" t="s">
        <v>371</v>
      </c>
      <c r="C800" s="79" t="s">
        <v>192</v>
      </c>
      <c r="D800" s="73" t="s">
        <v>96</v>
      </c>
      <c r="E800" s="73" t="s">
        <v>161</v>
      </c>
      <c r="F800" s="74">
        <v>443698</v>
      </c>
      <c r="G800" s="80">
        <v>0.44369799999999998</v>
      </c>
      <c r="H800" s="81" t="s">
        <v>94</v>
      </c>
      <c r="I800" s="81" t="s">
        <v>372</v>
      </c>
      <c r="J800" s="82" t="s">
        <v>373</v>
      </c>
    </row>
    <row r="801" spans="2:10" x14ac:dyDescent="0.3">
      <c r="B801" s="70" t="s">
        <v>371</v>
      </c>
      <c r="C801" s="70" t="s">
        <v>192</v>
      </c>
      <c r="D801" s="71" t="s">
        <v>96</v>
      </c>
      <c r="E801" s="71" t="s">
        <v>161</v>
      </c>
      <c r="F801" s="72">
        <v>23273</v>
      </c>
      <c r="G801" s="83">
        <v>2.3272999999999999E-2</v>
      </c>
      <c r="H801" s="84" t="s">
        <v>94</v>
      </c>
      <c r="I801" s="84" t="s">
        <v>372</v>
      </c>
      <c r="J801" s="84" t="s">
        <v>373</v>
      </c>
    </row>
    <row r="802" spans="2:10" x14ac:dyDescent="0.3">
      <c r="B802" s="79" t="s">
        <v>371</v>
      </c>
      <c r="C802" s="79" t="s">
        <v>192</v>
      </c>
      <c r="D802" s="73" t="s">
        <v>96</v>
      </c>
      <c r="E802" s="73" t="s">
        <v>161</v>
      </c>
      <c r="F802" s="74">
        <v>17273</v>
      </c>
      <c r="G802" s="80">
        <v>1.7273E-2</v>
      </c>
      <c r="H802" s="81" t="s">
        <v>94</v>
      </c>
      <c r="I802" s="81" t="s">
        <v>372</v>
      </c>
      <c r="J802" s="82" t="s">
        <v>373</v>
      </c>
    </row>
    <row r="803" spans="2:10" x14ac:dyDescent="0.3">
      <c r="B803" s="70" t="s">
        <v>371</v>
      </c>
      <c r="C803" s="70" t="s">
        <v>192</v>
      </c>
      <c r="D803" s="71" t="s">
        <v>102</v>
      </c>
      <c r="E803" s="71" t="s">
        <v>161</v>
      </c>
      <c r="F803" s="72">
        <v>188142</v>
      </c>
      <c r="G803" s="83">
        <v>0.188142</v>
      </c>
      <c r="H803" s="84" t="s">
        <v>94</v>
      </c>
      <c r="I803" s="84" t="s">
        <v>372</v>
      </c>
      <c r="J803" s="84" t="s">
        <v>373</v>
      </c>
    </row>
    <row r="804" spans="2:10" x14ac:dyDescent="0.3">
      <c r="B804" s="79" t="s">
        <v>371</v>
      </c>
      <c r="C804" s="79" t="s">
        <v>192</v>
      </c>
      <c r="D804" s="73" t="s">
        <v>96</v>
      </c>
      <c r="E804" s="73" t="s">
        <v>161</v>
      </c>
      <c r="F804" s="74">
        <v>4324021</v>
      </c>
      <c r="G804" s="80">
        <v>4.3240210000000001</v>
      </c>
      <c r="H804" s="81" t="s">
        <v>94</v>
      </c>
      <c r="I804" s="81" t="s">
        <v>372</v>
      </c>
      <c r="J804" s="82" t="s">
        <v>373</v>
      </c>
    </row>
    <row r="805" spans="2:10" x14ac:dyDescent="0.3">
      <c r="B805" s="70" t="s">
        <v>371</v>
      </c>
      <c r="C805" s="70" t="s">
        <v>192</v>
      </c>
      <c r="D805" s="71" t="s">
        <v>96</v>
      </c>
      <c r="E805" s="71" t="s">
        <v>161</v>
      </c>
      <c r="F805" s="72">
        <v>15773</v>
      </c>
      <c r="G805" s="83">
        <v>1.5772999999999999E-2</v>
      </c>
      <c r="H805" s="84" t="s">
        <v>94</v>
      </c>
      <c r="I805" s="84" t="s">
        <v>372</v>
      </c>
      <c r="J805" s="84" t="s">
        <v>373</v>
      </c>
    </row>
    <row r="806" spans="2:10" x14ac:dyDescent="0.3">
      <c r="B806" s="79" t="s">
        <v>371</v>
      </c>
      <c r="C806" s="79" t="s">
        <v>192</v>
      </c>
      <c r="D806" s="73" t="s">
        <v>96</v>
      </c>
      <c r="E806" s="73" t="s">
        <v>161</v>
      </c>
      <c r="F806" s="74">
        <v>483773</v>
      </c>
      <c r="G806" s="80">
        <v>0.48377300000000001</v>
      </c>
      <c r="H806" s="81" t="s">
        <v>94</v>
      </c>
      <c r="I806" s="81" t="s">
        <v>372</v>
      </c>
      <c r="J806" s="82" t="s">
        <v>373</v>
      </c>
    </row>
    <row r="807" spans="2:10" x14ac:dyDescent="0.3">
      <c r="B807" s="70" t="s">
        <v>371</v>
      </c>
      <c r="C807" s="70" t="s">
        <v>213</v>
      </c>
      <c r="D807" s="71" t="s">
        <v>96</v>
      </c>
      <c r="E807" s="71" t="s">
        <v>161</v>
      </c>
      <c r="F807" s="72">
        <v>1000</v>
      </c>
      <c r="G807" s="83">
        <v>1E-3</v>
      </c>
      <c r="H807" s="84" t="s">
        <v>94</v>
      </c>
      <c r="I807" s="84" t="s">
        <v>372</v>
      </c>
      <c r="J807" s="84" t="s">
        <v>373</v>
      </c>
    </row>
    <row r="808" spans="2:10" x14ac:dyDescent="0.3">
      <c r="B808" s="79" t="s">
        <v>371</v>
      </c>
      <c r="C808" s="79" t="s">
        <v>213</v>
      </c>
      <c r="D808" s="73" t="s">
        <v>102</v>
      </c>
      <c r="E808" s="73" t="s">
        <v>161</v>
      </c>
      <c r="F808" s="74">
        <v>158947</v>
      </c>
      <c r="G808" s="80">
        <v>0.158947</v>
      </c>
      <c r="H808" s="81" t="s">
        <v>94</v>
      </c>
      <c r="I808" s="81" t="s">
        <v>372</v>
      </c>
      <c r="J808" s="82" t="s">
        <v>373</v>
      </c>
    </row>
    <row r="809" spans="2:10" x14ac:dyDescent="0.3">
      <c r="B809" s="70" t="s">
        <v>371</v>
      </c>
      <c r="C809" s="70" t="s">
        <v>213</v>
      </c>
      <c r="D809" s="71" t="s">
        <v>96</v>
      </c>
      <c r="E809" s="71" t="s">
        <v>161</v>
      </c>
      <c r="F809" s="72">
        <v>42302</v>
      </c>
      <c r="G809" s="83">
        <v>4.2301999999999999E-2</v>
      </c>
      <c r="H809" s="84" t="s">
        <v>94</v>
      </c>
      <c r="I809" s="84" t="s">
        <v>372</v>
      </c>
      <c r="J809" s="84" t="s">
        <v>373</v>
      </c>
    </row>
    <row r="810" spans="2:10" x14ac:dyDescent="0.3">
      <c r="B810" s="79" t="s">
        <v>371</v>
      </c>
      <c r="C810" s="79" t="s">
        <v>213</v>
      </c>
      <c r="D810" s="73" t="s">
        <v>96</v>
      </c>
      <c r="E810" s="73" t="s">
        <v>161</v>
      </c>
      <c r="F810" s="74">
        <v>157208</v>
      </c>
      <c r="G810" s="80">
        <v>0.15720799999999999</v>
      </c>
      <c r="H810" s="81" t="s">
        <v>94</v>
      </c>
      <c r="I810" s="81" t="s">
        <v>372</v>
      </c>
      <c r="J810" s="82" t="s">
        <v>373</v>
      </c>
    </row>
    <row r="811" spans="2:10" x14ac:dyDescent="0.3">
      <c r="B811" s="70" t="s">
        <v>371</v>
      </c>
      <c r="C811" s="70" t="s">
        <v>213</v>
      </c>
      <c r="D811" s="71" t="s">
        <v>96</v>
      </c>
      <c r="E811" s="71" t="s">
        <v>161</v>
      </c>
      <c r="F811" s="72">
        <v>1000</v>
      </c>
      <c r="G811" s="83">
        <v>1E-3</v>
      </c>
      <c r="H811" s="84" t="s">
        <v>94</v>
      </c>
      <c r="I811" s="84" t="s">
        <v>372</v>
      </c>
      <c r="J811" s="84" t="s">
        <v>373</v>
      </c>
    </row>
    <row r="812" spans="2:10" x14ac:dyDescent="0.3">
      <c r="B812" s="79" t="s">
        <v>371</v>
      </c>
      <c r="C812" s="79" t="s">
        <v>213</v>
      </c>
      <c r="D812" s="73" t="s">
        <v>96</v>
      </c>
      <c r="E812" s="73" t="s">
        <v>161</v>
      </c>
      <c r="F812" s="74">
        <v>157408</v>
      </c>
      <c r="G812" s="80">
        <v>0.15740799999999999</v>
      </c>
      <c r="H812" s="81" t="s">
        <v>94</v>
      </c>
      <c r="I812" s="81" t="s">
        <v>372</v>
      </c>
      <c r="J812" s="82" t="s">
        <v>373</v>
      </c>
    </row>
    <row r="813" spans="2:10" x14ac:dyDescent="0.3">
      <c r="B813" s="70" t="s">
        <v>371</v>
      </c>
      <c r="C813" s="70" t="s">
        <v>213</v>
      </c>
      <c r="D813" s="71" t="s">
        <v>96</v>
      </c>
      <c r="E813" s="71" t="s">
        <v>161</v>
      </c>
      <c r="F813" s="72">
        <v>1000</v>
      </c>
      <c r="G813" s="83">
        <v>1E-3</v>
      </c>
      <c r="H813" s="84" t="s">
        <v>94</v>
      </c>
      <c r="I813" s="84" t="s">
        <v>372</v>
      </c>
      <c r="J813" s="84" t="s">
        <v>373</v>
      </c>
    </row>
    <row r="814" spans="2:10" x14ac:dyDescent="0.3">
      <c r="B814" s="79" t="s">
        <v>371</v>
      </c>
      <c r="C814" s="79" t="s">
        <v>213</v>
      </c>
      <c r="D814" s="73" t="s">
        <v>96</v>
      </c>
      <c r="E814" s="73" t="s">
        <v>161</v>
      </c>
      <c r="F814" s="74">
        <v>1000</v>
      </c>
      <c r="G814" s="80">
        <v>1E-3</v>
      </c>
      <c r="H814" s="81" t="s">
        <v>94</v>
      </c>
      <c r="I814" s="81" t="s">
        <v>372</v>
      </c>
      <c r="J814" s="82" t="s">
        <v>373</v>
      </c>
    </row>
    <row r="815" spans="2:10" x14ac:dyDescent="0.3">
      <c r="B815" s="70" t="s">
        <v>371</v>
      </c>
      <c r="C815" s="70" t="s">
        <v>213</v>
      </c>
      <c r="D815" s="71" t="s">
        <v>96</v>
      </c>
      <c r="E815" s="71" t="s">
        <v>161</v>
      </c>
      <c r="F815" s="72">
        <v>157208</v>
      </c>
      <c r="G815" s="83">
        <v>0.15720799999999999</v>
      </c>
      <c r="H815" s="84" t="s">
        <v>94</v>
      </c>
      <c r="I815" s="84" t="s">
        <v>372</v>
      </c>
      <c r="J815" s="84" t="s">
        <v>373</v>
      </c>
    </row>
    <row r="816" spans="2:10" x14ac:dyDescent="0.3">
      <c r="B816" s="79" t="s">
        <v>371</v>
      </c>
      <c r="C816" s="79" t="s">
        <v>213</v>
      </c>
      <c r="D816" s="73" t="s">
        <v>96</v>
      </c>
      <c r="E816" s="73" t="s">
        <v>161</v>
      </c>
      <c r="F816" s="74">
        <v>157208</v>
      </c>
      <c r="G816" s="80">
        <v>0.15720799999999999</v>
      </c>
      <c r="H816" s="81" t="s">
        <v>94</v>
      </c>
      <c r="I816" s="81" t="s">
        <v>372</v>
      </c>
      <c r="J816" s="82" t="s">
        <v>373</v>
      </c>
    </row>
    <row r="817" spans="2:10" x14ac:dyDescent="0.3">
      <c r="B817" s="70" t="s">
        <v>371</v>
      </c>
      <c r="C817" s="70" t="s">
        <v>213</v>
      </c>
      <c r="D817" s="71" t="s">
        <v>96</v>
      </c>
      <c r="E817" s="71" t="s">
        <v>161</v>
      </c>
      <c r="F817" s="72">
        <v>1000</v>
      </c>
      <c r="G817" s="83">
        <v>1E-3</v>
      </c>
      <c r="H817" s="84" t="s">
        <v>94</v>
      </c>
      <c r="I817" s="84" t="s">
        <v>372</v>
      </c>
      <c r="J817" s="84" t="s">
        <v>373</v>
      </c>
    </row>
    <row r="818" spans="2:10" x14ac:dyDescent="0.3">
      <c r="B818" s="79" t="s">
        <v>371</v>
      </c>
      <c r="C818" s="79" t="s">
        <v>213</v>
      </c>
      <c r="D818" s="73" t="s">
        <v>96</v>
      </c>
      <c r="E818" s="73" t="s">
        <v>161</v>
      </c>
      <c r="F818" s="74">
        <v>157208</v>
      </c>
      <c r="G818" s="80">
        <v>0.15720799999999999</v>
      </c>
      <c r="H818" s="81" t="s">
        <v>94</v>
      </c>
      <c r="I818" s="81" t="s">
        <v>372</v>
      </c>
      <c r="J818" s="82" t="s">
        <v>373</v>
      </c>
    </row>
    <row r="819" spans="2:10" x14ac:dyDescent="0.3">
      <c r="B819" s="70" t="s">
        <v>371</v>
      </c>
      <c r="C819" s="70" t="s">
        <v>213</v>
      </c>
      <c r="D819" s="71" t="s">
        <v>96</v>
      </c>
      <c r="E819" s="71" t="s">
        <v>161</v>
      </c>
      <c r="F819" s="72">
        <v>157408</v>
      </c>
      <c r="G819" s="83">
        <v>0.15740799999999999</v>
      </c>
      <c r="H819" s="84" t="s">
        <v>94</v>
      </c>
      <c r="I819" s="84" t="s">
        <v>372</v>
      </c>
      <c r="J819" s="84" t="s">
        <v>373</v>
      </c>
    </row>
    <row r="820" spans="2:10" x14ac:dyDescent="0.3">
      <c r="B820" s="79" t="s">
        <v>371</v>
      </c>
      <c r="C820" s="79" t="s">
        <v>213</v>
      </c>
      <c r="D820" s="73" t="s">
        <v>96</v>
      </c>
      <c r="E820" s="73" t="s">
        <v>161</v>
      </c>
      <c r="F820" s="74">
        <v>4260906</v>
      </c>
      <c r="G820" s="80">
        <v>4.2609060000000003</v>
      </c>
      <c r="H820" s="81" t="s">
        <v>94</v>
      </c>
      <c r="I820" s="81" t="s">
        <v>372</v>
      </c>
      <c r="J820" s="82" t="s">
        <v>373</v>
      </c>
    </row>
    <row r="821" spans="2:10" x14ac:dyDescent="0.3">
      <c r="B821" s="70" t="s">
        <v>371</v>
      </c>
      <c r="C821" s="70" t="s">
        <v>213</v>
      </c>
      <c r="D821" s="71" t="s">
        <v>96</v>
      </c>
      <c r="E821" s="71" t="s">
        <v>161</v>
      </c>
      <c r="F821" s="72">
        <v>157208</v>
      </c>
      <c r="G821" s="83">
        <v>0.15720799999999999</v>
      </c>
      <c r="H821" s="84" t="s">
        <v>94</v>
      </c>
      <c r="I821" s="84" t="s">
        <v>372</v>
      </c>
      <c r="J821" s="84" t="s">
        <v>373</v>
      </c>
    </row>
    <row r="822" spans="2:10" x14ac:dyDescent="0.3">
      <c r="B822" s="79" t="s">
        <v>371</v>
      </c>
      <c r="C822" s="79" t="s">
        <v>213</v>
      </c>
      <c r="D822" s="73" t="s">
        <v>96</v>
      </c>
      <c r="E822" s="73" t="s">
        <v>161</v>
      </c>
      <c r="F822" s="74">
        <v>1000</v>
      </c>
      <c r="G822" s="80">
        <v>1E-3</v>
      </c>
      <c r="H822" s="81" t="s">
        <v>94</v>
      </c>
      <c r="I822" s="81" t="s">
        <v>372</v>
      </c>
      <c r="J822" s="82" t="s">
        <v>373</v>
      </c>
    </row>
    <row r="823" spans="2:10" x14ac:dyDescent="0.3">
      <c r="B823" s="70" t="s">
        <v>371</v>
      </c>
      <c r="C823" s="70" t="s">
        <v>213</v>
      </c>
      <c r="D823" s="71" t="s">
        <v>96</v>
      </c>
      <c r="E823" s="71" t="s">
        <v>161</v>
      </c>
      <c r="F823" s="72">
        <v>1000</v>
      </c>
      <c r="G823" s="83">
        <v>1E-3</v>
      </c>
      <c r="H823" s="84" t="s">
        <v>94</v>
      </c>
      <c r="I823" s="84" t="s">
        <v>372</v>
      </c>
      <c r="J823" s="84" t="s">
        <v>373</v>
      </c>
    </row>
    <row r="824" spans="2:10" x14ac:dyDescent="0.3">
      <c r="B824" s="79" t="s">
        <v>371</v>
      </c>
      <c r="C824" s="79" t="s">
        <v>205</v>
      </c>
      <c r="D824" s="73" t="s">
        <v>96</v>
      </c>
      <c r="E824" s="73" t="s">
        <v>161</v>
      </c>
      <c r="F824" s="74">
        <v>3433</v>
      </c>
      <c r="G824" s="80">
        <v>3.4329999999999999E-3</v>
      </c>
      <c r="H824" s="81" t="s">
        <v>94</v>
      </c>
      <c r="I824" s="81" t="s">
        <v>372</v>
      </c>
      <c r="J824" s="82" t="s">
        <v>373</v>
      </c>
    </row>
    <row r="825" spans="2:10" x14ac:dyDescent="0.3">
      <c r="B825" s="70" t="s">
        <v>371</v>
      </c>
      <c r="C825" s="70" t="s">
        <v>205</v>
      </c>
      <c r="D825" s="71" t="s">
        <v>98</v>
      </c>
      <c r="E825" s="71" t="s">
        <v>161</v>
      </c>
      <c r="F825" s="72">
        <v>700000</v>
      </c>
      <c r="G825" s="83">
        <v>0.7</v>
      </c>
      <c r="H825" s="84" t="s">
        <v>94</v>
      </c>
      <c r="I825" s="84" t="s">
        <v>372</v>
      </c>
      <c r="J825" s="84" t="s">
        <v>373</v>
      </c>
    </row>
    <row r="826" spans="2:10" x14ac:dyDescent="0.3">
      <c r="B826" s="79" t="s">
        <v>371</v>
      </c>
      <c r="C826" s="79" t="s">
        <v>205</v>
      </c>
      <c r="D826" s="73" t="s">
        <v>96</v>
      </c>
      <c r="E826" s="73" t="s">
        <v>161</v>
      </c>
      <c r="F826" s="74">
        <v>26892</v>
      </c>
      <c r="G826" s="80">
        <v>2.6891999999999999E-2</v>
      </c>
      <c r="H826" s="81" t="s">
        <v>94</v>
      </c>
      <c r="I826" s="81" t="s">
        <v>372</v>
      </c>
      <c r="J826" s="82" t="s">
        <v>373</v>
      </c>
    </row>
    <row r="827" spans="2:10" x14ac:dyDescent="0.3">
      <c r="B827" s="70" t="s">
        <v>371</v>
      </c>
      <c r="C827" s="70" t="s">
        <v>205</v>
      </c>
      <c r="D827" s="71" t="s">
        <v>102</v>
      </c>
      <c r="E827" s="71" t="s">
        <v>161</v>
      </c>
      <c r="F827" s="72">
        <v>447295</v>
      </c>
      <c r="G827" s="83">
        <v>0.447295</v>
      </c>
      <c r="H827" s="84" t="s">
        <v>94</v>
      </c>
      <c r="I827" s="84" t="s">
        <v>372</v>
      </c>
      <c r="J827" s="84" t="s">
        <v>373</v>
      </c>
    </row>
    <row r="828" spans="2:10" x14ac:dyDescent="0.3">
      <c r="B828" s="79" t="s">
        <v>371</v>
      </c>
      <c r="C828" s="79" t="s">
        <v>205</v>
      </c>
      <c r="D828" s="73" t="s">
        <v>102</v>
      </c>
      <c r="E828" s="73" t="s">
        <v>161</v>
      </c>
      <c r="F828" s="74">
        <v>79539</v>
      </c>
      <c r="G828" s="80">
        <v>7.9538999999999999E-2</v>
      </c>
      <c r="H828" s="81" t="s">
        <v>94</v>
      </c>
      <c r="I828" s="81" t="s">
        <v>372</v>
      </c>
      <c r="J828" s="82" t="s">
        <v>373</v>
      </c>
    </row>
    <row r="829" spans="2:10" x14ac:dyDescent="0.3">
      <c r="B829" s="70" t="s">
        <v>371</v>
      </c>
      <c r="C829" s="70" t="s">
        <v>205</v>
      </c>
      <c r="D829" s="71" t="s">
        <v>96</v>
      </c>
      <c r="E829" s="71" t="s">
        <v>161</v>
      </c>
      <c r="F829" s="72">
        <v>7314</v>
      </c>
      <c r="G829" s="83">
        <v>7.3140000000000002E-3</v>
      </c>
      <c r="H829" s="84" t="s">
        <v>94</v>
      </c>
      <c r="I829" s="84" t="s">
        <v>372</v>
      </c>
      <c r="J829" s="84" t="s">
        <v>373</v>
      </c>
    </row>
    <row r="830" spans="2:10" x14ac:dyDescent="0.3">
      <c r="B830" s="79" t="s">
        <v>371</v>
      </c>
      <c r="C830" s="79" t="s">
        <v>205</v>
      </c>
      <c r="D830" s="73" t="s">
        <v>103</v>
      </c>
      <c r="E830" s="73" t="s">
        <v>161</v>
      </c>
      <c r="F830" s="74">
        <v>1397962</v>
      </c>
      <c r="G830" s="80">
        <v>1.3979619999999999</v>
      </c>
      <c r="H830" s="81" t="s">
        <v>94</v>
      </c>
      <c r="I830" s="81" t="s">
        <v>372</v>
      </c>
      <c r="J830" s="82" t="s">
        <v>373</v>
      </c>
    </row>
    <row r="831" spans="2:10" x14ac:dyDescent="0.3">
      <c r="B831" s="70" t="s">
        <v>371</v>
      </c>
      <c r="C831" s="70" t="s">
        <v>205</v>
      </c>
      <c r="D831" s="71" t="s">
        <v>96</v>
      </c>
      <c r="E831" s="71" t="s">
        <v>161</v>
      </c>
      <c r="F831" s="72">
        <v>12300</v>
      </c>
      <c r="G831" s="83">
        <v>1.23E-2</v>
      </c>
      <c r="H831" s="84" t="s">
        <v>94</v>
      </c>
      <c r="I831" s="84" t="s">
        <v>372</v>
      </c>
      <c r="J831" s="84" t="s">
        <v>373</v>
      </c>
    </row>
    <row r="832" spans="2:10" x14ac:dyDescent="0.3">
      <c r="B832" s="79" t="s">
        <v>371</v>
      </c>
      <c r="C832" s="79" t="s">
        <v>205</v>
      </c>
      <c r="D832" s="73" t="s">
        <v>96</v>
      </c>
      <c r="E832" s="73" t="s">
        <v>161</v>
      </c>
      <c r="F832" s="74">
        <v>31043</v>
      </c>
      <c r="G832" s="80">
        <v>3.1043000000000001E-2</v>
      </c>
      <c r="H832" s="81" t="s">
        <v>94</v>
      </c>
      <c r="I832" s="81" t="s">
        <v>372</v>
      </c>
      <c r="J832" s="82" t="s">
        <v>373</v>
      </c>
    </row>
    <row r="833" spans="2:10" x14ac:dyDescent="0.3">
      <c r="B833" s="70" t="s">
        <v>371</v>
      </c>
      <c r="C833" s="70" t="s">
        <v>205</v>
      </c>
      <c r="D833" s="71" t="s">
        <v>96</v>
      </c>
      <c r="E833" s="71" t="s">
        <v>161</v>
      </c>
      <c r="F833" s="72">
        <v>7308</v>
      </c>
      <c r="G833" s="83">
        <v>7.3080000000000003E-3</v>
      </c>
      <c r="H833" s="84" t="s">
        <v>94</v>
      </c>
      <c r="I833" s="84" t="s">
        <v>372</v>
      </c>
      <c r="J833" s="84" t="s">
        <v>373</v>
      </c>
    </row>
    <row r="834" spans="2:10" x14ac:dyDescent="0.3">
      <c r="B834" s="79" t="s">
        <v>371</v>
      </c>
      <c r="C834" s="79" t="s">
        <v>205</v>
      </c>
      <c r="D834" s="73" t="s">
        <v>102</v>
      </c>
      <c r="E834" s="73" t="s">
        <v>161</v>
      </c>
      <c r="F834" s="74">
        <v>116975</v>
      </c>
      <c r="G834" s="80">
        <v>0.116975</v>
      </c>
      <c r="H834" s="81" t="s">
        <v>94</v>
      </c>
      <c r="I834" s="81" t="s">
        <v>372</v>
      </c>
      <c r="J834" s="82" t="s">
        <v>373</v>
      </c>
    </row>
    <row r="835" spans="2:10" x14ac:dyDescent="0.3">
      <c r="B835" s="70" t="s">
        <v>371</v>
      </c>
      <c r="C835" s="70" t="s">
        <v>205</v>
      </c>
      <c r="D835" s="71" t="s">
        <v>96</v>
      </c>
      <c r="E835" s="71" t="s">
        <v>161</v>
      </c>
      <c r="F835" s="72">
        <v>31043</v>
      </c>
      <c r="G835" s="83">
        <v>3.1043000000000001E-2</v>
      </c>
      <c r="H835" s="84" t="s">
        <v>94</v>
      </c>
      <c r="I835" s="84" t="s">
        <v>372</v>
      </c>
      <c r="J835" s="84" t="s">
        <v>373</v>
      </c>
    </row>
    <row r="836" spans="2:10" x14ac:dyDescent="0.3">
      <c r="B836" s="79" t="s">
        <v>371</v>
      </c>
      <c r="C836" s="79" t="s">
        <v>205</v>
      </c>
      <c r="D836" s="73" t="s">
        <v>96</v>
      </c>
      <c r="E836" s="73" t="s">
        <v>161</v>
      </c>
      <c r="F836" s="74">
        <v>31043</v>
      </c>
      <c r="G836" s="80">
        <v>3.1043000000000001E-2</v>
      </c>
      <c r="H836" s="81" t="s">
        <v>94</v>
      </c>
      <c r="I836" s="81" t="s">
        <v>372</v>
      </c>
      <c r="J836" s="82" t="s">
        <v>373</v>
      </c>
    </row>
    <row r="837" spans="2:10" x14ac:dyDescent="0.3">
      <c r="B837" s="70" t="s">
        <v>371</v>
      </c>
      <c r="C837" s="70" t="s">
        <v>205</v>
      </c>
      <c r="D837" s="71" t="s">
        <v>102</v>
      </c>
      <c r="E837" s="71" t="s">
        <v>161</v>
      </c>
      <c r="F837" s="72">
        <v>195266</v>
      </c>
      <c r="G837" s="83">
        <v>0.195266</v>
      </c>
      <c r="H837" s="84" t="s">
        <v>94</v>
      </c>
      <c r="I837" s="84" t="s">
        <v>372</v>
      </c>
      <c r="J837" s="84" t="s">
        <v>373</v>
      </c>
    </row>
    <row r="838" spans="2:10" x14ac:dyDescent="0.3">
      <c r="B838" s="79" t="s">
        <v>371</v>
      </c>
      <c r="C838" s="79" t="s">
        <v>205</v>
      </c>
      <c r="D838" s="73" t="s">
        <v>107</v>
      </c>
      <c r="E838" s="73" t="s">
        <v>161</v>
      </c>
      <c r="F838" s="74">
        <v>300000</v>
      </c>
      <c r="G838" s="80">
        <v>0.3</v>
      </c>
      <c r="H838" s="81" t="s">
        <v>94</v>
      </c>
      <c r="I838" s="81" t="s">
        <v>372</v>
      </c>
      <c r="J838" s="82" t="s">
        <v>373</v>
      </c>
    </row>
    <row r="839" spans="2:10" x14ac:dyDescent="0.3">
      <c r="B839" s="70" t="s">
        <v>371</v>
      </c>
      <c r="C839" s="70" t="s">
        <v>205</v>
      </c>
      <c r="D839" s="71" t="s">
        <v>96</v>
      </c>
      <c r="E839" s="71" t="s">
        <v>161</v>
      </c>
      <c r="F839" s="72">
        <v>2900</v>
      </c>
      <c r="G839" s="83">
        <v>2.8999999999999998E-3</v>
      </c>
      <c r="H839" s="84" t="s">
        <v>94</v>
      </c>
      <c r="I839" s="84" t="s">
        <v>372</v>
      </c>
      <c r="J839" s="84" t="s">
        <v>373</v>
      </c>
    </row>
    <row r="840" spans="2:10" x14ac:dyDescent="0.3">
      <c r="B840" s="79" t="s">
        <v>371</v>
      </c>
      <c r="C840" s="79" t="s">
        <v>205</v>
      </c>
      <c r="D840" s="73" t="s">
        <v>96</v>
      </c>
      <c r="E840" s="73" t="s">
        <v>161</v>
      </c>
      <c r="F840" s="74">
        <v>50779</v>
      </c>
      <c r="G840" s="80">
        <v>5.0778999999999998E-2</v>
      </c>
      <c r="H840" s="81" t="s">
        <v>94</v>
      </c>
      <c r="I840" s="81" t="s">
        <v>372</v>
      </c>
      <c r="J840" s="82" t="s">
        <v>373</v>
      </c>
    </row>
    <row r="841" spans="2:10" x14ac:dyDescent="0.3">
      <c r="B841" s="70" t="s">
        <v>371</v>
      </c>
      <c r="C841" s="70" t="s">
        <v>205</v>
      </c>
      <c r="D841" s="71" t="s">
        <v>107</v>
      </c>
      <c r="E841" s="71" t="s">
        <v>161</v>
      </c>
      <c r="F841" s="72">
        <v>333297</v>
      </c>
      <c r="G841" s="83">
        <v>0.33329700000000001</v>
      </c>
      <c r="H841" s="84" t="s">
        <v>94</v>
      </c>
      <c r="I841" s="84" t="s">
        <v>372</v>
      </c>
      <c r="J841" s="84" t="s">
        <v>373</v>
      </c>
    </row>
    <row r="842" spans="2:10" x14ac:dyDescent="0.3">
      <c r="B842" s="79" t="s">
        <v>371</v>
      </c>
      <c r="C842" s="79" t="s">
        <v>205</v>
      </c>
      <c r="D842" s="73" t="s">
        <v>96</v>
      </c>
      <c r="E842" s="73" t="s">
        <v>161</v>
      </c>
      <c r="F842" s="74">
        <v>50779</v>
      </c>
      <c r="G842" s="80">
        <v>5.0778999999999998E-2</v>
      </c>
      <c r="H842" s="81" t="s">
        <v>94</v>
      </c>
      <c r="I842" s="81" t="s">
        <v>372</v>
      </c>
      <c r="J842" s="82" t="s">
        <v>373</v>
      </c>
    </row>
    <row r="843" spans="2:10" x14ac:dyDescent="0.3">
      <c r="B843" s="70" t="s">
        <v>371</v>
      </c>
      <c r="C843" s="70" t="s">
        <v>205</v>
      </c>
      <c r="D843" s="71" t="s">
        <v>96</v>
      </c>
      <c r="E843" s="71" t="s">
        <v>161</v>
      </c>
      <c r="F843" s="72">
        <v>2900</v>
      </c>
      <c r="G843" s="83">
        <v>2.8999999999999998E-3</v>
      </c>
      <c r="H843" s="84" t="s">
        <v>94</v>
      </c>
      <c r="I843" s="84" t="s">
        <v>372</v>
      </c>
      <c r="J843" s="84" t="s">
        <v>373</v>
      </c>
    </row>
    <row r="844" spans="2:10" x14ac:dyDescent="0.3">
      <c r="B844" s="79" t="s">
        <v>371</v>
      </c>
      <c r="C844" s="79" t="s">
        <v>205</v>
      </c>
      <c r="D844" s="73" t="s">
        <v>96</v>
      </c>
      <c r="E844" s="73" t="s">
        <v>161</v>
      </c>
      <c r="F844" s="74">
        <v>33027</v>
      </c>
      <c r="G844" s="80">
        <v>3.3027000000000001E-2</v>
      </c>
      <c r="H844" s="81" t="s">
        <v>94</v>
      </c>
      <c r="I844" s="81" t="s">
        <v>372</v>
      </c>
      <c r="J844" s="82" t="s">
        <v>373</v>
      </c>
    </row>
    <row r="845" spans="2:10" x14ac:dyDescent="0.3">
      <c r="B845" s="70" t="s">
        <v>371</v>
      </c>
      <c r="C845" s="70" t="s">
        <v>205</v>
      </c>
      <c r="D845" s="71" t="s">
        <v>102</v>
      </c>
      <c r="E845" s="71" t="s">
        <v>161</v>
      </c>
      <c r="F845" s="72">
        <v>442877</v>
      </c>
      <c r="G845" s="83">
        <v>0.44287700000000002</v>
      </c>
      <c r="H845" s="84" t="s">
        <v>94</v>
      </c>
      <c r="I845" s="84" t="s">
        <v>372</v>
      </c>
      <c r="J845" s="84" t="s">
        <v>373</v>
      </c>
    </row>
    <row r="846" spans="2:10" x14ac:dyDescent="0.3">
      <c r="B846" s="79" t="s">
        <v>371</v>
      </c>
      <c r="C846" s="79" t="s">
        <v>205</v>
      </c>
      <c r="D846" s="73" t="s">
        <v>96</v>
      </c>
      <c r="E846" s="73" t="s">
        <v>161</v>
      </c>
      <c r="F846" s="74">
        <v>26892</v>
      </c>
      <c r="G846" s="80">
        <v>2.6891999999999999E-2</v>
      </c>
      <c r="H846" s="81" t="s">
        <v>94</v>
      </c>
      <c r="I846" s="81" t="s">
        <v>372</v>
      </c>
      <c r="J846" s="82" t="s">
        <v>373</v>
      </c>
    </row>
    <row r="847" spans="2:10" x14ac:dyDescent="0.3">
      <c r="B847" s="70" t="s">
        <v>371</v>
      </c>
      <c r="C847" s="70" t="s">
        <v>205</v>
      </c>
      <c r="D847" s="71" t="s">
        <v>102</v>
      </c>
      <c r="E847" s="71" t="s">
        <v>161</v>
      </c>
      <c r="F847" s="72">
        <v>136842</v>
      </c>
      <c r="G847" s="83">
        <v>0.13684199999999999</v>
      </c>
      <c r="H847" s="84" t="s">
        <v>94</v>
      </c>
      <c r="I847" s="84" t="s">
        <v>372</v>
      </c>
      <c r="J847" s="84" t="s">
        <v>373</v>
      </c>
    </row>
    <row r="848" spans="2:10" x14ac:dyDescent="0.3">
      <c r="B848" s="79" t="s">
        <v>371</v>
      </c>
      <c r="C848" s="79" t="s">
        <v>205</v>
      </c>
      <c r="D848" s="73" t="s">
        <v>96</v>
      </c>
      <c r="E848" s="73" t="s">
        <v>161</v>
      </c>
      <c r="F848" s="74">
        <v>26892</v>
      </c>
      <c r="G848" s="80">
        <v>2.6891999999999999E-2</v>
      </c>
      <c r="H848" s="81" t="s">
        <v>94</v>
      </c>
      <c r="I848" s="81" t="s">
        <v>372</v>
      </c>
      <c r="J848" s="82" t="s">
        <v>373</v>
      </c>
    </row>
    <row r="849" spans="2:10" x14ac:dyDescent="0.3">
      <c r="B849" s="70" t="s">
        <v>371</v>
      </c>
      <c r="C849" s="70" t="s">
        <v>205</v>
      </c>
      <c r="D849" s="71" t="s">
        <v>96</v>
      </c>
      <c r="E849" s="71" t="s">
        <v>161</v>
      </c>
      <c r="F849" s="72">
        <v>50779</v>
      </c>
      <c r="G849" s="83">
        <v>5.0778999999999998E-2</v>
      </c>
      <c r="H849" s="84" t="s">
        <v>94</v>
      </c>
      <c r="I849" s="84" t="s">
        <v>372</v>
      </c>
      <c r="J849" s="84" t="s">
        <v>373</v>
      </c>
    </row>
    <row r="850" spans="2:10" x14ac:dyDescent="0.3">
      <c r="B850" s="79" t="s">
        <v>371</v>
      </c>
      <c r="C850" s="79" t="s">
        <v>205</v>
      </c>
      <c r="D850" s="73" t="s">
        <v>102</v>
      </c>
      <c r="E850" s="73" t="s">
        <v>161</v>
      </c>
      <c r="F850" s="74">
        <v>116975</v>
      </c>
      <c r="G850" s="80">
        <v>0.116975</v>
      </c>
      <c r="H850" s="81" t="s">
        <v>94</v>
      </c>
      <c r="I850" s="81" t="s">
        <v>372</v>
      </c>
      <c r="J850" s="82" t="s">
        <v>373</v>
      </c>
    </row>
    <row r="851" spans="2:10" x14ac:dyDescent="0.3">
      <c r="B851" s="70" t="s">
        <v>371</v>
      </c>
      <c r="C851" s="70" t="s">
        <v>205</v>
      </c>
      <c r="D851" s="71" t="s">
        <v>96</v>
      </c>
      <c r="E851" s="71" t="s">
        <v>161</v>
      </c>
      <c r="F851" s="72">
        <v>578844</v>
      </c>
      <c r="G851" s="83">
        <v>0.57884400000000003</v>
      </c>
      <c r="H851" s="84" t="s">
        <v>94</v>
      </c>
      <c r="I851" s="84" t="s">
        <v>372</v>
      </c>
      <c r="J851" s="84" t="s">
        <v>373</v>
      </c>
    </row>
    <row r="852" spans="2:10" x14ac:dyDescent="0.3">
      <c r="B852" s="79" t="s">
        <v>371</v>
      </c>
      <c r="C852" s="79" t="s">
        <v>205</v>
      </c>
      <c r="D852" s="73" t="s">
        <v>96</v>
      </c>
      <c r="E852" s="73" t="s">
        <v>161</v>
      </c>
      <c r="F852" s="74">
        <v>2900</v>
      </c>
      <c r="G852" s="80">
        <v>2.8999999999999998E-3</v>
      </c>
      <c r="H852" s="81" t="s">
        <v>94</v>
      </c>
      <c r="I852" s="81" t="s">
        <v>372</v>
      </c>
      <c r="J852" s="82" t="s">
        <v>373</v>
      </c>
    </row>
    <row r="853" spans="2:10" x14ac:dyDescent="0.3">
      <c r="B853" s="70" t="s">
        <v>371</v>
      </c>
      <c r="C853" s="70" t="s">
        <v>205</v>
      </c>
      <c r="D853" s="71" t="s">
        <v>96</v>
      </c>
      <c r="E853" s="71" t="s">
        <v>161</v>
      </c>
      <c r="F853" s="72">
        <v>26892</v>
      </c>
      <c r="G853" s="83">
        <v>2.6891999999999999E-2</v>
      </c>
      <c r="H853" s="84" t="s">
        <v>94</v>
      </c>
      <c r="I853" s="84" t="s">
        <v>372</v>
      </c>
      <c r="J853" s="84" t="s">
        <v>373</v>
      </c>
    </row>
    <row r="854" spans="2:10" x14ac:dyDescent="0.3">
      <c r="B854" s="79" t="s">
        <v>371</v>
      </c>
      <c r="C854" s="79" t="s">
        <v>205</v>
      </c>
      <c r="D854" s="73" t="s">
        <v>96</v>
      </c>
      <c r="E854" s="73" t="s">
        <v>161</v>
      </c>
      <c r="F854" s="74">
        <v>7314</v>
      </c>
      <c r="G854" s="80">
        <v>7.3140000000000002E-3</v>
      </c>
      <c r="H854" s="81" t="s">
        <v>94</v>
      </c>
      <c r="I854" s="81" t="s">
        <v>372</v>
      </c>
      <c r="J854" s="82" t="s">
        <v>373</v>
      </c>
    </row>
    <row r="855" spans="2:10" x14ac:dyDescent="0.3">
      <c r="B855" s="70" t="s">
        <v>371</v>
      </c>
      <c r="C855" s="70" t="s">
        <v>205</v>
      </c>
      <c r="D855" s="71" t="s">
        <v>96</v>
      </c>
      <c r="E855" s="71" t="s">
        <v>161</v>
      </c>
      <c r="F855" s="72">
        <v>974039</v>
      </c>
      <c r="G855" s="83">
        <v>0.97403899999999999</v>
      </c>
      <c r="H855" s="84" t="s">
        <v>94</v>
      </c>
      <c r="I855" s="84" t="s">
        <v>372</v>
      </c>
      <c r="J855" s="84" t="s">
        <v>373</v>
      </c>
    </row>
    <row r="856" spans="2:10" x14ac:dyDescent="0.3">
      <c r="B856" s="79" t="s">
        <v>371</v>
      </c>
      <c r="C856" s="79" t="s">
        <v>205</v>
      </c>
      <c r="D856" s="73" t="s">
        <v>96</v>
      </c>
      <c r="E856" s="73" t="s">
        <v>161</v>
      </c>
      <c r="F856" s="74">
        <v>26892</v>
      </c>
      <c r="G856" s="80">
        <v>2.6891999999999999E-2</v>
      </c>
      <c r="H856" s="81" t="s">
        <v>94</v>
      </c>
      <c r="I856" s="81" t="s">
        <v>372</v>
      </c>
      <c r="J856" s="82" t="s">
        <v>373</v>
      </c>
    </row>
    <row r="857" spans="2:10" x14ac:dyDescent="0.3">
      <c r="B857" s="70" t="s">
        <v>371</v>
      </c>
      <c r="C857" s="70" t="s">
        <v>205</v>
      </c>
      <c r="D857" s="71" t="s">
        <v>96</v>
      </c>
      <c r="E857" s="71" t="s">
        <v>161</v>
      </c>
      <c r="F857" s="72">
        <v>7314</v>
      </c>
      <c r="G857" s="83">
        <v>7.3140000000000002E-3</v>
      </c>
      <c r="H857" s="84" t="s">
        <v>94</v>
      </c>
      <c r="I857" s="84" t="s">
        <v>372</v>
      </c>
      <c r="J857" s="84" t="s">
        <v>373</v>
      </c>
    </row>
    <row r="858" spans="2:10" x14ac:dyDescent="0.3">
      <c r="B858" s="79" t="s">
        <v>371</v>
      </c>
      <c r="C858" s="79" t="s">
        <v>205</v>
      </c>
      <c r="D858" s="73" t="s">
        <v>96</v>
      </c>
      <c r="E858" s="73" t="s">
        <v>161</v>
      </c>
      <c r="F858" s="74">
        <v>2100</v>
      </c>
      <c r="G858" s="80">
        <v>2.0999999999999999E-3</v>
      </c>
      <c r="H858" s="81" t="s">
        <v>94</v>
      </c>
      <c r="I858" s="81" t="s">
        <v>372</v>
      </c>
      <c r="J858" s="82" t="s">
        <v>373</v>
      </c>
    </row>
    <row r="859" spans="2:10" x14ac:dyDescent="0.3">
      <c r="B859" s="70" t="s">
        <v>371</v>
      </c>
      <c r="C859" s="70" t="s">
        <v>205</v>
      </c>
      <c r="D859" s="71" t="s">
        <v>96</v>
      </c>
      <c r="E859" s="71" t="s">
        <v>161</v>
      </c>
      <c r="F859" s="72">
        <v>97806</v>
      </c>
      <c r="G859" s="83">
        <v>9.7806000000000004E-2</v>
      </c>
      <c r="H859" s="84" t="s">
        <v>94</v>
      </c>
      <c r="I859" s="84" t="s">
        <v>372</v>
      </c>
      <c r="J859" s="84" t="s">
        <v>373</v>
      </c>
    </row>
    <row r="860" spans="2:10" x14ac:dyDescent="0.3">
      <c r="B860" s="79" t="s">
        <v>371</v>
      </c>
      <c r="C860" s="79" t="s">
        <v>205</v>
      </c>
      <c r="D860" s="73" t="s">
        <v>98</v>
      </c>
      <c r="E860" s="73" t="s">
        <v>161</v>
      </c>
      <c r="F860" s="74">
        <v>1393545</v>
      </c>
      <c r="G860" s="80">
        <v>1.393545</v>
      </c>
      <c r="H860" s="81" t="s">
        <v>94</v>
      </c>
      <c r="I860" s="81" t="s">
        <v>372</v>
      </c>
      <c r="J860" s="82" t="s">
        <v>373</v>
      </c>
    </row>
    <row r="861" spans="2:10" x14ac:dyDescent="0.3">
      <c r="B861" s="70" t="s">
        <v>371</v>
      </c>
      <c r="C861" s="70" t="s">
        <v>205</v>
      </c>
      <c r="D861" s="71" t="s">
        <v>96</v>
      </c>
      <c r="E861" s="71" t="s">
        <v>161</v>
      </c>
      <c r="F861" s="72">
        <v>50779</v>
      </c>
      <c r="G861" s="83">
        <v>5.0778999999999998E-2</v>
      </c>
      <c r="H861" s="84" t="s">
        <v>94</v>
      </c>
      <c r="I861" s="84" t="s">
        <v>372</v>
      </c>
      <c r="J861" s="84" t="s">
        <v>373</v>
      </c>
    </row>
    <row r="862" spans="2:10" x14ac:dyDescent="0.3">
      <c r="B862" s="79" t="s">
        <v>371</v>
      </c>
      <c r="C862" s="79" t="s">
        <v>205</v>
      </c>
      <c r="D862" s="73" t="s">
        <v>102</v>
      </c>
      <c r="E862" s="73" t="s">
        <v>161</v>
      </c>
      <c r="F862" s="74">
        <v>114145</v>
      </c>
      <c r="G862" s="80">
        <v>0.114145</v>
      </c>
      <c r="H862" s="81" t="s">
        <v>94</v>
      </c>
      <c r="I862" s="81" t="s">
        <v>372</v>
      </c>
      <c r="J862" s="82" t="s">
        <v>373</v>
      </c>
    </row>
    <row r="863" spans="2:10" x14ac:dyDescent="0.3">
      <c r="B863" s="70" t="s">
        <v>371</v>
      </c>
      <c r="C863" s="70" t="s">
        <v>205</v>
      </c>
      <c r="D863" s="71" t="s">
        <v>96</v>
      </c>
      <c r="E863" s="71" t="s">
        <v>161</v>
      </c>
      <c r="F863" s="72">
        <v>50779</v>
      </c>
      <c r="G863" s="83">
        <v>5.0778999999999998E-2</v>
      </c>
      <c r="H863" s="84" t="s">
        <v>94</v>
      </c>
      <c r="I863" s="84" t="s">
        <v>372</v>
      </c>
      <c r="J863" s="84" t="s">
        <v>373</v>
      </c>
    </row>
    <row r="864" spans="2:10" x14ac:dyDescent="0.3">
      <c r="B864" s="79" t="s">
        <v>371</v>
      </c>
      <c r="C864" s="79" t="s">
        <v>205</v>
      </c>
      <c r="D864" s="73" t="s">
        <v>96</v>
      </c>
      <c r="E864" s="73" t="s">
        <v>161</v>
      </c>
      <c r="F864" s="74">
        <v>2900</v>
      </c>
      <c r="G864" s="80">
        <v>2.8999999999999998E-3</v>
      </c>
      <c r="H864" s="81" t="s">
        <v>94</v>
      </c>
      <c r="I864" s="81" t="s">
        <v>372</v>
      </c>
      <c r="J864" s="82" t="s">
        <v>373</v>
      </c>
    </row>
    <row r="865" spans="2:10" x14ac:dyDescent="0.3">
      <c r="B865" s="70" t="s">
        <v>371</v>
      </c>
      <c r="C865" s="70" t="s">
        <v>205</v>
      </c>
      <c r="D865" s="71" t="s">
        <v>96</v>
      </c>
      <c r="E865" s="71" t="s">
        <v>161</v>
      </c>
      <c r="F865" s="72">
        <v>2100</v>
      </c>
      <c r="G865" s="83">
        <v>2.0999999999999999E-3</v>
      </c>
      <c r="H865" s="84" t="s">
        <v>94</v>
      </c>
      <c r="I865" s="84" t="s">
        <v>372</v>
      </c>
      <c r="J865" s="84" t="s">
        <v>373</v>
      </c>
    </row>
    <row r="866" spans="2:10" x14ac:dyDescent="0.3">
      <c r="B866" s="79" t="s">
        <v>371</v>
      </c>
      <c r="C866" s="79" t="s">
        <v>205</v>
      </c>
      <c r="D866" s="73" t="s">
        <v>96</v>
      </c>
      <c r="E866" s="73" t="s">
        <v>161</v>
      </c>
      <c r="F866" s="74">
        <v>5800</v>
      </c>
      <c r="G866" s="80">
        <v>5.7999999999999996E-3</v>
      </c>
      <c r="H866" s="81" t="s">
        <v>94</v>
      </c>
      <c r="I866" s="81" t="s">
        <v>372</v>
      </c>
      <c r="J866" s="82" t="s">
        <v>373</v>
      </c>
    </row>
    <row r="867" spans="2:10" x14ac:dyDescent="0.3">
      <c r="B867" s="70" t="s">
        <v>371</v>
      </c>
      <c r="C867" s="70" t="s">
        <v>205</v>
      </c>
      <c r="D867" s="71" t="s">
        <v>96</v>
      </c>
      <c r="E867" s="71" t="s">
        <v>161</v>
      </c>
      <c r="F867" s="72">
        <v>166418</v>
      </c>
      <c r="G867" s="83">
        <v>0.16641800000000001</v>
      </c>
      <c r="H867" s="84" t="s">
        <v>94</v>
      </c>
      <c r="I867" s="84" t="s">
        <v>372</v>
      </c>
      <c r="J867" s="84" t="s">
        <v>373</v>
      </c>
    </row>
    <row r="868" spans="2:10" x14ac:dyDescent="0.3">
      <c r="B868" s="79" t="s">
        <v>371</v>
      </c>
      <c r="C868" s="79" t="s">
        <v>205</v>
      </c>
      <c r="D868" s="73" t="s">
        <v>96</v>
      </c>
      <c r="E868" s="73" t="s">
        <v>161</v>
      </c>
      <c r="F868" s="74">
        <v>20294</v>
      </c>
      <c r="G868" s="80">
        <v>2.0294E-2</v>
      </c>
      <c r="H868" s="81" t="s">
        <v>94</v>
      </c>
      <c r="I868" s="81" t="s">
        <v>372</v>
      </c>
      <c r="J868" s="82" t="s">
        <v>373</v>
      </c>
    </row>
    <row r="869" spans="2:10" x14ac:dyDescent="0.3">
      <c r="B869" s="70" t="s">
        <v>371</v>
      </c>
      <c r="C869" s="70" t="s">
        <v>205</v>
      </c>
      <c r="D869" s="71" t="s">
        <v>102</v>
      </c>
      <c r="E869" s="71" t="s">
        <v>161</v>
      </c>
      <c r="F869" s="72">
        <v>116997</v>
      </c>
      <c r="G869" s="83">
        <v>0.116997</v>
      </c>
      <c r="H869" s="84" t="s">
        <v>94</v>
      </c>
      <c r="I869" s="84" t="s">
        <v>372</v>
      </c>
      <c r="J869" s="84" t="s">
        <v>373</v>
      </c>
    </row>
    <row r="870" spans="2:10" x14ac:dyDescent="0.3">
      <c r="B870" s="79" t="s">
        <v>371</v>
      </c>
      <c r="C870" s="79" t="s">
        <v>205</v>
      </c>
      <c r="D870" s="73" t="s">
        <v>96</v>
      </c>
      <c r="E870" s="73" t="s">
        <v>161</v>
      </c>
      <c r="F870" s="74">
        <v>2500</v>
      </c>
      <c r="G870" s="80">
        <v>2.5000000000000001E-3</v>
      </c>
      <c r="H870" s="81" t="s">
        <v>94</v>
      </c>
      <c r="I870" s="81" t="s">
        <v>372</v>
      </c>
      <c r="J870" s="82" t="s">
        <v>373</v>
      </c>
    </row>
    <row r="871" spans="2:10" x14ac:dyDescent="0.3">
      <c r="B871" s="70" t="s">
        <v>371</v>
      </c>
      <c r="C871" s="70" t="s">
        <v>205</v>
      </c>
      <c r="D871" s="71" t="s">
        <v>103</v>
      </c>
      <c r="E871" s="71" t="s">
        <v>161</v>
      </c>
      <c r="F871" s="72">
        <v>1000000</v>
      </c>
      <c r="G871" s="83">
        <v>1</v>
      </c>
      <c r="H871" s="84" t="s">
        <v>94</v>
      </c>
      <c r="I871" s="84" t="s">
        <v>372</v>
      </c>
      <c r="J871" s="84" t="s">
        <v>373</v>
      </c>
    </row>
    <row r="872" spans="2:10" x14ac:dyDescent="0.3">
      <c r="B872" s="79" t="s">
        <v>371</v>
      </c>
      <c r="C872" s="79" t="s">
        <v>205</v>
      </c>
      <c r="D872" s="73" t="s">
        <v>102</v>
      </c>
      <c r="E872" s="73" t="s">
        <v>161</v>
      </c>
      <c r="F872" s="74">
        <v>226274</v>
      </c>
      <c r="G872" s="80">
        <v>0.226274</v>
      </c>
      <c r="H872" s="81" t="s">
        <v>94</v>
      </c>
      <c r="I872" s="81" t="s">
        <v>372</v>
      </c>
      <c r="J872" s="82" t="s">
        <v>373</v>
      </c>
    </row>
    <row r="873" spans="2:10" x14ac:dyDescent="0.3">
      <c r="B873" s="70" t="s">
        <v>371</v>
      </c>
      <c r="C873" s="70" t="s">
        <v>205</v>
      </c>
      <c r="D873" s="71" t="s">
        <v>103</v>
      </c>
      <c r="E873" s="71" t="s">
        <v>161</v>
      </c>
      <c r="F873" s="72">
        <v>102038</v>
      </c>
      <c r="G873" s="83">
        <v>0.102038</v>
      </c>
      <c r="H873" s="84" t="s">
        <v>94</v>
      </c>
      <c r="I873" s="84" t="s">
        <v>372</v>
      </c>
      <c r="J873" s="84" t="s">
        <v>373</v>
      </c>
    </row>
    <row r="874" spans="2:10" x14ac:dyDescent="0.3">
      <c r="B874" s="79" t="s">
        <v>371</v>
      </c>
      <c r="C874" s="79" t="s">
        <v>205</v>
      </c>
      <c r="D874" s="73" t="s">
        <v>96</v>
      </c>
      <c r="E874" s="73" t="s">
        <v>161</v>
      </c>
      <c r="F874" s="74">
        <v>2100</v>
      </c>
      <c r="G874" s="80">
        <v>2.0999999999999999E-3</v>
      </c>
      <c r="H874" s="81" t="s">
        <v>94</v>
      </c>
      <c r="I874" s="81" t="s">
        <v>372</v>
      </c>
      <c r="J874" s="82" t="s">
        <v>373</v>
      </c>
    </row>
    <row r="875" spans="2:10" x14ac:dyDescent="0.3">
      <c r="B875" s="70" t="s">
        <v>371</v>
      </c>
      <c r="C875" s="70" t="s">
        <v>205</v>
      </c>
      <c r="D875" s="71" t="s">
        <v>98</v>
      </c>
      <c r="E875" s="71" t="s">
        <v>161</v>
      </c>
      <c r="F875" s="72">
        <v>500000</v>
      </c>
      <c r="G875" s="83">
        <v>0.5</v>
      </c>
      <c r="H875" s="84" t="s">
        <v>94</v>
      </c>
      <c r="I875" s="84" t="s">
        <v>372</v>
      </c>
      <c r="J875" s="84" t="s">
        <v>373</v>
      </c>
    </row>
    <row r="876" spans="2:10" x14ac:dyDescent="0.3">
      <c r="B876" s="79" t="s">
        <v>371</v>
      </c>
      <c r="C876" s="79" t="s">
        <v>205</v>
      </c>
      <c r="D876" s="73" t="s">
        <v>96</v>
      </c>
      <c r="E876" s="73" t="s">
        <v>161</v>
      </c>
      <c r="F876" s="74">
        <v>2100</v>
      </c>
      <c r="G876" s="80">
        <v>2.0999999999999999E-3</v>
      </c>
      <c r="H876" s="81" t="s">
        <v>94</v>
      </c>
      <c r="I876" s="81" t="s">
        <v>372</v>
      </c>
      <c r="J876" s="82" t="s">
        <v>373</v>
      </c>
    </row>
    <row r="877" spans="2:10" x14ac:dyDescent="0.3">
      <c r="B877" s="70" t="s">
        <v>371</v>
      </c>
      <c r="C877" s="70" t="s">
        <v>205</v>
      </c>
      <c r="D877" s="71" t="s">
        <v>102</v>
      </c>
      <c r="E877" s="71" t="s">
        <v>161</v>
      </c>
      <c r="F877" s="72">
        <v>496470</v>
      </c>
      <c r="G877" s="83">
        <v>0.49647000000000002</v>
      </c>
      <c r="H877" s="84" t="s">
        <v>94</v>
      </c>
      <c r="I877" s="84" t="s">
        <v>372</v>
      </c>
      <c r="J877" s="84" t="s">
        <v>373</v>
      </c>
    </row>
    <row r="878" spans="2:10" x14ac:dyDescent="0.3">
      <c r="B878" s="79" t="s">
        <v>371</v>
      </c>
      <c r="C878" s="79" t="s">
        <v>205</v>
      </c>
      <c r="D878" s="73" t="s">
        <v>96</v>
      </c>
      <c r="E878" s="73" t="s">
        <v>161</v>
      </c>
      <c r="F878" s="74">
        <v>2900</v>
      </c>
      <c r="G878" s="80">
        <v>2.8999999999999998E-3</v>
      </c>
      <c r="H878" s="81" t="s">
        <v>94</v>
      </c>
      <c r="I878" s="81" t="s">
        <v>372</v>
      </c>
      <c r="J878" s="82" t="s">
        <v>373</v>
      </c>
    </row>
    <row r="879" spans="2:10" x14ac:dyDescent="0.3">
      <c r="B879" s="70" t="s">
        <v>371</v>
      </c>
      <c r="C879" s="70" t="s">
        <v>205</v>
      </c>
      <c r="D879" s="71" t="s">
        <v>98</v>
      </c>
      <c r="E879" s="71" t="s">
        <v>161</v>
      </c>
      <c r="F879" s="72">
        <v>1166703</v>
      </c>
      <c r="G879" s="83">
        <v>1.166703</v>
      </c>
      <c r="H879" s="84" t="s">
        <v>94</v>
      </c>
      <c r="I879" s="84" t="s">
        <v>372</v>
      </c>
      <c r="J879" s="84" t="s">
        <v>373</v>
      </c>
    </row>
    <row r="880" spans="2:10" x14ac:dyDescent="0.3">
      <c r="B880" s="79" t="s">
        <v>371</v>
      </c>
      <c r="C880" s="79" t="s">
        <v>205</v>
      </c>
      <c r="D880" s="73" t="s">
        <v>98</v>
      </c>
      <c r="E880" s="73" t="s">
        <v>161</v>
      </c>
      <c r="F880" s="74">
        <v>1000000</v>
      </c>
      <c r="G880" s="80">
        <v>1</v>
      </c>
      <c r="H880" s="81" t="s">
        <v>94</v>
      </c>
      <c r="I880" s="81" t="s">
        <v>372</v>
      </c>
      <c r="J880" s="82" t="s">
        <v>373</v>
      </c>
    </row>
    <row r="881" spans="2:10" x14ac:dyDescent="0.3">
      <c r="B881" s="70" t="s">
        <v>371</v>
      </c>
      <c r="C881" s="70" t="s">
        <v>230</v>
      </c>
      <c r="D881" s="71" t="s">
        <v>130</v>
      </c>
      <c r="E881" s="71" t="s">
        <v>161</v>
      </c>
      <c r="F881" s="72">
        <v>50000</v>
      </c>
      <c r="G881" s="83">
        <v>0.05</v>
      </c>
      <c r="H881" s="84" t="s">
        <v>94</v>
      </c>
      <c r="I881" s="84" t="s">
        <v>372</v>
      </c>
      <c r="J881" s="84" t="s">
        <v>373</v>
      </c>
    </row>
    <row r="882" spans="2:10" x14ac:dyDescent="0.3">
      <c r="B882" s="79" t="s">
        <v>371</v>
      </c>
      <c r="C882" s="79" t="s">
        <v>230</v>
      </c>
      <c r="D882" s="73" t="s">
        <v>107</v>
      </c>
      <c r="E882" s="73" t="s">
        <v>161</v>
      </c>
      <c r="F882" s="74">
        <v>222982</v>
      </c>
      <c r="G882" s="80">
        <v>0.22298200000000001</v>
      </c>
      <c r="H882" s="81" t="s">
        <v>94</v>
      </c>
      <c r="I882" s="81" t="s">
        <v>372</v>
      </c>
      <c r="J882" s="82" t="s">
        <v>373</v>
      </c>
    </row>
    <row r="883" spans="2:10" x14ac:dyDescent="0.3">
      <c r="B883" s="70" t="s">
        <v>371</v>
      </c>
      <c r="C883" s="70" t="s">
        <v>230</v>
      </c>
      <c r="D883" s="71" t="s">
        <v>102</v>
      </c>
      <c r="E883" s="71" t="s">
        <v>161</v>
      </c>
      <c r="F883" s="72">
        <v>1058277</v>
      </c>
      <c r="G883" s="83">
        <v>1.0582769999999999</v>
      </c>
      <c r="H883" s="84" t="s">
        <v>94</v>
      </c>
      <c r="I883" s="84" t="s">
        <v>372</v>
      </c>
      <c r="J883" s="84" t="s">
        <v>373</v>
      </c>
    </row>
    <row r="884" spans="2:10" x14ac:dyDescent="0.3">
      <c r="B884" s="79" t="s">
        <v>371</v>
      </c>
      <c r="C884" s="79" t="s">
        <v>196</v>
      </c>
      <c r="D884" s="73" t="s">
        <v>102</v>
      </c>
      <c r="E884" s="73" t="s">
        <v>161</v>
      </c>
      <c r="F884" s="74">
        <v>391974</v>
      </c>
      <c r="G884" s="80">
        <v>0.39197399999999999</v>
      </c>
      <c r="H884" s="81" t="s">
        <v>94</v>
      </c>
      <c r="I884" s="81" t="s">
        <v>372</v>
      </c>
      <c r="J884" s="82" t="s">
        <v>373</v>
      </c>
    </row>
    <row r="885" spans="2:10" x14ac:dyDescent="0.3">
      <c r="B885" s="70" t="s">
        <v>371</v>
      </c>
      <c r="C885" s="70" t="s">
        <v>196</v>
      </c>
      <c r="D885" s="71" t="s">
        <v>96</v>
      </c>
      <c r="E885" s="71" t="s">
        <v>161</v>
      </c>
      <c r="F885" s="72">
        <v>25600</v>
      </c>
      <c r="G885" s="83">
        <v>2.5600000000000001E-2</v>
      </c>
      <c r="H885" s="84" t="s">
        <v>94</v>
      </c>
      <c r="I885" s="84" t="s">
        <v>372</v>
      </c>
      <c r="J885" s="84" t="s">
        <v>373</v>
      </c>
    </row>
    <row r="886" spans="2:10" x14ac:dyDescent="0.3">
      <c r="B886" s="79" t="s">
        <v>371</v>
      </c>
      <c r="C886" s="79" t="s">
        <v>196</v>
      </c>
      <c r="D886" s="73" t="s">
        <v>96</v>
      </c>
      <c r="E886" s="73" t="s">
        <v>161</v>
      </c>
      <c r="F886" s="74">
        <v>2221069</v>
      </c>
      <c r="G886" s="80">
        <v>2.221069</v>
      </c>
      <c r="H886" s="81" t="s">
        <v>94</v>
      </c>
      <c r="I886" s="81" t="s">
        <v>372</v>
      </c>
      <c r="J886" s="82" t="s">
        <v>373</v>
      </c>
    </row>
    <row r="887" spans="2:10" x14ac:dyDescent="0.3">
      <c r="B887" s="70" t="s">
        <v>371</v>
      </c>
      <c r="C887" s="70" t="s">
        <v>196</v>
      </c>
      <c r="D887" s="71" t="s">
        <v>96</v>
      </c>
      <c r="E887" s="71" t="s">
        <v>161</v>
      </c>
      <c r="F887" s="72">
        <v>2141654</v>
      </c>
      <c r="G887" s="83">
        <v>2.1416539999999999</v>
      </c>
      <c r="H887" s="84" t="s">
        <v>94</v>
      </c>
      <c r="I887" s="84" t="s">
        <v>372</v>
      </c>
      <c r="J887" s="84" t="s">
        <v>373</v>
      </c>
    </row>
    <row r="888" spans="2:10" x14ac:dyDescent="0.3">
      <c r="B888" s="79" t="s">
        <v>371</v>
      </c>
      <c r="C888" s="79" t="s">
        <v>196</v>
      </c>
      <c r="D888" s="73" t="s">
        <v>102</v>
      </c>
      <c r="E888" s="73" t="s">
        <v>161</v>
      </c>
      <c r="F888" s="74">
        <v>388844</v>
      </c>
      <c r="G888" s="80">
        <v>0.38884400000000002</v>
      </c>
      <c r="H888" s="81" t="s">
        <v>94</v>
      </c>
      <c r="I888" s="81" t="s">
        <v>372</v>
      </c>
      <c r="J888" s="82" t="s">
        <v>373</v>
      </c>
    </row>
    <row r="889" spans="2:10" x14ac:dyDescent="0.3">
      <c r="B889" s="70" t="s">
        <v>371</v>
      </c>
      <c r="C889" s="70" t="s">
        <v>196</v>
      </c>
      <c r="D889" s="71" t="s">
        <v>102</v>
      </c>
      <c r="E889" s="71" t="s">
        <v>161</v>
      </c>
      <c r="F889" s="72">
        <v>468764</v>
      </c>
      <c r="G889" s="83">
        <v>0.46876400000000001</v>
      </c>
      <c r="H889" s="84" t="s">
        <v>94</v>
      </c>
      <c r="I889" s="84" t="s">
        <v>372</v>
      </c>
      <c r="J889" s="84" t="s">
        <v>373</v>
      </c>
    </row>
    <row r="890" spans="2:10" x14ac:dyDescent="0.3">
      <c r="B890" s="79" t="s">
        <v>371</v>
      </c>
      <c r="C890" s="79" t="s">
        <v>196</v>
      </c>
      <c r="D890" s="73" t="s">
        <v>96</v>
      </c>
      <c r="E890" s="73" t="s">
        <v>161</v>
      </c>
      <c r="F890" s="74">
        <v>399479</v>
      </c>
      <c r="G890" s="80">
        <v>0.39947899999999997</v>
      </c>
      <c r="H890" s="81" t="s">
        <v>94</v>
      </c>
      <c r="I890" s="81" t="s">
        <v>372</v>
      </c>
      <c r="J890" s="82" t="s">
        <v>373</v>
      </c>
    </row>
    <row r="891" spans="2:10" x14ac:dyDescent="0.3">
      <c r="B891" s="70" t="s">
        <v>371</v>
      </c>
      <c r="C891" s="70" t="s">
        <v>196</v>
      </c>
      <c r="D891" s="71" t="s">
        <v>102</v>
      </c>
      <c r="E891" s="71" t="s">
        <v>161</v>
      </c>
      <c r="F891" s="72">
        <v>275395</v>
      </c>
      <c r="G891" s="83">
        <v>0.275395</v>
      </c>
      <c r="H891" s="84" t="s">
        <v>94</v>
      </c>
      <c r="I891" s="84" t="s">
        <v>372</v>
      </c>
      <c r="J891" s="84" t="s">
        <v>373</v>
      </c>
    </row>
    <row r="892" spans="2:10" x14ac:dyDescent="0.3">
      <c r="B892" s="79" t="s">
        <v>371</v>
      </c>
      <c r="C892" s="79" t="s">
        <v>196</v>
      </c>
      <c r="D892" s="73" t="s">
        <v>96</v>
      </c>
      <c r="E892" s="73" t="s">
        <v>161</v>
      </c>
      <c r="F892" s="74">
        <v>1768083</v>
      </c>
      <c r="G892" s="80">
        <v>1.7680830000000001</v>
      </c>
      <c r="H892" s="81" t="s">
        <v>94</v>
      </c>
      <c r="I892" s="81" t="s">
        <v>372</v>
      </c>
      <c r="J892" s="82" t="s">
        <v>373</v>
      </c>
    </row>
    <row r="893" spans="2:10" x14ac:dyDescent="0.3">
      <c r="B893" s="70" t="s">
        <v>371</v>
      </c>
      <c r="C893" s="70" t="s">
        <v>196</v>
      </c>
      <c r="D893" s="71" t="s">
        <v>102</v>
      </c>
      <c r="E893" s="71" t="s">
        <v>161</v>
      </c>
      <c r="F893" s="72">
        <v>356316</v>
      </c>
      <c r="G893" s="83">
        <v>0.35631600000000002</v>
      </c>
      <c r="H893" s="84" t="s">
        <v>94</v>
      </c>
      <c r="I893" s="84" t="s">
        <v>372</v>
      </c>
      <c r="J893" s="84" t="s">
        <v>373</v>
      </c>
    </row>
    <row r="894" spans="2:10" x14ac:dyDescent="0.3">
      <c r="B894" s="79" t="s">
        <v>371</v>
      </c>
      <c r="C894" s="79" t="s">
        <v>196</v>
      </c>
      <c r="D894" s="73" t="s">
        <v>96</v>
      </c>
      <c r="E894" s="73" t="s">
        <v>161</v>
      </c>
      <c r="F894" s="74">
        <v>28000</v>
      </c>
      <c r="G894" s="80">
        <v>2.8000000000000001E-2</v>
      </c>
      <c r="H894" s="81" t="s">
        <v>94</v>
      </c>
      <c r="I894" s="81" t="s">
        <v>372</v>
      </c>
      <c r="J894" s="82" t="s">
        <v>373</v>
      </c>
    </row>
    <row r="895" spans="2:10" x14ac:dyDescent="0.3">
      <c r="B895" s="70" t="s">
        <v>371</v>
      </c>
      <c r="C895" s="70" t="s">
        <v>196</v>
      </c>
      <c r="D895" s="71" t="s">
        <v>96</v>
      </c>
      <c r="E895" s="71" t="s">
        <v>161</v>
      </c>
      <c r="F895" s="72">
        <v>2099754</v>
      </c>
      <c r="G895" s="83">
        <v>2.0997539999999999</v>
      </c>
      <c r="H895" s="84" t="s">
        <v>94</v>
      </c>
      <c r="I895" s="84" t="s">
        <v>372</v>
      </c>
      <c r="J895" s="84" t="s">
        <v>373</v>
      </c>
    </row>
    <row r="896" spans="2:10" x14ac:dyDescent="0.3">
      <c r="B896" s="79" t="s">
        <v>371</v>
      </c>
      <c r="C896" s="79" t="s">
        <v>196</v>
      </c>
      <c r="D896" s="73" t="s">
        <v>96</v>
      </c>
      <c r="E896" s="73" t="s">
        <v>161</v>
      </c>
      <c r="F896" s="74">
        <v>25400</v>
      </c>
      <c r="G896" s="80">
        <v>2.5399999999999999E-2</v>
      </c>
      <c r="H896" s="81" t="s">
        <v>94</v>
      </c>
      <c r="I896" s="81" t="s">
        <v>372</v>
      </c>
      <c r="J896" s="82" t="s">
        <v>373</v>
      </c>
    </row>
    <row r="897" spans="2:10" x14ac:dyDescent="0.3">
      <c r="B897" s="70" t="s">
        <v>371</v>
      </c>
      <c r="C897" s="70" t="s">
        <v>196</v>
      </c>
      <c r="D897" s="71" t="s">
        <v>96</v>
      </c>
      <c r="E897" s="71" t="s">
        <v>161</v>
      </c>
      <c r="F897" s="72">
        <v>326310</v>
      </c>
      <c r="G897" s="83">
        <v>0.32630999999999999</v>
      </c>
      <c r="H897" s="84" t="s">
        <v>94</v>
      </c>
      <c r="I897" s="84" t="s">
        <v>372</v>
      </c>
      <c r="J897" s="84" t="s">
        <v>373</v>
      </c>
    </row>
    <row r="898" spans="2:10" x14ac:dyDescent="0.3">
      <c r="B898" s="79" t="s">
        <v>371</v>
      </c>
      <c r="C898" s="79" t="s">
        <v>196</v>
      </c>
      <c r="D898" s="73" t="s">
        <v>102</v>
      </c>
      <c r="E898" s="73" t="s">
        <v>161</v>
      </c>
      <c r="F898" s="74">
        <v>395982</v>
      </c>
      <c r="G898" s="80">
        <v>0.395982</v>
      </c>
      <c r="H898" s="81" t="s">
        <v>94</v>
      </c>
      <c r="I898" s="81" t="s">
        <v>372</v>
      </c>
      <c r="J898" s="82" t="s">
        <v>373</v>
      </c>
    </row>
    <row r="899" spans="2:10" x14ac:dyDescent="0.3">
      <c r="B899" s="70" t="s">
        <v>371</v>
      </c>
      <c r="C899" s="70" t="s">
        <v>196</v>
      </c>
      <c r="D899" s="71" t="s">
        <v>96</v>
      </c>
      <c r="E899" s="71" t="s">
        <v>161</v>
      </c>
      <c r="F899" s="72">
        <v>355317</v>
      </c>
      <c r="G899" s="83">
        <v>0.35531699999999999</v>
      </c>
      <c r="H899" s="84" t="s">
        <v>94</v>
      </c>
      <c r="I899" s="84" t="s">
        <v>372</v>
      </c>
      <c r="J899" s="84" t="s">
        <v>373</v>
      </c>
    </row>
    <row r="900" spans="2:10" x14ac:dyDescent="0.3">
      <c r="B900" s="79" t="s">
        <v>371</v>
      </c>
      <c r="C900" s="79" t="s">
        <v>196</v>
      </c>
      <c r="D900" s="73" t="s">
        <v>96</v>
      </c>
      <c r="E900" s="73" t="s">
        <v>161</v>
      </c>
      <c r="F900" s="74">
        <v>1183</v>
      </c>
      <c r="G900" s="80">
        <v>1.183E-3</v>
      </c>
      <c r="H900" s="81" t="s">
        <v>94</v>
      </c>
      <c r="I900" s="81" t="s">
        <v>372</v>
      </c>
      <c r="J900" s="82" t="s">
        <v>373</v>
      </c>
    </row>
    <row r="901" spans="2:10" x14ac:dyDescent="0.3">
      <c r="B901" s="70" t="s">
        <v>371</v>
      </c>
      <c r="C901" s="70" t="s">
        <v>196</v>
      </c>
      <c r="D901" s="71" t="s">
        <v>102</v>
      </c>
      <c r="E901" s="71" t="s">
        <v>161</v>
      </c>
      <c r="F901" s="72">
        <v>269605</v>
      </c>
      <c r="G901" s="83">
        <v>0.26960499999999998</v>
      </c>
      <c r="H901" s="84" t="s">
        <v>94</v>
      </c>
      <c r="I901" s="84" t="s">
        <v>372</v>
      </c>
      <c r="J901" s="84" t="s">
        <v>373</v>
      </c>
    </row>
    <row r="902" spans="2:10" x14ac:dyDescent="0.3">
      <c r="B902" s="79" t="s">
        <v>371</v>
      </c>
      <c r="C902" s="79" t="s">
        <v>196</v>
      </c>
      <c r="D902" s="73" t="s">
        <v>96</v>
      </c>
      <c r="E902" s="73" t="s">
        <v>161</v>
      </c>
      <c r="F902" s="74">
        <v>364478</v>
      </c>
      <c r="G902" s="80">
        <v>0.36447800000000002</v>
      </c>
      <c r="H902" s="81" t="s">
        <v>94</v>
      </c>
      <c r="I902" s="81" t="s">
        <v>372</v>
      </c>
      <c r="J902" s="82" t="s">
        <v>373</v>
      </c>
    </row>
    <row r="903" spans="2:10" x14ac:dyDescent="0.3">
      <c r="B903" s="70" t="s">
        <v>371</v>
      </c>
      <c r="C903" s="70" t="s">
        <v>196</v>
      </c>
      <c r="D903" s="71" t="s">
        <v>96</v>
      </c>
      <c r="E903" s="71" t="s">
        <v>161</v>
      </c>
      <c r="F903" s="72">
        <v>2033804</v>
      </c>
      <c r="G903" s="83">
        <v>2.0338039999999999</v>
      </c>
      <c r="H903" s="84" t="s">
        <v>94</v>
      </c>
      <c r="I903" s="84" t="s">
        <v>372</v>
      </c>
      <c r="J903" s="84" t="s">
        <v>373</v>
      </c>
    </row>
    <row r="904" spans="2:10" x14ac:dyDescent="0.3">
      <c r="B904" s="79" t="s">
        <v>371</v>
      </c>
      <c r="C904" s="79" t="s">
        <v>196</v>
      </c>
      <c r="D904" s="73" t="s">
        <v>96</v>
      </c>
      <c r="E904" s="73" t="s">
        <v>161</v>
      </c>
      <c r="F904" s="74">
        <v>2545769</v>
      </c>
      <c r="G904" s="80">
        <v>2.5457689999999999</v>
      </c>
      <c r="H904" s="81" t="s">
        <v>94</v>
      </c>
      <c r="I904" s="81" t="s">
        <v>372</v>
      </c>
      <c r="J904" s="82" t="s">
        <v>373</v>
      </c>
    </row>
    <row r="905" spans="2:10" x14ac:dyDescent="0.3">
      <c r="B905" s="70" t="s">
        <v>371</v>
      </c>
      <c r="C905" s="70" t="s">
        <v>196</v>
      </c>
      <c r="D905" s="71" t="s">
        <v>96</v>
      </c>
      <c r="E905" s="71" t="s">
        <v>161</v>
      </c>
      <c r="F905" s="72">
        <v>25600</v>
      </c>
      <c r="G905" s="83">
        <v>2.5600000000000001E-2</v>
      </c>
      <c r="H905" s="84" t="s">
        <v>94</v>
      </c>
      <c r="I905" s="84" t="s">
        <v>372</v>
      </c>
      <c r="J905" s="84" t="s">
        <v>373</v>
      </c>
    </row>
    <row r="906" spans="2:10" x14ac:dyDescent="0.3">
      <c r="B906" s="79" t="s">
        <v>371</v>
      </c>
      <c r="C906" s="79" t="s">
        <v>196</v>
      </c>
      <c r="D906" s="73" t="s">
        <v>102</v>
      </c>
      <c r="E906" s="73" t="s">
        <v>161</v>
      </c>
      <c r="F906" s="74">
        <v>286447</v>
      </c>
      <c r="G906" s="80">
        <v>0.28644700000000001</v>
      </c>
      <c r="H906" s="81" t="s">
        <v>94</v>
      </c>
      <c r="I906" s="81" t="s">
        <v>372</v>
      </c>
      <c r="J906" s="82" t="s">
        <v>373</v>
      </c>
    </row>
    <row r="907" spans="2:10" x14ac:dyDescent="0.3">
      <c r="B907" s="70" t="s">
        <v>371</v>
      </c>
      <c r="C907" s="70" t="s">
        <v>196</v>
      </c>
      <c r="D907" s="71" t="s">
        <v>96</v>
      </c>
      <c r="E907" s="71" t="s">
        <v>161</v>
      </c>
      <c r="F907" s="72">
        <v>318612</v>
      </c>
      <c r="G907" s="83">
        <v>0.31861200000000001</v>
      </c>
      <c r="H907" s="84" t="s">
        <v>94</v>
      </c>
      <c r="I907" s="84" t="s">
        <v>372</v>
      </c>
      <c r="J907" s="84" t="s">
        <v>373</v>
      </c>
    </row>
    <row r="908" spans="2:10" x14ac:dyDescent="0.3">
      <c r="B908" s="79" t="s">
        <v>371</v>
      </c>
      <c r="C908" s="79" t="s">
        <v>196</v>
      </c>
      <c r="D908" s="73" t="s">
        <v>96</v>
      </c>
      <c r="E908" s="73" t="s">
        <v>161</v>
      </c>
      <c r="F908" s="74">
        <v>373296</v>
      </c>
      <c r="G908" s="80">
        <v>0.37329600000000002</v>
      </c>
      <c r="H908" s="81" t="s">
        <v>94</v>
      </c>
      <c r="I908" s="81" t="s">
        <v>372</v>
      </c>
      <c r="J908" s="82" t="s">
        <v>373</v>
      </c>
    </row>
    <row r="909" spans="2:10" x14ac:dyDescent="0.3">
      <c r="B909" s="70" t="s">
        <v>371</v>
      </c>
      <c r="C909" s="70" t="s">
        <v>196</v>
      </c>
      <c r="D909" s="71" t="s">
        <v>102</v>
      </c>
      <c r="E909" s="71" t="s">
        <v>161</v>
      </c>
      <c r="F909" s="72">
        <v>309605</v>
      </c>
      <c r="G909" s="83">
        <v>0.30960500000000002</v>
      </c>
      <c r="H909" s="84" t="s">
        <v>94</v>
      </c>
      <c r="I909" s="84" t="s">
        <v>372</v>
      </c>
      <c r="J909" s="84" t="s">
        <v>373</v>
      </c>
    </row>
    <row r="910" spans="2:10" x14ac:dyDescent="0.3">
      <c r="B910" s="79" t="s">
        <v>371</v>
      </c>
      <c r="C910" s="79" t="s">
        <v>196</v>
      </c>
      <c r="D910" s="73" t="s">
        <v>96</v>
      </c>
      <c r="E910" s="73" t="s">
        <v>161</v>
      </c>
      <c r="F910" s="74">
        <v>2687126</v>
      </c>
      <c r="G910" s="80">
        <v>2.6871260000000001</v>
      </c>
      <c r="H910" s="81" t="s">
        <v>94</v>
      </c>
      <c r="I910" s="81" t="s">
        <v>372</v>
      </c>
      <c r="J910" s="82" t="s">
        <v>373</v>
      </c>
    </row>
    <row r="911" spans="2:10" x14ac:dyDescent="0.3">
      <c r="B911" s="70" t="s">
        <v>371</v>
      </c>
      <c r="C911" s="70" t="s">
        <v>196</v>
      </c>
      <c r="D911" s="71" t="s">
        <v>96</v>
      </c>
      <c r="E911" s="71" t="s">
        <v>161</v>
      </c>
      <c r="F911" s="72">
        <v>364478</v>
      </c>
      <c r="G911" s="83">
        <v>0.36447800000000002</v>
      </c>
      <c r="H911" s="84" t="s">
        <v>94</v>
      </c>
      <c r="I911" s="84" t="s">
        <v>372</v>
      </c>
      <c r="J911" s="84" t="s">
        <v>373</v>
      </c>
    </row>
    <row r="912" spans="2:10" x14ac:dyDescent="0.3">
      <c r="B912" s="79" t="s">
        <v>371</v>
      </c>
      <c r="C912" s="79" t="s">
        <v>196</v>
      </c>
      <c r="D912" s="73" t="s">
        <v>96</v>
      </c>
      <c r="E912" s="73" t="s">
        <v>161</v>
      </c>
      <c r="F912" s="74">
        <v>29000</v>
      </c>
      <c r="G912" s="80">
        <v>2.9000000000000001E-2</v>
      </c>
      <c r="H912" s="81" t="s">
        <v>94</v>
      </c>
      <c r="I912" s="81" t="s">
        <v>372</v>
      </c>
      <c r="J912" s="82" t="s">
        <v>373</v>
      </c>
    </row>
    <row r="913" spans="2:10" x14ac:dyDescent="0.3">
      <c r="B913" s="70" t="s">
        <v>371</v>
      </c>
      <c r="C913" s="70" t="s">
        <v>196</v>
      </c>
      <c r="D913" s="71" t="s">
        <v>102</v>
      </c>
      <c r="E913" s="71" t="s">
        <v>161</v>
      </c>
      <c r="F913" s="72">
        <v>286447</v>
      </c>
      <c r="G913" s="83">
        <v>0.28644700000000001</v>
      </c>
      <c r="H913" s="84" t="s">
        <v>94</v>
      </c>
      <c r="I913" s="84" t="s">
        <v>372</v>
      </c>
      <c r="J913" s="84" t="s">
        <v>373</v>
      </c>
    </row>
    <row r="914" spans="2:10" x14ac:dyDescent="0.3">
      <c r="B914" s="79" t="s">
        <v>371</v>
      </c>
      <c r="C914" s="79" t="s">
        <v>196</v>
      </c>
      <c r="D914" s="73" t="s">
        <v>96</v>
      </c>
      <c r="E914" s="73" t="s">
        <v>161</v>
      </c>
      <c r="F914" s="74">
        <v>30900</v>
      </c>
      <c r="G914" s="80">
        <v>3.09E-2</v>
      </c>
      <c r="H914" s="81" t="s">
        <v>94</v>
      </c>
      <c r="I914" s="81" t="s">
        <v>372</v>
      </c>
      <c r="J914" s="82" t="s">
        <v>373</v>
      </c>
    </row>
    <row r="915" spans="2:10" x14ac:dyDescent="0.3">
      <c r="B915" s="70" t="s">
        <v>371</v>
      </c>
      <c r="C915" s="70" t="s">
        <v>196</v>
      </c>
      <c r="D915" s="71" t="s">
        <v>96</v>
      </c>
      <c r="E915" s="71" t="s">
        <v>161</v>
      </c>
      <c r="F915" s="72">
        <v>27600</v>
      </c>
      <c r="G915" s="83">
        <v>2.76E-2</v>
      </c>
      <c r="H915" s="84" t="s">
        <v>94</v>
      </c>
      <c r="I915" s="84" t="s">
        <v>372</v>
      </c>
      <c r="J915" s="84" t="s">
        <v>373</v>
      </c>
    </row>
    <row r="916" spans="2:10" x14ac:dyDescent="0.3">
      <c r="B916" s="79" t="s">
        <v>371</v>
      </c>
      <c r="C916" s="79" t="s">
        <v>196</v>
      </c>
      <c r="D916" s="73" t="s">
        <v>96</v>
      </c>
      <c r="E916" s="73" t="s">
        <v>161</v>
      </c>
      <c r="F916" s="74">
        <v>26100</v>
      </c>
      <c r="G916" s="80">
        <v>2.6100000000000002E-2</v>
      </c>
      <c r="H916" s="81" t="s">
        <v>94</v>
      </c>
      <c r="I916" s="81" t="s">
        <v>372</v>
      </c>
      <c r="J916" s="82" t="s">
        <v>373</v>
      </c>
    </row>
    <row r="917" spans="2:10" x14ac:dyDescent="0.3">
      <c r="B917" s="70" t="s">
        <v>371</v>
      </c>
      <c r="C917" s="70" t="s">
        <v>196</v>
      </c>
      <c r="D917" s="71" t="s">
        <v>96</v>
      </c>
      <c r="E917" s="71" t="s">
        <v>161</v>
      </c>
      <c r="F917" s="72">
        <v>326310</v>
      </c>
      <c r="G917" s="83">
        <v>0.32630999999999999</v>
      </c>
      <c r="H917" s="84" t="s">
        <v>94</v>
      </c>
      <c r="I917" s="84" t="s">
        <v>372</v>
      </c>
      <c r="J917" s="84" t="s">
        <v>373</v>
      </c>
    </row>
    <row r="918" spans="2:10" x14ac:dyDescent="0.3">
      <c r="B918" s="79" t="s">
        <v>371</v>
      </c>
      <c r="C918" s="79" t="s">
        <v>196</v>
      </c>
      <c r="D918" s="73" t="s">
        <v>96</v>
      </c>
      <c r="E918" s="73" t="s">
        <v>161</v>
      </c>
      <c r="F918" s="74">
        <v>86</v>
      </c>
      <c r="G918" s="80">
        <v>8.6000000000000003E-5</v>
      </c>
      <c r="H918" s="81" t="s">
        <v>94</v>
      </c>
      <c r="I918" s="81" t="s">
        <v>372</v>
      </c>
      <c r="J918" s="82" t="s">
        <v>373</v>
      </c>
    </row>
    <row r="919" spans="2:10" x14ac:dyDescent="0.3">
      <c r="B919" s="70" t="s">
        <v>371</v>
      </c>
      <c r="C919" s="70" t="s">
        <v>196</v>
      </c>
      <c r="D919" s="71" t="s">
        <v>96</v>
      </c>
      <c r="E919" s="71" t="s">
        <v>161</v>
      </c>
      <c r="F919" s="72">
        <v>26000</v>
      </c>
      <c r="G919" s="83">
        <v>2.5999999999999999E-2</v>
      </c>
      <c r="H919" s="84" t="s">
        <v>94</v>
      </c>
      <c r="I919" s="84" t="s">
        <v>372</v>
      </c>
      <c r="J919" s="84" t="s">
        <v>373</v>
      </c>
    </row>
    <row r="920" spans="2:10" x14ac:dyDescent="0.3">
      <c r="B920" s="79" t="s">
        <v>371</v>
      </c>
      <c r="C920" s="79" t="s">
        <v>196</v>
      </c>
      <c r="D920" s="73" t="s">
        <v>102</v>
      </c>
      <c r="E920" s="73" t="s">
        <v>161</v>
      </c>
      <c r="F920" s="74">
        <v>342298</v>
      </c>
      <c r="G920" s="80">
        <v>0.34229799999999999</v>
      </c>
      <c r="H920" s="81" t="s">
        <v>94</v>
      </c>
      <c r="I920" s="81" t="s">
        <v>372</v>
      </c>
      <c r="J920" s="82" t="s">
        <v>373</v>
      </c>
    </row>
    <row r="921" spans="2:10" x14ac:dyDescent="0.3">
      <c r="B921" s="70" t="s">
        <v>371</v>
      </c>
      <c r="C921" s="70" t="s">
        <v>196</v>
      </c>
      <c r="D921" s="71" t="s">
        <v>98</v>
      </c>
      <c r="E921" s="71" t="s">
        <v>161</v>
      </c>
      <c r="F921" s="72">
        <v>-5000000</v>
      </c>
      <c r="G921" s="83">
        <v>-5</v>
      </c>
      <c r="H921" s="84" t="s">
        <v>94</v>
      </c>
      <c r="I921" s="84" t="s">
        <v>372</v>
      </c>
      <c r="J921" s="84" t="s">
        <v>373</v>
      </c>
    </row>
    <row r="922" spans="2:10" x14ac:dyDescent="0.3">
      <c r="B922" s="79" t="s">
        <v>371</v>
      </c>
      <c r="C922" s="79" t="s">
        <v>196</v>
      </c>
      <c r="D922" s="73" t="s">
        <v>96</v>
      </c>
      <c r="E922" s="73" t="s">
        <v>161</v>
      </c>
      <c r="F922" s="74">
        <v>25600</v>
      </c>
      <c r="G922" s="80">
        <v>2.5600000000000001E-2</v>
      </c>
      <c r="H922" s="81" t="s">
        <v>94</v>
      </c>
      <c r="I922" s="81" t="s">
        <v>372</v>
      </c>
      <c r="J922" s="82" t="s">
        <v>373</v>
      </c>
    </row>
    <row r="923" spans="2:10" x14ac:dyDescent="0.3">
      <c r="B923" s="70" t="s">
        <v>371</v>
      </c>
      <c r="C923" s="70" t="s">
        <v>196</v>
      </c>
      <c r="D923" s="71" t="s">
        <v>96</v>
      </c>
      <c r="E923" s="71" t="s">
        <v>161</v>
      </c>
      <c r="F923" s="72">
        <v>326310</v>
      </c>
      <c r="G923" s="83">
        <v>0.32630999999999999</v>
      </c>
      <c r="H923" s="84" t="s">
        <v>94</v>
      </c>
      <c r="I923" s="84" t="s">
        <v>372</v>
      </c>
      <c r="J923" s="84" t="s">
        <v>373</v>
      </c>
    </row>
    <row r="924" spans="2:10" x14ac:dyDescent="0.3">
      <c r="B924" s="79" t="s">
        <v>371</v>
      </c>
      <c r="C924" s="79" t="s">
        <v>196</v>
      </c>
      <c r="D924" s="73" t="s">
        <v>96</v>
      </c>
      <c r="E924" s="73" t="s">
        <v>161</v>
      </c>
      <c r="F924" s="74">
        <v>26100</v>
      </c>
      <c r="G924" s="80">
        <v>2.6100000000000002E-2</v>
      </c>
      <c r="H924" s="81" t="s">
        <v>94</v>
      </c>
      <c r="I924" s="81" t="s">
        <v>372</v>
      </c>
      <c r="J924" s="82" t="s">
        <v>373</v>
      </c>
    </row>
    <row r="925" spans="2:10" x14ac:dyDescent="0.3">
      <c r="B925" s="70" t="s">
        <v>371</v>
      </c>
      <c r="C925" s="70" t="s">
        <v>196</v>
      </c>
      <c r="D925" s="71" t="s">
        <v>98</v>
      </c>
      <c r="E925" s="71" t="s">
        <v>161</v>
      </c>
      <c r="F925" s="72">
        <v>5000000</v>
      </c>
      <c r="G925" s="83">
        <v>5</v>
      </c>
      <c r="H925" s="84" t="s">
        <v>94</v>
      </c>
      <c r="I925" s="84" t="s">
        <v>372</v>
      </c>
      <c r="J925" s="84" t="s">
        <v>373</v>
      </c>
    </row>
    <row r="926" spans="2:10" x14ac:dyDescent="0.3">
      <c r="B926" s="79" t="s">
        <v>371</v>
      </c>
      <c r="C926" s="79" t="s">
        <v>196</v>
      </c>
      <c r="D926" s="73" t="s">
        <v>96</v>
      </c>
      <c r="E926" s="73" t="s">
        <v>161</v>
      </c>
      <c r="F926" s="74">
        <v>1768083</v>
      </c>
      <c r="G926" s="80">
        <v>1.7680830000000001</v>
      </c>
      <c r="H926" s="81" t="s">
        <v>94</v>
      </c>
      <c r="I926" s="81" t="s">
        <v>372</v>
      </c>
      <c r="J926" s="82" t="s">
        <v>373</v>
      </c>
    </row>
    <row r="927" spans="2:10" x14ac:dyDescent="0.3">
      <c r="B927" s="70" t="s">
        <v>371</v>
      </c>
      <c r="C927" s="70" t="s">
        <v>196</v>
      </c>
      <c r="D927" s="71" t="s">
        <v>96</v>
      </c>
      <c r="E927" s="71" t="s">
        <v>161</v>
      </c>
      <c r="F927" s="72">
        <v>1768083</v>
      </c>
      <c r="G927" s="83">
        <v>1.7680830000000001</v>
      </c>
      <c r="H927" s="84" t="s">
        <v>94</v>
      </c>
      <c r="I927" s="84" t="s">
        <v>372</v>
      </c>
      <c r="J927" s="84" t="s">
        <v>373</v>
      </c>
    </row>
    <row r="928" spans="2:10" x14ac:dyDescent="0.3">
      <c r="B928" s="79" t="s">
        <v>371</v>
      </c>
      <c r="C928" s="79" t="s">
        <v>196</v>
      </c>
      <c r="D928" s="73" t="s">
        <v>96</v>
      </c>
      <c r="E928" s="73" t="s">
        <v>161</v>
      </c>
      <c r="F928" s="74">
        <v>803598</v>
      </c>
      <c r="G928" s="80">
        <v>0.80359800000000003</v>
      </c>
      <c r="H928" s="81" t="s">
        <v>94</v>
      </c>
      <c r="I928" s="81" t="s">
        <v>372</v>
      </c>
      <c r="J928" s="82" t="s">
        <v>373</v>
      </c>
    </row>
    <row r="929" spans="2:10" x14ac:dyDescent="0.3">
      <c r="B929" s="70" t="s">
        <v>371</v>
      </c>
      <c r="C929" s="70" t="s">
        <v>196</v>
      </c>
      <c r="D929" s="71" t="s">
        <v>96</v>
      </c>
      <c r="E929" s="71" t="s">
        <v>161</v>
      </c>
      <c r="F929" s="72">
        <v>30500</v>
      </c>
      <c r="G929" s="83">
        <v>3.0499999999999999E-2</v>
      </c>
      <c r="H929" s="84" t="s">
        <v>94</v>
      </c>
      <c r="I929" s="84" t="s">
        <v>372</v>
      </c>
      <c r="J929" s="84" t="s">
        <v>373</v>
      </c>
    </row>
    <row r="930" spans="2:10" x14ac:dyDescent="0.3">
      <c r="B930" s="79" t="s">
        <v>371</v>
      </c>
      <c r="C930" s="79" t="s">
        <v>196</v>
      </c>
      <c r="D930" s="73" t="s">
        <v>96</v>
      </c>
      <c r="E930" s="73" t="s">
        <v>161</v>
      </c>
      <c r="F930" s="74">
        <v>442666</v>
      </c>
      <c r="G930" s="80">
        <v>0.442666</v>
      </c>
      <c r="H930" s="81" t="s">
        <v>94</v>
      </c>
      <c r="I930" s="81" t="s">
        <v>372</v>
      </c>
      <c r="J930" s="82" t="s">
        <v>373</v>
      </c>
    </row>
    <row r="931" spans="2:10" x14ac:dyDescent="0.3">
      <c r="B931" s="70" t="s">
        <v>371</v>
      </c>
      <c r="C931" s="70" t="s">
        <v>196</v>
      </c>
      <c r="D931" s="71" t="s">
        <v>96</v>
      </c>
      <c r="E931" s="71" t="s">
        <v>161</v>
      </c>
      <c r="F931" s="72">
        <v>411307</v>
      </c>
      <c r="G931" s="83">
        <v>0.41130699999999998</v>
      </c>
      <c r="H931" s="84" t="s">
        <v>94</v>
      </c>
      <c r="I931" s="84" t="s">
        <v>372</v>
      </c>
      <c r="J931" s="84" t="s">
        <v>373</v>
      </c>
    </row>
    <row r="932" spans="2:10" x14ac:dyDescent="0.3">
      <c r="B932" s="79" t="s">
        <v>371</v>
      </c>
      <c r="C932" s="79" t="s">
        <v>196</v>
      </c>
      <c r="D932" s="73" t="s">
        <v>98</v>
      </c>
      <c r="E932" s="73" t="s">
        <v>161</v>
      </c>
      <c r="F932" s="74">
        <v>5000000</v>
      </c>
      <c r="G932" s="80">
        <v>5</v>
      </c>
      <c r="H932" s="81" t="s">
        <v>94</v>
      </c>
      <c r="I932" s="81" t="s">
        <v>372</v>
      </c>
      <c r="J932" s="82" t="s">
        <v>373</v>
      </c>
    </row>
    <row r="933" spans="2:10" x14ac:dyDescent="0.3">
      <c r="B933" s="70" t="s">
        <v>371</v>
      </c>
      <c r="C933" s="70" t="s">
        <v>196</v>
      </c>
      <c r="D933" s="71" t="s">
        <v>96</v>
      </c>
      <c r="E933" s="71" t="s">
        <v>161</v>
      </c>
      <c r="F933" s="72">
        <v>3474885</v>
      </c>
      <c r="G933" s="83">
        <v>3.474885</v>
      </c>
      <c r="H933" s="84" t="s">
        <v>94</v>
      </c>
      <c r="I933" s="84" t="s">
        <v>372</v>
      </c>
      <c r="J933" s="84" t="s">
        <v>373</v>
      </c>
    </row>
    <row r="934" spans="2:10" x14ac:dyDescent="0.3">
      <c r="B934" s="79" t="s">
        <v>371</v>
      </c>
      <c r="C934" s="79" t="s">
        <v>196</v>
      </c>
      <c r="D934" s="73" t="s">
        <v>96</v>
      </c>
      <c r="E934" s="73" t="s">
        <v>161</v>
      </c>
      <c r="F934" s="74">
        <v>334634</v>
      </c>
      <c r="G934" s="80">
        <v>0.33463399999999999</v>
      </c>
      <c r="H934" s="81" t="s">
        <v>94</v>
      </c>
      <c r="I934" s="81" t="s">
        <v>372</v>
      </c>
      <c r="J934" s="82" t="s">
        <v>373</v>
      </c>
    </row>
    <row r="935" spans="2:10" x14ac:dyDescent="0.3">
      <c r="B935" s="70" t="s">
        <v>371</v>
      </c>
      <c r="C935" s="70" t="s">
        <v>229</v>
      </c>
      <c r="D935" s="71" t="s">
        <v>96</v>
      </c>
      <c r="E935" s="71" t="s">
        <v>161</v>
      </c>
      <c r="F935" s="72">
        <v>18312</v>
      </c>
      <c r="G935" s="83">
        <v>1.8311999999999998E-2</v>
      </c>
      <c r="H935" s="84" t="s">
        <v>94</v>
      </c>
      <c r="I935" s="84" t="s">
        <v>372</v>
      </c>
      <c r="J935" s="84" t="s">
        <v>373</v>
      </c>
    </row>
    <row r="936" spans="2:10" x14ac:dyDescent="0.3">
      <c r="B936" s="79" t="s">
        <v>371</v>
      </c>
      <c r="C936" s="79" t="s">
        <v>229</v>
      </c>
      <c r="D936" s="73" t="s">
        <v>96</v>
      </c>
      <c r="E936" s="73" t="s">
        <v>161</v>
      </c>
      <c r="F936" s="74">
        <v>14436</v>
      </c>
      <c r="G936" s="80">
        <v>1.4435999999999999E-2</v>
      </c>
      <c r="H936" s="81" t="s">
        <v>94</v>
      </c>
      <c r="I936" s="81" t="s">
        <v>372</v>
      </c>
      <c r="J936" s="82" t="s">
        <v>373</v>
      </c>
    </row>
    <row r="937" spans="2:10" x14ac:dyDescent="0.3">
      <c r="B937" s="70" t="s">
        <v>371</v>
      </c>
      <c r="C937" s="70" t="s">
        <v>229</v>
      </c>
      <c r="D937" s="71" t="s">
        <v>96</v>
      </c>
      <c r="E937" s="71" t="s">
        <v>161</v>
      </c>
      <c r="F937" s="72">
        <v>1400</v>
      </c>
      <c r="G937" s="83">
        <v>1.4E-3</v>
      </c>
      <c r="H937" s="84" t="s">
        <v>94</v>
      </c>
      <c r="I937" s="84" t="s">
        <v>372</v>
      </c>
      <c r="J937" s="84" t="s">
        <v>373</v>
      </c>
    </row>
    <row r="938" spans="2:10" x14ac:dyDescent="0.3">
      <c r="B938" s="79" t="s">
        <v>371</v>
      </c>
      <c r="C938" s="79" t="s">
        <v>229</v>
      </c>
      <c r="D938" s="73" t="s">
        <v>102</v>
      </c>
      <c r="E938" s="73" t="s">
        <v>161</v>
      </c>
      <c r="F938" s="74">
        <v>120076</v>
      </c>
      <c r="G938" s="80">
        <v>0.120076</v>
      </c>
      <c r="H938" s="81" t="s">
        <v>94</v>
      </c>
      <c r="I938" s="81" t="s">
        <v>372</v>
      </c>
      <c r="J938" s="82" t="s">
        <v>373</v>
      </c>
    </row>
    <row r="939" spans="2:10" x14ac:dyDescent="0.3">
      <c r="B939" s="70" t="s">
        <v>371</v>
      </c>
      <c r="C939" s="70" t="s">
        <v>229</v>
      </c>
      <c r="D939" s="71" t="s">
        <v>98</v>
      </c>
      <c r="E939" s="71" t="s">
        <v>161</v>
      </c>
      <c r="F939" s="72">
        <v>-500000</v>
      </c>
      <c r="G939" s="83">
        <v>-0.5</v>
      </c>
      <c r="H939" s="84" t="s">
        <v>94</v>
      </c>
      <c r="I939" s="84" t="s">
        <v>372</v>
      </c>
      <c r="J939" s="84" t="s">
        <v>373</v>
      </c>
    </row>
    <row r="940" spans="2:10" x14ac:dyDescent="0.3">
      <c r="B940" s="79" t="s">
        <v>371</v>
      </c>
      <c r="C940" s="79" t="s">
        <v>229</v>
      </c>
      <c r="D940" s="73" t="s">
        <v>96</v>
      </c>
      <c r="E940" s="73" t="s">
        <v>161</v>
      </c>
      <c r="F940" s="74">
        <v>3000</v>
      </c>
      <c r="G940" s="80">
        <v>3.0000000000000001E-3</v>
      </c>
      <c r="H940" s="81" t="s">
        <v>94</v>
      </c>
      <c r="I940" s="81" t="s">
        <v>372</v>
      </c>
      <c r="J940" s="82" t="s">
        <v>373</v>
      </c>
    </row>
    <row r="941" spans="2:10" x14ac:dyDescent="0.3">
      <c r="B941" s="70" t="s">
        <v>371</v>
      </c>
      <c r="C941" s="70" t="s">
        <v>229</v>
      </c>
      <c r="D941" s="71" t="s">
        <v>96</v>
      </c>
      <c r="E941" s="71" t="s">
        <v>161</v>
      </c>
      <c r="F941" s="72">
        <v>55367</v>
      </c>
      <c r="G941" s="83">
        <v>5.5367E-2</v>
      </c>
      <c r="H941" s="84" t="s">
        <v>94</v>
      </c>
      <c r="I941" s="84" t="s">
        <v>372</v>
      </c>
      <c r="J941" s="84" t="s">
        <v>373</v>
      </c>
    </row>
    <row r="942" spans="2:10" x14ac:dyDescent="0.3">
      <c r="B942" s="79" t="s">
        <v>371</v>
      </c>
      <c r="C942" s="79" t="s">
        <v>229</v>
      </c>
      <c r="D942" s="73" t="s">
        <v>96</v>
      </c>
      <c r="E942" s="73" t="s">
        <v>161</v>
      </c>
      <c r="F942" s="74">
        <v>17362</v>
      </c>
      <c r="G942" s="80">
        <v>1.7361999999999999E-2</v>
      </c>
      <c r="H942" s="81" t="s">
        <v>94</v>
      </c>
      <c r="I942" s="81" t="s">
        <v>372</v>
      </c>
      <c r="J942" s="82" t="s">
        <v>373</v>
      </c>
    </row>
    <row r="943" spans="2:10" x14ac:dyDescent="0.3">
      <c r="B943" s="70" t="s">
        <v>371</v>
      </c>
      <c r="C943" s="70" t="s">
        <v>229</v>
      </c>
      <c r="D943" s="71" t="s">
        <v>96</v>
      </c>
      <c r="E943" s="71" t="s">
        <v>161</v>
      </c>
      <c r="F943" s="72">
        <v>18312</v>
      </c>
      <c r="G943" s="83">
        <v>1.8311999999999998E-2</v>
      </c>
      <c r="H943" s="84" t="s">
        <v>94</v>
      </c>
      <c r="I943" s="84" t="s">
        <v>372</v>
      </c>
      <c r="J943" s="84" t="s">
        <v>373</v>
      </c>
    </row>
    <row r="944" spans="2:10" x14ac:dyDescent="0.3">
      <c r="B944" s="79" t="s">
        <v>371</v>
      </c>
      <c r="C944" s="79" t="s">
        <v>229</v>
      </c>
      <c r="D944" s="73" t="s">
        <v>96</v>
      </c>
      <c r="E944" s="73" t="s">
        <v>161</v>
      </c>
      <c r="F944" s="74">
        <v>2000</v>
      </c>
      <c r="G944" s="80">
        <v>2E-3</v>
      </c>
      <c r="H944" s="81" t="s">
        <v>94</v>
      </c>
      <c r="I944" s="81" t="s">
        <v>372</v>
      </c>
      <c r="J944" s="82" t="s">
        <v>373</v>
      </c>
    </row>
    <row r="945" spans="2:10" x14ac:dyDescent="0.3">
      <c r="B945" s="70" t="s">
        <v>371</v>
      </c>
      <c r="C945" s="70" t="s">
        <v>229</v>
      </c>
      <c r="D945" s="71" t="s">
        <v>102</v>
      </c>
      <c r="E945" s="71" t="s">
        <v>161</v>
      </c>
      <c r="F945" s="72">
        <v>92389</v>
      </c>
      <c r="G945" s="83">
        <v>9.2388999999999999E-2</v>
      </c>
      <c r="H945" s="84" t="s">
        <v>94</v>
      </c>
      <c r="I945" s="84" t="s">
        <v>372</v>
      </c>
      <c r="J945" s="84" t="s">
        <v>373</v>
      </c>
    </row>
    <row r="946" spans="2:10" x14ac:dyDescent="0.3">
      <c r="B946" s="79" t="s">
        <v>371</v>
      </c>
      <c r="C946" s="79" t="s">
        <v>229</v>
      </c>
      <c r="D946" s="73" t="s">
        <v>102</v>
      </c>
      <c r="E946" s="73" t="s">
        <v>161</v>
      </c>
      <c r="F946" s="74">
        <v>93765</v>
      </c>
      <c r="G946" s="80">
        <v>9.3765000000000001E-2</v>
      </c>
      <c r="H946" s="81" t="s">
        <v>94</v>
      </c>
      <c r="I946" s="81" t="s">
        <v>372</v>
      </c>
      <c r="J946" s="82" t="s">
        <v>373</v>
      </c>
    </row>
    <row r="947" spans="2:10" x14ac:dyDescent="0.3">
      <c r="B947" s="70" t="s">
        <v>371</v>
      </c>
      <c r="C947" s="70" t="s">
        <v>229</v>
      </c>
      <c r="D947" s="71" t="s">
        <v>96</v>
      </c>
      <c r="E947" s="71" t="s">
        <v>161</v>
      </c>
      <c r="F947" s="72">
        <v>3000</v>
      </c>
      <c r="G947" s="83">
        <v>3.0000000000000001E-3</v>
      </c>
      <c r="H947" s="84" t="s">
        <v>94</v>
      </c>
      <c r="I947" s="84" t="s">
        <v>372</v>
      </c>
      <c r="J947" s="84" t="s">
        <v>373</v>
      </c>
    </row>
    <row r="948" spans="2:10" x14ac:dyDescent="0.3">
      <c r="B948" s="79" t="s">
        <v>371</v>
      </c>
      <c r="C948" s="79" t="s">
        <v>229</v>
      </c>
      <c r="D948" s="73" t="s">
        <v>102</v>
      </c>
      <c r="E948" s="73" t="s">
        <v>161</v>
      </c>
      <c r="F948" s="74">
        <v>60978</v>
      </c>
      <c r="G948" s="80">
        <v>6.0977999999999997E-2</v>
      </c>
      <c r="H948" s="81" t="s">
        <v>94</v>
      </c>
      <c r="I948" s="81" t="s">
        <v>372</v>
      </c>
      <c r="J948" s="82" t="s">
        <v>373</v>
      </c>
    </row>
    <row r="949" spans="2:10" x14ac:dyDescent="0.3">
      <c r="B949" s="70" t="s">
        <v>371</v>
      </c>
      <c r="C949" s="70" t="s">
        <v>229</v>
      </c>
      <c r="D949" s="71" t="s">
        <v>96</v>
      </c>
      <c r="E949" s="71" t="s">
        <v>161</v>
      </c>
      <c r="F949" s="72">
        <v>62267</v>
      </c>
      <c r="G949" s="83">
        <v>6.2267000000000003E-2</v>
      </c>
      <c r="H949" s="84" t="s">
        <v>94</v>
      </c>
      <c r="I949" s="84" t="s">
        <v>372</v>
      </c>
      <c r="J949" s="84" t="s">
        <v>373</v>
      </c>
    </row>
    <row r="950" spans="2:10" x14ac:dyDescent="0.3">
      <c r="B950" s="79" t="s">
        <v>371</v>
      </c>
      <c r="C950" s="79" t="s">
        <v>229</v>
      </c>
      <c r="D950" s="73" t="s">
        <v>98</v>
      </c>
      <c r="E950" s="73" t="s">
        <v>161</v>
      </c>
      <c r="F950" s="74">
        <v>500000</v>
      </c>
      <c r="G950" s="80">
        <v>0.5</v>
      </c>
      <c r="H950" s="81" t="s">
        <v>94</v>
      </c>
      <c r="I950" s="81" t="s">
        <v>372</v>
      </c>
      <c r="J950" s="82" t="s">
        <v>373</v>
      </c>
    </row>
    <row r="951" spans="2:10" x14ac:dyDescent="0.3">
      <c r="B951" s="70" t="s">
        <v>371</v>
      </c>
      <c r="C951" s="70" t="s">
        <v>229</v>
      </c>
      <c r="D951" s="71" t="s">
        <v>96</v>
      </c>
      <c r="E951" s="71" t="s">
        <v>161</v>
      </c>
      <c r="F951" s="72">
        <v>3000</v>
      </c>
      <c r="G951" s="83">
        <v>3.0000000000000001E-3</v>
      </c>
      <c r="H951" s="84" t="s">
        <v>94</v>
      </c>
      <c r="I951" s="84" t="s">
        <v>372</v>
      </c>
      <c r="J951" s="84" t="s">
        <v>373</v>
      </c>
    </row>
    <row r="952" spans="2:10" x14ac:dyDescent="0.3">
      <c r="B952" s="79" t="s">
        <v>371</v>
      </c>
      <c r="C952" s="79" t="s">
        <v>229</v>
      </c>
      <c r="D952" s="73" t="s">
        <v>96</v>
      </c>
      <c r="E952" s="73" t="s">
        <v>161</v>
      </c>
      <c r="F952" s="74">
        <v>59267</v>
      </c>
      <c r="G952" s="80">
        <v>5.9267E-2</v>
      </c>
      <c r="H952" s="81" t="s">
        <v>94</v>
      </c>
      <c r="I952" s="81" t="s">
        <v>372</v>
      </c>
      <c r="J952" s="82" t="s">
        <v>373</v>
      </c>
    </row>
    <row r="953" spans="2:10" x14ac:dyDescent="0.3">
      <c r="B953" s="70" t="s">
        <v>371</v>
      </c>
      <c r="C953" s="70" t="s">
        <v>229</v>
      </c>
      <c r="D953" s="71" t="s">
        <v>102</v>
      </c>
      <c r="E953" s="71" t="s">
        <v>161</v>
      </c>
      <c r="F953" s="72">
        <v>57641</v>
      </c>
      <c r="G953" s="83">
        <v>5.7640999999999998E-2</v>
      </c>
      <c r="H953" s="84" t="s">
        <v>94</v>
      </c>
      <c r="I953" s="84" t="s">
        <v>372</v>
      </c>
      <c r="J953" s="84" t="s">
        <v>373</v>
      </c>
    </row>
    <row r="954" spans="2:10" x14ac:dyDescent="0.3">
      <c r="B954" s="79" t="s">
        <v>371</v>
      </c>
      <c r="C954" s="79" t="s">
        <v>229</v>
      </c>
      <c r="D954" s="73" t="s">
        <v>96</v>
      </c>
      <c r="E954" s="73" t="s">
        <v>161</v>
      </c>
      <c r="F954" s="74">
        <v>59267</v>
      </c>
      <c r="G954" s="80">
        <v>5.9267E-2</v>
      </c>
      <c r="H954" s="81" t="s">
        <v>94</v>
      </c>
      <c r="I954" s="81" t="s">
        <v>372</v>
      </c>
      <c r="J954" s="82" t="s">
        <v>373</v>
      </c>
    </row>
    <row r="955" spans="2:10" x14ac:dyDescent="0.3">
      <c r="B955" s="70" t="s">
        <v>371</v>
      </c>
      <c r="C955" s="70" t="s">
        <v>229</v>
      </c>
      <c r="D955" s="71" t="s">
        <v>96</v>
      </c>
      <c r="E955" s="71" t="s">
        <v>161</v>
      </c>
      <c r="F955" s="72">
        <v>3000</v>
      </c>
      <c r="G955" s="83">
        <v>3.0000000000000001E-3</v>
      </c>
      <c r="H955" s="84" t="s">
        <v>94</v>
      </c>
      <c r="I955" s="84" t="s">
        <v>372</v>
      </c>
      <c r="J955" s="84" t="s">
        <v>373</v>
      </c>
    </row>
    <row r="956" spans="2:10" x14ac:dyDescent="0.3">
      <c r="B956" s="79" t="s">
        <v>371</v>
      </c>
      <c r="C956" s="79" t="s">
        <v>229</v>
      </c>
      <c r="D956" s="73" t="s">
        <v>96</v>
      </c>
      <c r="E956" s="73" t="s">
        <v>161</v>
      </c>
      <c r="F956" s="74">
        <v>2500</v>
      </c>
      <c r="G956" s="80">
        <v>2.5000000000000001E-3</v>
      </c>
      <c r="H956" s="81" t="s">
        <v>94</v>
      </c>
      <c r="I956" s="81" t="s">
        <v>372</v>
      </c>
      <c r="J956" s="82" t="s">
        <v>373</v>
      </c>
    </row>
    <row r="957" spans="2:10" x14ac:dyDescent="0.3">
      <c r="B957" s="70" t="s">
        <v>371</v>
      </c>
      <c r="C957" s="70" t="s">
        <v>229</v>
      </c>
      <c r="D957" s="71" t="s">
        <v>96</v>
      </c>
      <c r="E957" s="71" t="s">
        <v>161</v>
      </c>
      <c r="F957" s="72">
        <v>16972</v>
      </c>
      <c r="G957" s="83">
        <v>1.6972000000000001E-2</v>
      </c>
      <c r="H957" s="84" t="s">
        <v>94</v>
      </c>
      <c r="I957" s="84" t="s">
        <v>372</v>
      </c>
      <c r="J957" s="84" t="s">
        <v>373</v>
      </c>
    </row>
    <row r="958" spans="2:10" x14ac:dyDescent="0.3">
      <c r="B958" s="79" t="s">
        <v>371</v>
      </c>
      <c r="C958" s="79" t="s">
        <v>229</v>
      </c>
      <c r="D958" s="73" t="s">
        <v>96</v>
      </c>
      <c r="E958" s="73" t="s">
        <v>161</v>
      </c>
      <c r="F958" s="74">
        <v>55367</v>
      </c>
      <c r="G958" s="80">
        <v>5.5367E-2</v>
      </c>
      <c r="H958" s="81" t="s">
        <v>94</v>
      </c>
      <c r="I958" s="81" t="s">
        <v>372</v>
      </c>
      <c r="J958" s="82" t="s">
        <v>373</v>
      </c>
    </row>
    <row r="959" spans="2:10" x14ac:dyDescent="0.3">
      <c r="B959" s="70" t="s">
        <v>371</v>
      </c>
      <c r="C959" s="70" t="s">
        <v>229</v>
      </c>
      <c r="D959" s="71" t="s">
        <v>96</v>
      </c>
      <c r="E959" s="71" t="s">
        <v>161</v>
      </c>
      <c r="F959" s="72">
        <v>16972</v>
      </c>
      <c r="G959" s="83">
        <v>1.6972000000000001E-2</v>
      </c>
      <c r="H959" s="84" t="s">
        <v>94</v>
      </c>
      <c r="I959" s="84" t="s">
        <v>372</v>
      </c>
      <c r="J959" s="84" t="s">
        <v>373</v>
      </c>
    </row>
    <row r="960" spans="2:10" x14ac:dyDescent="0.3">
      <c r="B960" s="79" t="s">
        <v>371</v>
      </c>
      <c r="C960" s="79" t="s">
        <v>229</v>
      </c>
      <c r="D960" s="73" t="s">
        <v>102</v>
      </c>
      <c r="E960" s="73" t="s">
        <v>161</v>
      </c>
      <c r="F960" s="74">
        <v>94750</v>
      </c>
      <c r="G960" s="80">
        <v>9.4750000000000001E-2</v>
      </c>
      <c r="H960" s="81" t="s">
        <v>94</v>
      </c>
      <c r="I960" s="81" t="s">
        <v>372</v>
      </c>
      <c r="J960" s="82" t="s">
        <v>373</v>
      </c>
    </row>
    <row r="961" spans="2:10" x14ac:dyDescent="0.3">
      <c r="B961" s="70" t="s">
        <v>371</v>
      </c>
      <c r="C961" s="70" t="s">
        <v>229</v>
      </c>
      <c r="D961" s="71" t="s">
        <v>96</v>
      </c>
      <c r="E961" s="71" t="s">
        <v>161</v>
      </c>
      <c r="F961" s="72">
        <v>5574</v>
      </c>
      <c r="G961" s="83">
        <v>5.574E-3</v>
      </c>
      <c r="H961" s="84" t="s">
        <v>94</v>
      </c>
      <c r="I961" s="84" t="s">
        <v>372</v>
      </c>
      <c r="J961" s="84" t="s">
        <v>373</v>
      </c>
    </row>
    <row r="962" spans="2:10" x14ac:dyDescent="0.3">
      <c r="B962" s="79" t="s">
        <v>371</v>
      </c>
      <c r="C962" s="79" t="s">
        <v>229</v>
      </c>
      <c r="D962" s="73" t="s">
        <v>96</v>
      </c>
      <c r="E962" s="73" t="s">
        <v>161</v>
      </c>
      <c r="F962" s="74">
        <v>59267</v>
      </c>
      <c r="G962" s="80">
        <v>5.9267E-2</v>
      </c>
      <c r="H962" s="81" t="s">
        <v>94</v>
      </c>
      <c r="I962" s="81" t="s">
        <v>372</v>
      </c>
      <c r="J962" s="82" t="s">
        <v>373</v>
      </c>
    </row>
    <row r="963" spans="2:10" x14ac:dyDescent="0.3">
      <c r="B963" s="70" t="s">
        <v>371</v>
      </c>
      <c r="C963" s="70" t="s">
        <v>229</v>
      </c>
      <c r="D963" s="71" t="s">
        <v>102</v>
      </c>
      <c r="E963" s="71" t="s">
        <v>161</v>
      </c>
      <c r="F963" s="72">
        <v>50053</v>
      </c>
      <c r="G963" s="83">
        <v>5.0053E-2</v>
      </c>
      <c r="H963" s="84" t="s">
        <v>94</v>
      </c>
      <c r="I963" s="84" t="s">
        <v>372</v>
      </c>
      <c r="J963" s="84" t="s">
        <v>373</v>
      </c>
    </row>
    <row r="964" spans="2:10" x14ac:dyDescent="0.3">
      <c r="B964" s="79" t="s">
        <v>371</v>
      </c>
      <c r="C964" s="79" t="s">
        <v>229</v>
      </c>
      <c r="D964" s="73" t="s">
        <v>96</v>
      </c>
      <c r="E964" s="73" t="s">
        <v>161</v>
      </c>
      <c r="F964" s="74">
        <v>17362</v>
      </c>
      <c r="G964" s="80">
        <v>1.7361999999999999E-2</v>
      </c>
      <c r="H964" s="81" t="s">
        <v>94</v>
      </c>
      <c r="I964" s="81" t="s">
        <v>372</v>
      </c>
      <c r="J964" s="82" t="s">
        <v>373</v>
      </c>
    </row>
    <row r="965" spans="2:10" x14ac:dyDescent="0.3">
      <c r="B965" s="70" t="s">
        <v>371</v>
      </c>
      <c r="C965" s="70" t="s">
        <v>229</v>
      </c>
      <c r="D965" s="71" t="s">
        <v>96</v>
      </c>
      <c r="E965" s="71" t="s">
        <v>161</v>
      </c>
      <c r="F965" s="72">
        <v>59267</v>
      </c>
      <c r="G965" s="83">
        <v>5.9267E-2</v>
      </c>
      <c r="H965" s="84" t="s">
        <v>94</v>
      </c>
      <c r="I965" s="84" t="s">
        <v>372</v>
      </c>
      <c r="J965" s="84" t="s">
        <v>373</v>
      </c>
    </row>
    <row r="966" spans="2:10" x14ac:dyDescent="0.3">
      <c r="B966" s="79" t="s">
        <v>371</v>
      </c>
      <c r="C966" s="79" t="s">
        <v>229</v>
      </c>
      <c r="D966" s="73" t="s">
        <v>98</v>
      </c>
      <c r="E966" s="73" t="s">
        <v>161</v>
      </c>
      <c r="F966" s="74">
        <v>500000</v>
      </c>
      <c r="G966" s="80">
        <v>0.5</v>
      </c>
      <c r="H966" s="81" t="s">
        <v>94</v>
      </c>
      <c r="I966" s="81" t="s">
        <v>372</v>
      </c>
      <c r="J966" s="82" t="s">
        <v>373</v>
      </c>
    </row>
    <row r="967" spans="2:10" x14ac:dyDescent="0.3">
      <c r="B967" s="70" t="s">
        <v>371</v>
      </c>
      <c r="C967" s="70" t="s">
        <v>229</v>
      </c>
      <c r="D967" s="71" t="s">
        <v>96</v>
      </c>
      <c r="E967" s="71" t="s">
        <v>161</v>
      </c>
      <c r="F967" s="72">
        <v>3000</v>
      </c>
      <c r="G967" s="83">
        <v>3.0000000000000001E-3</v>
      </c>
      <c r="H967" s="84" t="s">
        <v>94</v>
      </c>
      <c r="I967" s="84" t="s">
        <v>372</v>
      </c>
      <c r="J967" s="84" t="s">
        <v>373</v>
      </c>
    </row>
    <row r="968" spans="2:10" x14ac:dyDescent="0.3">
      <c r="B968" s="79" t="s">
        <v>371</v>
      </c>
      <c r="C968" s="79" t="s">
        <v>229</v>
      </c>
      <c r="D968" s="73" t="s">
        <v>102</v>
      </c>
      <c r="E968" s="73" t="s">
        <v>161</v>
      </c>
      <c r="F968" s="74">
        <v>166941</v>
      </c>
      <c r="G968" s="80">
        <v>0.16694100000000001</v>
      </c>
      <c r="H968" s="81" t="s">
        <v>94</v>
      </c>
      <c r="I968" s="81" t="s">
        <v>372</v>
      </c>
      <c r="J968" s="82" t="s">
        <v>373</v>
      </c>
    </row>
    <row r="969" spans="2:10" x14ac:dyDescent="0.3">
      <c r="B969" s="70" t="s">
        <v>371</v>
      </c>
      <c r="C969" s="70" t="s">
        <v>276</v>
      </c>
      <c r="D969" s="71" t="s">
        <v>130</v>
      </c>
      <c r="E969" s="71" t="s">
        <v>161</v>
      </c>
      <c r="F969" s="72">
        <v>18000</v>
      </c>
      <c r="G969" s="83">
        <v>1.7999999999999999E-2</v>
      </c>
      <c r="H969" s="84" t="s">
        <v>94</v>
      </c>
      <c r="I969" s="84" t="s">
        <v>372</v>
      </c>
      <c r="J969" s="84" t="s">
        <v>373</v>
      </c>
    </row>
    <row r="970" spans="2:10" x14ac:dyDescent="0.3">
      <c r="B970" s="79" t="s">
        <v>371</v>
      </c>
      <c r="C970" s="79" t="s">
        <v>276</v>
      </c>
      <c r="D970" s="73" t="s">
        <v>130</v>
      </c>
      <c r="E970" s="73" t="s">
        <v>161</v>
      </c>
      <c r="F970" s="74">
        <v>48000</v>
      </c>
      <c r="G970" s="80">
        <v>4.8000000000000001E-2</v>
      </c>
      <c r="H970" s="81" t="s">
        <v>94</v>
      </c>
      <c r="I970" s="81" t="s">
        <v>372</v>
      </c>
      <c r="J970" s="82" t="s">
        <v>373</v>
      </c>
    </row>
    <row r="971" spans="2:10" x14ac:dyDescent="0.3">
      <c r="B971" s="70" t="s">
        <v>371</v>
      </c>
      <c r="C971" s="70" t="s">
        <v>276</v>
      </c>
      <c r="D971" s="71" t="s">
        <v>130</v>
      </c>
      <c r="E971" s="71" t="s">
        <v>161</v>
      </c>
      <c r="F971" s="72">
        <v>20000</v>
      </c>
      <c r="G971" s="83">
        <v>0.02</v>
      </c>
      <c r="H971" s="84" t="s">
        <v>94</v>
      </c>
      <c r="I971" s="84" t="s">
        <v>372</v>
      </c>
      <c r="J971" s="84" t="s">
        <v>373</v>
      </c>
    </row>
    <row r="972" spans="2:10" x14ac:dyDescent="0.3">
      <c r="B972" s="79" t="s">
        <v>371</v>
      </c>
      <c r="C972" s="79" t="s">
        <v>276</v>
      </c>
      <c r="D972" s="73" t="s">
        <v>130</v>
      </c>
      <c r="E972" s="73" t="s">
        <v>161</v>
      </c>
      <c r="F972" s="74">
        <v>10000</v>
      </c>
      <c r="G972" s="80">
        <v>0.01</v>
      </c>
      <c r="H972" s="81" t="s">
        <v>94</v>
      </c>
      <c r="I972" s="81" t="s">
        <v>372</v>
      </c>
      <c r="J972" s="82" t="s">
        <v>373</v>
      </c>
    </row>
    <row r="973" spans="2:10" x14ac:dyDescent="0.3">
      <c r="B973" s="70" t="s">
        <v>371</v>
      </c>
      <c r="C973" s="70" t="s">
        <v>276</v>
      </c>
      <c r="D973" s="71" t="s">
        <v>103</v>
      </c>
      <c r="E973" s="71" t="s">
        <v>161</v>
      </c>
      <c r="F973" s="72">
        <v>200000</v>
      </c>
      <c r="G973" s="83">
        <v>0.2</v>
      </c>
      <c r="H973" s="84" t="s">
        <v>94</v>
      </c>
      <c r="I973" s="84" t="s">
        <v>372</v>
      </c>
      <c r="J973" s="84" t="s">
        <v>373</v>
      </c>
    </row>
    <row r="974" spans="2:10" x14ac:dyDescent="0.3">
      <c r="B974" s="79" t="s">
        <v>371</v>
      </c>
      <c r="C974" s="79" t="s">
        <v>200</v>
      </c>
      <c r="D974" s="73" t="s">
        <v>102</v>
      </c>
      <c r="E974" s="73" t="s">
        <v>161</v>
      </c>
      <c r="F974" s="74">
        <v>28947</v>
      </c>
      <c r="G974" s="80">
        <v>2.8947000000000001E-2</v>
      </c>
      <c r="H974" s="81" t="s">
        <v>94</v>
      </c>
      <c r="I974" s="81" t="s">
        <v>372</v>
      </c>
      <c r="J974" s="82" t="s">
        <v>373</v>
      </c>
    </row>
    <row r="975" spans="2:10" x14ac:dyDescent="0.3">
      <c r="B975" s="70" t="s">
        <v>371</v>
      </c>
      <c r="C975" s="70" t="s">
        <v>200</v>
      </c>
      <c r="D975" s="71" t="s">
        <v>96</v>
      </c>
      <c r="E975" s="71" t="s">
        <v>161</v>
      </c>
      <c r="F975" s="72">
        <v>263637</v>
      </c>
      <c r="G975" s="83">
        <v>0.26363700000000001</v>
      </c>
      <c r="H975" s="84" t="s">
        <v>94</v>
      </c>
      <c r="I975" s="84" t="s">
        <v>372</v>
      </c>
      <c r="J975" s="84" t="s">
        <v>373</v>
      </c>
    </row>
    <row r="976" spans="2:10" x14ac:dyDescent="0.3">
      <c r="B976" s="79" t="s">
        <v>371</v>
      </c>
      <c r="C976" s="79" t="s">
        <v>200</v>
      </c>
      <c r="D976" s="73" t="s">
        <v>98</v>
      </c>
      <c r="E976" s="73" t="s">
        <v>161</v>
      </c>
      <c r="F976" s="74">
        <v>-500000</v>
      </c>
      <c r="G976" s="80">
        <v>-0.5</v>
      </c>
      <c r="H976" s="81" t="s">
        <v>94</v>
      </c>
      <c r="I976" s="81" t="s">
        <v>372</v>
      </c>
      <c r="J976" s="82" t="s">
        <v>373</v>
      </c>
    </row>
    <row r="977" spans="2:10" x14ac:dyDescent="0.3">
      <c r="B977" s="70" t="s">
        <v>371</v>
      </c>
      <c r="C977" s="70" t="s">
        <v>200</v>
      </c>
      <c r="D977" s="71" t="s">
        <v>98</v>
      </c>
      <c r="E977" s="71" t="s">
        <v>161</v>
      </c>
      <c r="F977" s="72">
        <v>500000</v>
      </c>
      <c r="G977" s="83">
        <v>0.5</v>
      </c>
      <c r="H977" s="84" t="s">
        <v>94</v>
      </c>
      <c r="I977" s="84" t="s">
        <v>372</v>
      </c>
      <c r="J977" s="84" t="s">
        <v>373</v>
      </c>
    </row>
    <row r="978" spans="2:10" x14ac:dyDescent="0.3">
      <c r="B978" s="79" t="s">
        <v>371</v>
      </c>
      <c r="C978" s="79" t="s">
        <v>200</v>
      </c>
      <c r="D978" s="73" t="s">
        <v>96</v>
      </c>
      <c r="E978" s="73" t="s">
        <v>161</v>
      </c>
      <c r="F978" s="74">
        <v>32450</v>
      </c>
      <c r="G978" s="80">
        <v>3.245E-2</v>
      </c>
      <c r="H978" s="81" t="s">
        <v>94</v>
      </c>
      <c r="I978" s="81" t="s">
        <v>372</v>
      </c>
      <c r="J978" s="82" t="s">
        <v>373</v>
      </c>
    </row>
    <row r="979" spans="2:10" x14ac:dyDescent="0.3">
      <c r="B979" s="70" t="s">
        <v>371</v>
      </c>
      <c r="C979" s="70" t="s">
        <v>200</v>
      </c>
      <c r="D979" s="71" t="s">
        <v>96</v>
      </c>
      <c r="E979" s="71" t="s">
        <v>161</v>
      </c>
      <c r="F979" s="72">
        <v>230309</v>
      </c>
      <c r="G979" s="83">
        <v>0.23030900000000001</v>
      </c>
      <c r="H979" s="84" t="s">
        <v>94</v>
      </c>
      <c r="I979" s="84" t="s">
        <v>372</v>
      </c>
      <c r="J979" s="84" t="s">
        <v>373</v>
      </c>
    </row>
    <row r="980" spans="2:10" x14ac:dyDescent="0.3">
      <c r="B980" s="79" t="s">
        <v>371</v>
      </c>
      <c r="C980" s="79" t="s">
        <v>200</v>
      </c>
      <c r="D980" s="73" t="s">
        <v>96</v>
      </c>
      <c r="E980" s="73" t="s">
        <v>161</v>
      </c>
      <c r="F980" s="74">
        <v>1137835</v>
      </c>
      <c r="G980" s="80">
        <v>1.1378349999999999</v>
      </c>
      <c r="H980" s="81" t="s">
        <v>94</v>
      </c>
      <c r="I980" s="81" t="s">
        <v>372</v>
      </c>
      <c r="J980" s="82" t="s">
        <v>373</v>
      </c>
    </row>
    <row r="981" spans="2:10" x14ac:dyDescent="0.3">
      <c r="B981" s="70" t="s">
        <v>371</v>
      </c>
      <c r="C981" s="70" t="s">
        <v>200</v>
      </c>
      <c r="D981" s="71" t="s">
        <v>102</v>
      </c>
      <c r="E981" s="71" t="s">
        <v>161</v>
      </c>
      <c r="F981" s="72">
        <v>98770</v>
      </c>
      <c r="G981" s="83">
        <v>9.8769999999999997E-2</v>
      </c>
      <c r="H981" s="84" t="s">
        <v>94</v>
      </c>
      <c r="I981" s="84" t="s">
        <v>372</v>
      </c>
      <c r="J981" s="84" t="s">
        <v>373</v>
      </c>
    </row>
    <row r="982" spans="2:10" x14ac:dyDescent="0.3">
      <c r="B982" s="79" t="s">
        <v>371</v>
      </c>
      <c r="C982" s="79" t="s">
        <v>200</v>
      </c>
      <c r="D982" s="73" t="s">
        <v>96</v>
      </c>
      <c r="E982" s="73" t="s">
        <v>161</v>
      </c>
      <c r="F982" s="74">
        <v>180228</v>
      </c>
      <c r="G982" s="80">
        <v>0.180228</v>
      </c>
      <c r="H982" s="81" t="s">
        <v>94</v>
      </c>
      <c r="I982" s="81" t="s">
        <v>372</v>
      </c>
      <c r="J982" s="82" t="s">
        <v>373</v>
      </c>
    </row>
    <row r="983" spans="2:10" x14ac:dyDescent="0.3">
      <c r="B983" s="70" t="s">
        <v>371</v>
      </c>
      <c r="C983" s="70" t="s">
        <v>200</v>
      </c>
      <c r="D983" s="71" t="s">
        <v>96</v>
      </c>
      <c r="E983" s="71" t="s">
        <v>161</v>
      </c>
      <c r="F983" s="72">
        <v>168339</v>
      </c>
      <c r="G983" s="83">
        <v>0.16833899999999999</v>
      </c>
      <c r="H983" s="84" t="s">
        <v>94</v>
      </c>
      <c r="I983" s="84" t="s">
        <v>372</v>
      </c>
      <c r="J983" s="84" t="s">
        <v>373</v>
      </c>
    </row>
    <row r="984" spans="2:10" x14ac:dyDescent="0.3">
      <c r="B984" s="79" t="s">
        <v>371</v>
      </c>
      <c r="C984" s="79" t="s">
        <v>200</v>
      </c>
      <c r="D984" s="73" t="s">
        <v>96</v>
      </c>
      <c r="E984" s="73" t="s">
        <v>161</v>
      </c>
      <c r="F984" s="74">
        <v>22400</v>
      </c>
      <c r="G984" s="80">
        <v>2.24E-2</v>
      </c>
      <c r="H984" s="81" t="s">
        <v>94</v>
      </c>
      <c r="I984" s="81" t="s">
        <v>372</v>
      </c>
      <c r="J984" s="82" t="s">
        <v>373</v>
      </c>
    </row>
    <row r="985" spans="2:10" x14ac:dyDescent="0.3">
      <c r="B985" s="70" t="s">
        <v>371</v>
      </c>
      <c r="C985" s="70" t="s">
        <v>200</v>
      </c>
      <c r="D985" s="71" t="s">
        <v>96</v>
      </c>
      <c r="E985" s="71" t="s">
        <v>161</v>
      </c>
      <c r="F985" s="72">
        <v>1122485</v>
      </c>
      <c r="G985" s="83">
        <v>1.122485</v>
      </c>
      <c r="H985" s="84" t="s">
        <v>94</v>
      </c>
      <c r="I985" s="84" t="s">
        <v>372</v>
      </c>
      <c r="J985" s="84" t="s">
        <v>373</v>
      </c>
    </row>
    <row r="986" spans="2:10" x14ac:dyDescent="0.3">
      <c r="B986" s="79" t="s">
        <v>371</v>
      </c>
      <c r="C986" s="79" t="s">
        <v>200</v>
      </c>
      <c r="D986" s="73" t="s">
        <v>96</v>
      </c>
      <c r="E986" s="73" t="s">
        <v>161</v>
      </c>
      <c r="F986" s="74">
        <v>20300</v>
      </c>
      <c r="G986" s="80">
        <v>2.0299999999999999E-2</v>
      </c>
      <c r="H986" s="81" t="s">
        <v>94</v>
      </c>
      <c r="I986" s="81" t="s">
        <v>372</v>
      </c>
      <c r="J986" s="82" t="s">
        <v>373</v>
      </c>
    </row>
    <row r="987" spans="2:10" x14ac:dyDescent="0.3">
      <c r="B987" s="70" t="s">
        <v>371</v>
      </c>
      <c r="C987" s="70" t="s">
        <v>200</v>
      </c>
      <c r="D987" s="71" t="s">
        <v>96</v>
      </c>
      <c r="E987" s="71" t="s">
        <v>161</v>
      </c>
      <c r="F987" s="72">
        <v>1345066</v>
      </c>
      <c r="G987" s="83">
        <v>1.3450660000000001</v>
      </c>
      <c r="H987" s="84" t="s">
        <v>94</v>
      </c>
      <c r="I987" s="84" t="s">
        <v>372</v>
      </c>
      <c r="J987" s="84" t="s">
        <v>373</v>
      </c>
    </row>
    <row r="988" spans="2:10" x14ac:dyDescent="0.3">
      <c r="B988" s="79" t="s">
        <v>371</v>
      </c>
      <c r="C988" s="79" t="s">
        <v>200</v>
      </c>
      <c r="D988" s="73" t="s">
        <v>96</v>
      </c>
      <c r="E988" s="73" t="s">
        <v>161</v>
      </c>
      <c r="F988" s="74">
        <v>249435</v>
      </c>
      <c r="G988" s="80">
        <v>0.24943499999999999</v>
      </c>
      <c r="H988" s="81" t="s">
        <v>94</v>
      </c>
      <c r="I988" s="81" t="s">
        <v>372</v>
      </c>
      <c r="J988" s="82" t="s">
        <v>373</v>
      </c>
    </row>
    <row r="989" spans="2:10" x14ac:dyDescent="0.3">
      <c r="B989" s="70" t="s">
        <v>371</v>
      </c>
      <c r="C989" s="70" t="s">
        <v>200</v>
      </c>
      <c r="D989" s="71" t="s">
        <v>102</v>
      </c>
      <c r="E989" s="71" t="s">
        <v>161</v>
      </c>
      <c r="F989" s="72">
        <v>96533</v>
      </c>
      <c r="G989" s="83">
        <v>9.6532999999999994E-2</v>
      </c>
      <c r="H989" s="84" t="s">
        <v>94</v>
      </c>
      <c r="I989" s="84" t="s">
        <v>372</v>
      </c>
      <c r="J989" s="84" t="s">
        <v>373</v>
      </c>
    </row>
    <row r="990" spans="2:10" x14ac:dyDescent="0.3">
      <c r="B990" s="79" t="s">
        <v>371</v>
      </c>
      <c r="C990" s="79" t="s">
        <v>200</v>
      </c>
      <c r="D990" s="73" t="s">
        <v>96</v>
      </c>
      <c r="E990" s="73" t="s">
        <v>161</v>
      </c>
      <c r="F990" s="74">
        <v>1167460</v>
      </c>
      <c r="G990" s="80">
        <v>1.1674599999999999</v>
      </c>
      <c r="H990" s="81" t="s">
        <v>94</v>
      </c>
      <c r="I990" s="81" t="s">
        <v>372</v>
      </c>
      <c r="J990" s="82" t="s">
        <v>373</v>
      </c>
    </row>
    <row r="991" spans="2:10" x14ac:dyDescent="0.3">
      <c r="B991" s="70" t="s">
        <v>371</v>
      </c>
      <c r="C991" s="70" t="s">
        <v>200</v>
      </c>
      <c r="D991" s="71" t="s">
        <v>96</v>
      </c>
      <c r="E991" s="71" t="s">
        <v>161</v>
      </c>
      <c r="F991" s="72">
        <v>270794</v>
      </c>
      <c r="G991" s="83">
        <v>0.27079399999999998</v>
      </c>
      <c r="H991" s="84" t="s">
        <v>94</v>
      </c>
      <c r="I991" s="84" t="s">
        <v>372</v>
      </c>
      <c r="J991" s="84" t="s">
        <v>373</v>
      </c>
    </row>
    <row r="992" spans="2:10" x14ac:dyDescent="0.3">
      <c r="B992" s="79" t="s">
        <v>371</v>
      </c>
      <c r="C992" s="79" t="s">
        <v>200</v>
      </c>
      <c r="D992" s="73" t="s">
        <v>98</v>
      </c>
      <c r="E992" s="73" t="s">
        <v>161</v>
      </c>
      <c r="F992" s="74">
        <v>3790914</v>
      </c>
      <c r="G992" s="80">
        <v>3.7909139999999999</v>
      </c>
      <c r="H992" s="81" t="s">
        <v>94</v>
      </c>
      <c r="I992" s="81" t="s">
        <v>372</v>
      </c>
      <c r="J992" s="82" t="s">
        <v>373</v>
      </c>
    </row>
    <row r="993" spans="2:10" x14ac:dyDescent="0.3">
      <c r="B993" s="70" t="s">
        <v>371</v>
      </c>
      <c r="C993" s="70" t="s">
        <v>200</v>
      </c>
      <c r="D993" s="71" t="s">
        <v>96</v>
      </c>
      <c r="E993" s="71" t="s">
        <v>161</v>
      </c>
      <c r="F993" s="72">
        <v>22945</v>
      </c>
      <c r="G993" s="83">
        <v>2.2945E-2</v>
      </c>
      <c r="H993" s="84" t="s">
        <v>94</v>
      </c>
      <c r="I993" s="84" t="s">
        <v>372</v>
      </c>
      <c r="J993" s="84" t="s">
        <v>373</v>
      </c>
    </row>
    <row r="994" spans="2:10" x14ac:dyDescent="0.3">
      <c r="B994" s="79" t="s">
        <v>371</v>
      </c>
      <c r="C994" s="79" t="s">
        <v>200</v>
      </c>
      <c r="D994" s="73" t="s">
        <v>96</v>
      </c>
      <c r="E994" s="73" t="s">
        <v>161</v>
      </c>
      <c r="F994" s="74">
        <v>23950</v>
      </c>
      <c r="G994" s="80">
        <v>2.3949999999999999E-2</v>
      </c>
      <c r="H994" s="81" t="s">
        <v>94</v>
      </c>
      <c r="I994" s="81" t="s">
        <v>372</v>
      </c>
      <c r="J994" s="82" t="s">
        <v>373</v>
      </c>
    </row>
    <row r="995" spans="2:10" x14ac:dyDescent="0.3">
      <c r="B995" s="70" t="s">
        <v>371</v>
      </c>
      <c r="C995" s="70" t="s">
        <v>200</v>
      </c>
      <c r="D995" s="71" t="s">
        <v>102</v>
      </c>
      <c r="E995" s="71" t="s">
        <v>161</v>
      </c>
      <c r="F995" s="72">
        <v>81536</v>
      </c>
      <c r="G995" s="83">
        <v>8.1535999999999997E-2</v>
      </c>
      <c r="H995" s="84" t="s">
        <v>94</v>
      </c>
      <c r="I995" s="84" t="s">
        <v>372</v>
      </c>
      <c r="J995" s="84" t="s">
        <v>373</v>
      </c>
    </row>
    <row r="996" spans="2:10" x14ac:dyDescent="0.3">
      <c r="B996" s="79" t="s">
        <v>371</v>
      </c>
      <c r="C996" s="79" t="s">
        <v>200</v>
      </c>
      <c r="D996" s="73" t="s">
        <v>102</v>
      </c>
      <c r="E996" s="73" t="s">
        <v>161</v>
      </c>
      <c r="F996" s="74">
        <v>125368</v>
      </c>
      <c r="G996" s="80">
        <v>0.12536800000000001</v>
      </c>
      <c r="H996" s="81" t="s">
        <v>94</v>
      </c>
      <c r="I996" s="81" t="s">
        <v>372</v>
      </c>
      <c r="J996" s="82" t="s">
        <v>373</v>
      </c>
    </row>
    <row r="997" spans="2:10" x14ac:dyDescent="0.3">
      <c r="B997" s="70" t="s">
        <v>371</v>
      </c>
      <c r="C997" s="70" t="s">
        <v>200</v>
      </c>
      <c r="D997" s="71" t="s">
        <v>96</v>
      </c>
      <c r="E997" s="71" t="s">
        <v>161</v>
      </c>
      <c r="F997" s="72">
        <v>239828</v>
      </c>
      <c r="G997" s="83">
        <v>0.23982800000000001</v>
      </c>
      <c r="H997" s="84" t="s">
        <v>94</v>
      </c>
      <c r="I997" s="84" t="s">
        <v>372</v>
      </c>
      <c r="J997" s="84" t="s">
        <v>373</v>
      </c>
    </row>
    <row r="998" spans="2:10" x14ac:dyDescent="0.3">
      <c r="B998" s="79" t="s">
        <v>371</v>
      </c>
      <c r="C998" s="79" t="s">
        <v>200</v>
      </c>
      <c r="D998" s="73" t="s">
        <v>96</v>
      </c>
      <c r="E998" s="73" t="s">
        <v>161</v>
      </c>
      <c r="F998" s="74">
        <v>71253</v>
      </c>
      <c r="G998" s="80">
        <v>7.1252999999999997E-2</v>
      </c>
      <c r="H998" s="81" t="s">
        <v>94</v>
      </c>
      <c r="I998" s="81" t="s">
        <v>372</v>
      </c>
      <c r="J998" s="82" t="s">
        <v>373</v>
      </c>
    </row>
    <row r="999" spans="2:10" x14ac:dyDescent="0.3">
      <c r="B999" s="70" t="s">
        <v>371</v>
      </c>
      <c r="C999" s="70" t="s">
        <v>200</v>
      </c>
      <c r="D999" s="71" t="s">
        <v>102</v>
      </c>
      <c r="E999" s="71" t="s">
        <v>161</v>
      </c>
      <c r="F999" s="72">
        <v>45162</v>
      </c>
      <c r="G999" s="83">
        <v>4.5162000000000001E-2</v>
      </c>
      <c r="H999" s="84" t="s">
        <v>94</v>
      </c>
      <c r="I999" s="84" t="s">
        <v>372</v>
      </c>
      <c r="J999" s="84" t="s">
        <v>373</v>
      </c>
    </row>
    <row r="1000" spans="2:10" x14ac:dyDescent="0.3">
      <c r="B1000" s="79" t="s">
        <v>371</v>
      </c>
      <c r="C1000" s="79" t="s">
        <v>200</v>
      </c>
      <c r="D1000" s="73" t="s">
        <v>96</v>
      </c>
      <c r="E1000" s="73" t="s">
        <v>161</v>
      </c>
      <c r="F1000" s="74">
        <v>20600</v>
      </c>
      <c r="G1000" s="80">
        <v>2.06E-2</v>
      </c>
      <c r="H1000" s="81" t="s">
        <v>94</v>
      </c>
      <c r="I1000" s="81" t="s">
        <v>372</v>
      </c>
      <c r="J1000" s="82" t="s">
        <v>373</v>
      </c>
    </row>
    <row r="1001" spans="2:10" x14ac:dyDescent="0.3">
      <c r="B1001" s="70" t="s">
        <v>371</v>
      </c>
      <c r="C1001" s="70" t="s">
        <v>200</v>
      </c>
      <c r="D1001" s="71" t="s">
        <v>96</v>
      </c>
      <c r="E1001" s="71" t="s">
        <v>161</v>
      </c>
      <c r="F1001" s="72">
        <v>242683</v>
      </c>
      <c r="G1001" s="83">
        <v>0.24268300000000001</v>
      </c>
      <c r="H1001" s="84" t="s">
        <v>94</v>
      </c>
      <c r="I1001" s="84" t="s">
        <v>372</v>
      </c>
      <c r="J1001" s="84" t="s">
        <v>373</v>
      </c>
    </row>
    <row r="1002" spans="2:10" x14ac:dyDescent="0.3">
      <c r="B1002" s="79" t="s">
        <v>371</v>
      </c>
      <c r="C1002" s="79" t="s">
        <v>200</v>
      </c>
      <c r="D1002" s="73" t="s">
        <v>96</v>
      </c>
      <c r="E1002" s="73" t="s">
        <v>161</v>
      </c>
      <c r="F1002" s="74">
        <v>29125</v>
      </c>
      <c r="G1002" s="80">
        <v>2.9125000000000002E-2</v>
      </c>
      <c r="H1002" s="81" t="s">
        <v>94</v>
      </c>
      <c r="I1002" s="81" t="s">
        <v>372</v>
      </c>
      <c r="J1002" s="82" t="s">
        <v>373</v>
      </c>
    </row>
    <row r="1003" spans="2:10" x14ac:dyDescent="0.3">
      <c r="B1003" s="70" t="s">
        <v>371</v>
      </c>
      <c r="C1003" s="70" t="s">
        <v>200</v>
      </c>
      <c r="D1003" s="71" t="s">
        <v>96</v>
      </c>
      <c r="E1003" s="71" t="s">
        <v>161</v>
      </c>
      <c r="F1003" s="72">
        <v>57400</v>
      </c>
      <c r="G1003" s="83">
        <v>5.74E-2</v>
      </c>
      <c r="H1003" s="84" t="s">
        <v>94</v>
      </c>
      <c r="I1003" s="84" t="s">
        <v>372</v>
      </c>
      <c r="J1003" s="84" t="s">
        <v>373</v>
      </c>
    </row>
    <row r="1004" spans="2:10" x14ac:dyDescent="0.3">
      <c r="B1004" s="79" t="s">
        <v>371</v>
      </c>
      <c r="C1004" s="79" t="s">
        <v>200</v>
      </c>
      <c r="D1004" s="73" t="s">
        <v>96</v>
      </c>
      <c r="E1004" s="73" t="s">
        <v>161</v>
      </c>
      <c r="F1004" s="74">
        <v>19800</v>
      </c>
      <c r="G1004" s="80">
        <v>1.9800000000000002E-2</v>
      </c>
      <c r="H1004" s="81" t="s">
        <v>94</v>
      </c>
      <c r="I1004" s="81" t="s">
        <v>372</v>
      </c>
      <c r="J1004" s="82" t="s">
        <v>373</v>
      </c>
    </row>
    <row r="1005" spans="2:10" x14ac:dyDescent="0.3">
      <c r="B1005" s="70" t="s">
        <v>371</v>
      </c>
      <c r="C1005" s="70" t="s">
        <v>200</v>
      </c>
      <c r="D1005" s="71" t="s">
        <v>102</v>
      </c>
      <c r="E1005" s="71" t="s">
        <v>161</v>
      </c>
      <c r="F1005" s="72">
        <v>161657</v>
      </c>
      <c r="G1005" s="83">
        <v>0.161657</v>
      </c>
      <c r="H1005" s="84" t="s">
        <v>94</v>
      </c>
      <c r="I1005" s="84" t="s">
        <v>372</v>
      </c>
      <c r="J1005" s="84" t="s">
        <v>373</v>
      </c>
    </row>
    <row r="1006" spans="2:10" x14ac:dyDescent="0.3">
      <c r="B1006" s="79" t="s">
        <v>371</v>
      </c>
      <c r="C1006" s="79" t="s">
        <v>200</v>
      </c>
      <c r="D1006" s="73" t="s">
        <v>96</v>
      </c>
      <c r="E1006" s="73" t="s">
        <v>161</v>
      </c>
      <c r="F1006" s="74">
        <v>607302</v>
      </c>
      <c r="G1006" s="80">
        <v>0.60730200000000001</v>
      </c>
      <c r="H1006" s="81" t="s">
        <v>94</v>
      </c>
      <c r="I1006" s="81" t="s">
        <v>372</v>
      </c>
      <c r="J1006" s="82" t="s">
        <v>373</v>
      </c>
    </row>
    <row r="1007" spans="2:10" x14ac:dyDescent="0.3">
      <c r="B1007" s="70" t="s">
        <v>371</v>
      </c>
      <c r="C1007" s="70" t="s">
        <v>200</v>
      </c>
      <c r="D1007" s="71" t="s">
        <v>96</v>
      </c>
      <c r="E1007" s="71" t="s">
        <v>161</v>
      </c>
      <c r="F1007" s="72">
        <v>1255085</v>
      </c>
      <c r="G1007" s="83">
        <v>1.255085</v>
      </c>
      <c r="H1007" s="84" t="s">
        <v>94</v>
      </c>
      <c r="I1007" s="84" t="s">
        <v>372</v>
      </c>
      <c r="J1007" s="84" t="s">
        <v>373</v>
      </c>
    </row>
    <row r="1008" spans="2:10" x14ac:dyDescent="0.3">
      <c r="B1008" s="79" t="s">
        <v>371</v>
      </c>
      <c r="C1008" s="79" t="s">
        <v>200</v>
      </c>
      <c r="D1008" s="73" t="s">
        <v>102</v>
      </c>
      <c r="E1008" s="73" t="s">
        <v>161</v>
      </c>
      <c r="F1008" s="74">
        <v>68585</v>
      </c>
      <c r="G1008" s="80">
        <v>6.8584999999999993E-2</v>
      </c>
      <c r="H1008" s="81" t="s">
        <v>94</v>
      </c>
      <c r="I1008" s="81" t="s">
        <v>372</v>
      </c>
      <c r="J1008" s="82" t="s">
        <v>373</v>
      </c>
    </row>
    <row r="1009" spans="2:10" x14ac:dyDescent="0.3">
      <c r="B1009" s="70" t="s">
        <v>371</v>
      </c>
      <c r="C1009" s="70" t="s">
        <v>200</v>
      </c>
      <c r="D1009" s="71" t="s">
        <v>102</v>
      </c>
      <c r="E1009" s="71" t="s">
        <v>161</v>
      </c>
      <c r="F1009" s="72">
        <v>104568</v>
      </c>
      <c r="G1009" s="83">
        <v>0.10456799999999999</v>
      </c>
      <c r="H1009" s="84" t="s">
        <v>94</v>
      </c>
      <c r="I1009" s="84" t="s">
        <v>372</v>
      </c>
      <c r="J1009" s="84" t="s">
        <v>373</v>
      </c>
    </row>
    <row r="1010" spans="2:10" x14ac:dyDescent="0.3">
      <c r="B1010" s="79" t="s">
        <v>371</v>
      </c>
      <c r="C1010" s="79" t="s">
        <v>200</v>
      </c>
      <c r="D1010" s="73" t="s">
        <v>96</v>
      </c>
      <c r="E1010" s="73" t="s">
        <v>161</v>
      </c>
      <c r="F1010" s="74">
        <v>280269</v>
      </c>
      <c r="G1010" s="80">
        <v>0.28026899999999999</v>
      </c>
      <c r="H1010" s="81" t="s">
        <v>94</v>
      </c>
      <c r="I1010" s="81" t="s">
        <v>372</v>
      </c>
      <c r="J1010" s="82" t="s">
        <v>373</v>
      </c>
    </row>
    <row r="1011" spans="2:10" x14ac:dyDescent="0.3">
      <c r="B1011" s="70" t="s">
        <v>371</v>
      </c>
      <c r="C1011" s="70" t="s">
        <v>200</v>
      </c>
      <c r="D1011" s="71" t="s">
        <v>102</v>
      </c>
      <c r="E1011" s="71" t="s">
        <v>161</v>
      </c>
      <c r="F1011" s="72">
        <v>80460</v>
      </c>
      <c r="G1011" s="83">
        <v>8.0460000000000004E-2</v>
      </c>
      <c r="H1011" s="84" t="s">
        <v>94</v>
      </c>
      <c r="I1011" s="84" t="s">
        <v>372</v>
      </c>
      <c r="J1011" s="84" t="s">
        <v>373</v>
      </c>
    </row>
    <row r="1012" spans="2:10" x14ac:dyDescent="0.3">
      <c r="B1012" s="79" t="s">
        <v>371</v>
      </c>
      <c r="C1012" s="79" t="s">
        <v>200</v>
      </c>
      <c r="D1012" s="73" t="s">
        <v>96</v>
      </c>
      <c r="E1012" s="73" t="s">
        <v>161</v>
      </c>
      <c r="F1012" s="74">
        <v>20400</v>
      </c>
      <c r="G1012" s="80">
        <v>2.0400000000000001E-2</v>
      </c>
      <c r="H1012" s="81" t="s">
        <v>94</v>
      </c>
      <c r="I1012" s="81" t="s">
        <v>372</v>
      </c>
      <c r="J1012" s="82" t="s">
        <v>373</v>
      </c>
    </row>
    <row r="1013" spans="2:10" x14ac:dyDescent="0.3">
      <c r="B1013" s="70" t="s">
        <v>371</v>
      </c>
      <c r="C1013" s="70" t="s">
        <v>200</v>
      </c>
      <c r="D1013" s="71" t="s">
        <v>96</v>
      </c>
      <c r="E1013" s="71" t="s">
        <v>161</v>
      </c>
      <c r="F1013" s="72">
        <v>1257218</v>
      </c>
      <c r="G1013" s="83">
        <v>1.2572179999999999</v>
      </c>
      <c r="H1013" s="84" t="s">
        <v>94</v>
      </c>
      <c r="I1013" s="84" t="s">
        <v>372</v>
      </c>
      <c r="J1013" s="84" t="s">
        <v>373</v>
      </c>
    </row>
    <row r="1014" spans="2:10" x14ac:dyDescent="0.3">
      <c r="B1014" s="79" t="s">
        <v>371</v>
      </c>
      <c r="C1014" s="79" t="s">
        <v>200</v>
      </c>
      <c r="D1014" s="73" t="s">
        <v>96</v>
      </c>
      <c r="E1014" s="73" t="s">
        <v>161</v>
      </c>
      <c r="F1014" s="74">
        <v>851943</v>
      </c>
      <c r="G1014" s="80">
        <v>0.85194300000000001</v>
      </c>
      <c r="H1014" s="81" t="s">
        <v>94</v>
      </c>
      <c r="I1014" s="81" t="s">
        <v>372</v>
      </c>
      <c r="J1014" s="82" t="s">
        <v>373</v>
      </c>
    </row>
    <row r="1015" spans="2:10" x14ac:dyDescent="0.3">
      <c r="B1015" s="70" t="s">
        <v>371</v>
      </c>
      <c r="C1015" s="70" t="s">
        <v>200</v>
      </c>
      <c r="D1015" s="71" t="s">
        <v>96</v>
      </c>
      <c r="E1015" s="71" t="s">
        <v>161</v>
      </c>
      <c r="F1015" s="72">
        <v>1411463</v>
      </c>
      <c r="G1015" s="83">
        <v>1.4114629999999999</v>
      </c>
      <c r="H1015" s="84" t="s">
        <v>94</v>
      </c>
      <c r="I1015" s="84" t="s">
        <v>372</v>
      </c>
      <c r="J1015" s="84" t="s">
        <v>373</v>
      </c>
    </row>
    <row r="1016" spans="2:10" x14ac:dyDescent="0.3">
      <c r="B1016" s="79" t="s">
        <v>371</v>
      </c>
      <c r="C1016" s="79" t="s">
        <v>200</v>
      </c>
      <c r="D1016" s="73" t="s">
        <v>102</v>
      </c>
      <c r="E1016" s="73" t="s">
        <v>161</v>
      </c>
      <c r="F1016" s="74">
        <v>80522</v>
      </c>
      <c r="G1016" s="80">
        <v>8.0521999999999996E-2</v>
      </c>
      <c r="H1016" s="81" t="s">
        <v>94</v>
      </c>
      <c r="I1016" s="81" t="s">
        <v>372</v>
      </c>
      <c r="J1016" s="82" t="s">
        <v>373</v>
      </c>
    </row>
    <row r="1017" spans="2:10" x14ac:dyDescent="0.3">
      <c r="B1017" s="70" t="s">
        <v>371</v>
      </c>
      <c r="C1017" s="70" t="s">
        <v>200</v>
      </c>
      <c r="D1017" s="71" t="s">
        <v>96</v>
      </c>
      <c r="E1017" s="71" t="s">
        <v>161</v>
      </c>
      <c r="F1017" s="72">
        <v>251396</v>
      </c>
      <c r="G1017" s="83">
        <v>0.25139600000000001</v>
      </c>
      <c r="H1017" s="84" t="s">
        <v>94</v>
      </c>
      <c r="I1017" s="84" t="s">
        <v>372</v>
      </c>
      <c r="J1017" s="84" t="s">
        <v>373</v>
      </c>
    </row>
    <row r="1018" spans="2:10" x14ac:dyDescent="0.3">
      <c r="B1018" s="79" t="s">
        <v>371</v>
      </c>
      <c r="C1018" s="79" t="s">
        <v>200</v>
      </c>
      <c r="D1018" s="73" t="s">
        <v>98</v>
      </c>
      <c r="E1018" s="73" t="s">
        <v>161</v>
      </c>
      <c r="F1018" s="74">
        <v>500000</v>
      </c>
      <c r="G1018" s="80">
        <v>0.5</v>
      </c>
      <c r="H1018" s="81" t="s">
        <v>94</v>
      </c>
      <c r="I1018" s="81" t="s">
        <v>372</v>
      </c>
      <c r="J1018" s="82" t="s">
        <v>373</v>
      </c>
    </row>
    <row r="1019" spans="2:10" x14ac:dyDescent="0.3">
      <c r="B1019" s="70" t="s">
        <v>371</v>
      </c>
      <c r="C1019" s="70" t="s">
        <v>200</v>
      </c>
      <c r="D1019" s="71" t="s">
        <v>98</v>
      </c>
      <c r="E1019" s="71" t="s">
        <v>161</v>
      </c>
      <c r="F1019" s="72">
        <v>126941</v>
      </c>
      <c r="G1019" s="83">
        <v>0.126941</v>
      </c>
      <c r="H1019" s="84" t="s">
        <v>94</v>
      </c>
      <c r="I1019" s="84" t="s">
        <v>372</v>
      </c>
      <c r="J1019" s="84" t="s">
        <v>373</v>
      </c>
    </row>
    <row r="1020" spans="2:10" x14ac:dyDescent="0.3">
      <c r="B1020" s="79" t="s">
        <v>371</v>
      </c>
      <c r="C1020" s="79" t="s">
        <v>200</v>
      </c>
      <c r="D1020" s="73" t="s">
        <v>96</v>
      </c>
      <c r="E1020" s="73" t="s">
        <v>161</v>
      </c>
      <c r="F1020" s="74">
        <v>15900</v>
      </c>
      <c r="G1020" s="80">
        <v>1.5900000000000001E-2</v>
      </c>
      <c r="H1020" s="81" t="s">
        <v>94</v>
      </c>
      <c r="I1020" s="81" t="s">
        <v>372</v>
      </c>
      <c r="J1020" s="82" t="s">
        <v>373</v>
      </c>
    </row>
    <row r="1021" spans="2:10" x14ac:dyDescent="0.3">
      <c r="B1021" s="70" t="s">
        <v>371</v>
      </c>
      <c r="C1021" s="70" t="s">
        <v>200</v>
      </c>
      <c r="D1021" s="71" t="s">
        <v>96</v>
      </c>
      <c r="E1021" s="71" t="s">
        <v>161</v>
      </c>
      <c r="F1021" s="72">
        <v>230803</v>
      </c>
      <c r="G1021" s="83">
        <v>0.23080300000000001</v>
      </c>
      <c r="H1021" s="84" t="s">
        <v>94</v>
      </c>
      <c r="I1021" s="84" t="s">
        <v>372</v>
      </c>
      <c r="J1021" s="84" t="s">
        <v>373</v>
      </c>
    </row>
    <row r="1022" spans="2:10" x14ac:dyDescent="0.3">
      <c r="B1022" s="79" t="s">
        <v>371</v>
      </c>
      <c r="C1022" s="79" t="s">
        <v>200</v>
      </c>
      <c r="D1022" s="73" t="s">
        <v>102</v>
      </c>
      <c r="E1022" s="73" t="s">
        <v>161</v>
      </c>
      <c r="F1022" s="74">
        <v>65590</v>
      </c>
      <c r="G1022" s="80">
        <v>6.5589999999999996E-2</v>
      </c>
      <c r="H1022" s="81" t="s">
        <v>94</v>
      </c>
      <c r="I1022" s="81" t="s">
        <v>372</v>
      </c>
      <c r="J1022" s="82" t="s">
        <v>373</v>
      </c>
    </row>
    <row r="1023" spans="2:10" x14ac:dyDescent="0.3">
      <c r="B1023" s="70" t="s">
        <v>371</v>
      </c>
      <c r="C1023" s="70" t="s">
        <v>195</v>
      </c>
      <c r="D1023" s="71" t="s">
        <v>358</v>
      </c>
      <c r="E1023" s="71" t="s">
        <v>161</v>
      </c>
      <c r="F1023" s="72">
        <v>623360</v>
      </c>
      <c r="G1023" s="83">
        <v>0.62336000000000003</v>
      </c>
      <c r="H1023" s="84" t="s">
        <v>127</v>
      </c>
      <c r="I1023" s="84" t="s">
        <v>379</v>
      </c>
      <c r="J1023" s="84" t="s">
        <v>127</v>
      </c>
    </row>
    <row r="1024" spans="2:10" x14ac:dyDescent="0.3">
      <c r="B1024" s="79" t="s">
        <v>371</v>
      </c>
      <c r="C1024" s="79" t="s">
        <v>195</v>
      </c>
      <c r="D1024" s="73" t="s">
        <v>358</v>
      </c>
      <c r="E1024" s="73" t="s">
        <v>161</v>
      </c>
      <c r="F1024" s="74">
        <v>1528202</v>
      </c>
      <c r="G1024" s="80">
        <v>1.5282020000000001</v>
      </c>
      <c r="H1024" s="81" t="s">
        <v>127</v>
      </c>
      <c r="I1024" s="81" t="s">
        <v>379</v>
      </c>
      <c r="J1024" s="82" t="s">
        <v>127</v>
      </c>
    </row>
    <row r="1025" spans="2:10" x14ac:dyDescent="0.3">
      <c r="B1025" s="70" t="s">
        <v>371</v>
      </c>
      <c r="C1025" s="70" t="s">
        <v>195</v>
      </c>
      <c r="D1025" s="71" t="s">
        <v>358</v>
      </c>
      <c r="E1025" s="71" t="s">
        <v>161</v>
      </c>
      <c r="F1025" s="72">
        <v>350420</v>
      </c>
      <c r="G1025" s="83">
        <v>0.35042000000000001</v>
      </c>
      <c r="H1025" s="84" t="s">
        <v>127</v>
      </c>
      <c r="I1025" s="84" t="s">
        <v>379</v>
      </c>
      <c r="J1025" s="84" t="s">
        <v>127</v>
      </c>
    </row>
    <row r="1026" spans="2:10" x14ac:dyDescent="0.3">
      <c r="B1026" s="79" t="s">
        <v>371</v>
      </c>
      <c r="C1026" s="79" t="s">
        <v>195</v>
      </c>
      <c r="D1026" s="73" t="s">
        <v>358</v>
      </c>
      <c r="E1026" s="73" t="s">
        <v>161</v>
      </c>
      <c r="F1026" s="74">
        <v>206461</v>
      </c>
      <c r="G1026" s="80">
        <v>0.20646100000000001</v>
      </c>
      <c r="H1026" s="81" t="s">
        <v>127</v>
      </c>
      <c r="I1026" s="81" t="s">
        <v>379</v>
      </c>
      <c r="J1026" s="82" t="s">
        <v>127</v>
      </c>
    </row>
    <row r="1027" spans="2:10" x14ac:dyDescent="0.3">
      <c r="B1027" s="70" t="s">
        <v>371</v>
      </c>
      <c r="C1027" s="70" t="s">
        <v>195</v>
      </c>
      <c r="D1027" s="71" t="s">
        <v>358</v>
      </c>
      <c r="E1027" s="71" t="s">
        <v>161</v>
      </c>
      <c r="F1027" s="72">
        <v>1513650</v>
      </c>
      <c r="G1027" s="83">
        <v>1.5136499999999999</v>
      </c>
      <c r="H1027" s="84" t="s">
        <v>127</v>
      </c>
      <c r="I1027" s="84" t="s">
        <v>379</v>
      </c>
      <c r="J1027" s="84" t="s">
        <v>127</v>
      </c>
    </row>
    <row r="1028" spans="2:10" x14ac:dyDescent="0.3">
      <c r="B1028" s="79" t="s">
        <v>371</v>
      </c>
      <c r="C1028" s="79" t="s">
        <v>195</v>
      </c>
      <c r="D1028" s="73" t="s">
        <v>358</v>
      </c>
      <c r="E1028" s="73" t="s">
        <v>161</v>
      </c>
      <c r="F1028" s="74">
        <v>625730</v>
      </c>
      <c r="G1028" s="80">
        <v>0.62573000000000001</v>
      </c>
      <c r="H1028" s="81" t="s">
        <v>127</v>
      </c>
      <c r="I1028" s="81" t="s">
        <v>379</v>
      </c>
      <c r="J1028" s="82" t="s">
        <v>127</v>
      </c>
    </row>
    <row r="1029" spans="2:10" x14ac:dyDescent="0.3">
      <c r="B1029" s="70" t="s">
        <v>371</v>
      </c>
      <c r="C1029" s="70" t="s">
        <v>195</v>
      </c>
      <c r="D1029" s="71" t="s">
        <v>358</v>
      </c>
      <c r="E1029" s="71" t="s">
        <v>161</v>
      </c>
      <c r="F1029" s="72">
        <v>1560971</v>
      </c>
      <c r="G1029" s="83">
        <v>1.5609710000000001</v>
      </c>
      <c r="H1029" s="84" t="s">
        <v>127</v>
      </c>
      <c r="I1029" s="84" t="s">
        <v>379</v>
      </c>
      <c r="J1029" s="84" t="s">
        <v>127</v>
      </c>
    </row>
    <row r="1030" spans="2:10" x14ac:dyDescent="0.3">
      <c r="B1030" s="79" t="s">
        <v>371</v>
      </c>
      <c r="C1030" s="79" t="s">
        <v>195</v>
      </c>
      <c r="D1030" s="73" t="s">
        <v>358</v>
      </c>
      <c r="E1030" s="73" t="s">
        <v>161</v>
      </c>
      <c r="F1030" s="74">
        <v>634991</v>
      </c>
      <c r="G1030" s="80">
        <v>0.63499099999999997</v>
      </c>
      <c r="H1030" s="81" t="s">
        <v>127</v>
      </c>
      <c r="I1030" s="81" t="s">
        <v>379</v>
      </c>
      <c r="J1030" s="82" t="s">
        <v>127</v>
      </c>
    </row>
    <row r="1031" spans="2:10" x14ac:dyDescent="0.3">
      <c r="B1031" s="70" t="s">
        <v>371</v>
      </c>
      <c r="C1031" s="70" t="s">
        <v>195</v>
      </c>
      <c r="D1031" s="71" t="s">
        <v>358</v>
      </c>
      <c r="E1031" s="71" t="s">
        <v>161</v>
      </c>
      <c r="F1031" s="72">
        <v>1532223</v>
      </c>
      <c r="G1031" s="83">
        <v>1.5322229999999999</v>
      </c>
      <c r="H1031" s="84" t="s">
        <v>127</v>
      </c>
      <c r="I1031" s="84" t="s">
        <v>379</v>
      </c>
      <c r="J1031" s="84" t="s">
        <v>127</v>
      </c>
    </row>
    <row r="1032" spans="2:10" x14ac:dyDescent="0.3">
      <c r="B1032" s="79" t="s">
        <v>371</v>
      </c>
      <c r="C1032" s="79" t="s">
        <v>195</v>
      </c>
      <c r="D1032" s="73" t="s">
        <v>358</v>
      </c>
      <c r="E1032" s="73" t="s">
        <v>161</v>
      </c>
      <c r="F1032" s="74">
        <v>626243</v>
      </c>
      <c r="G1032" s="80">
        <v>0.62624299999999999</v>
      </c>
      <c r="H1032" s="81" t="s">
        <v>127</v>
      </c>
      <c r="I1032" s="81" t="s">
        <v>379</v>
      </c>
      <c r="J1032" s="82" t="s">
        <v>127</v>
      </c>
    </row>
    <row r="1033" spans="2:10" x14ac:dyDescent="0.3">
      <c r="B1033" s="70" t="s">
        <v>371</v>
      </c>
      <c r="C1033" s="70" t="s">
        <v>195</v>
      </c>
      <c r="D1033" s="71" t="s">
        <v>358</v>
      </c>
      <c r="E1033" s="71" t="s">
        <v>161</v>
      </c>
      <c r="F1033" s="72">
        <v>266278</v>
      </c>
      <c r="G1033" s="83">
        <v>0.26627800000000001</v>
      </c>
      <c r="H1033" s="84" t="s">
        <v>127</v>
      </c>
      <c r="I1033" s="84" t="s">
        <v>379</v>
      </c>
      <c r="J1033" s="84" t="s">
        <v>127</v>
      </c>
    </row>
    <row r="1034" spans="2:10" x14ac:dyDescent="0.3">
      <c r="B1034" s="79" t="s">
        <v>371</v>
      </c>
      <c r="C1034" s="79" t="s">
        <v>195</v>
      </c>
      <c r="D1034" s="73" t="s">
        <v>358</v>
      </c>
      <c r="E1034" s="73" t="s">
        <v>161</v>
      </c>
      <c r="F1034" s="74">
        <v>532556</v>
      </c>
      <c r="G1034" s="80">
        <v>0.53255600000000003</v>
      </c>
      <c r="H1034" s="81" t="s">
        <v>127</v>
      </c>
      <c r="I1034" s="81" t="s">
        <v>379</v>
      </c>
      <c r="J1034" s="82" t="s">
        <v>127</v>
      </c>
    </row>
    <row r="1035" spans="2:10" x14ac:dyDescent="0.3">
      <c r="B1035" s="70" t="s">
        <v>371</v>
      </c>
      <c r="C1035" s="70" t="s">
        <v>195</v>
      </c>
      <c r="D1035" s="71" t="s">
        <v>358</v>
      </c>
      <c r="E1035" s="71" t="s">
        <v>161</v>
      </c>
      <c r="F1035" s="72">
        <v>249996</v>
      </c>
      <c r="G1035" s="83">
        <v>0.249996</v>
      </c>
      <c r="H1035" s="84" t="s">
        <v>127</v>
      </c>
      <c r="I1035" s="84" t="s">
        <v>379</v>
      </c>
      <c r="J1035" s="84" t="s">
        <v>127</v>
      </c>
    </row>
    <row r="1036" spans="2:10" x14ac:dyDescent="0.3">
      <c r="B1036" s="79" t="s">
        <v>371</v>
      </c>
      <c r="C1036" s="79" t="s">
        <v>195</v>
      </c>
      <c r="D1036" s="73" t="s">
        <v>358</v>
      </c>
      <c r="E1036" s="73" t="s">
        <v>161</v>
      </c>
      <c r="F1036" s="74">
        <v>499992</v>
      </c>
      <c r="G1036" s="80">
        <v>0.49999199999999999</v>
      </c>
      <c r="H1036" s="81" t="s">
        <v>127</v>
      </c>
      <c r="I1036" s="81" t="s">
        <v>379</v>
      </c>
      <c r="J1036" s="82" t="s">
        <v>127</v>
      </c>
    </row>
    <row r="1037" spans="2:10" x14ac:dyDescent="0.3">
      <c r="B1037" s="70" t="s">
        <v>371</v>
      </c>
      <c r="C1037" s="70" t="s">
        <v>294</v>
      </c>
      <c r="D1037" s="71" t="s">
        <v>358</v>
      </c>
      <c r="E1037" s="71" t="s">
        <v>161</v>
      </c>
      <c r="F1037" s="72">
        <v>3237560</v>
      </c>
      <c r="G1037" s="83">
        <v>3.2375600000000002</v>
      </c>
      <c r="H1037" s="84" t="s">
        <v>127</v>
      </c>
      <c r="I1037" s="84" t="s">
        <v>379</v>
      </c>
      <c r="J1037" s="84" t="s">
        <v>127</v>
      </c>
    </row>
    <row r="1038" spans="2:10" x14ac:dyDescent="0.3">
      <c r="B1038" s="79" t="s">
        <v>371</v>
      </c>
      <c r="C1038" s="79" t="s">
        <v>294</v>
      </c>
      <c r="D1038" s="73" t="s">
        <v>358</v>
      </c>
      <c r="E1038" s="73" t="s">
        <v>161</v>
      </c>
      <c r="F1038" s="74">
        <v>170398</v>
      </c>
      <c r="G1038" s="80">
        <v>0.17039799999999999</v>
      </c>
      <c r="H1038" s="81" t="s">
        <v>127</v>
      </c>
      <c r="I1038" s="81" t="s">
        <v>379</v>
      </c>
      <c r="J1038" s="82" t="s">
        <v>127</v>
      </c>
    </row>
    <row r="1039" spans="2:10" x14ac:dyDescent="0.3">
      <c r="B1039" s="70" t="s">
        <v>371</v>
      </c>
      <c r="C1039" s="70" t="s">
        <v>294</v>
      </c>
      <c r="D1039" s="71" t="s">
        <v>358</v>
      </c>
      <c r="E1039" s="71" t="s">
        <v>161</v>
      </c>
      <c r="F1039" s="72">
        <v>470123</v>
      </c>
      <c r="G1039" s="83">
        <v>0.47012300000000001</v>
      </c>
      <c r="H1039" s="84" t="s">
        <v>127</v>
      </c>
      <c r="I1039" s="84" t="s">
        <v>379</v>
      </c>
      <c r="J1039" s="84" t="s">
        <v>127</v>
      </c>
    </row>
    <row r="1040" spans="2:10" x14ac:dyDescent="0.3">
      <c r="B1040" s="79" t="s">
        <v>371</v>
      </c>
      <c r="C1040" s="79" t="s">
        <v>294</v>
      </c>
      <c r="D1040" s="73" t="s">
        <v>358</v>
      </c>
      <c r="E1040" s="73" t="s">
        <v>161</v>
      </c>
      <c r="F1040" s="74">
        <v>24743</v>
      </c>
      <c r="G1040" s="80">
        <v>2.4743000000000001E-2</v>
      </c>
      <c r="H1040" s="81" t="s">
        <v>127</v>
      </c>
      <c r="I1040" s="81" t="s">
        <v>379</v>
      </c>
      <c r="J1040" s="82" t="s">
        <v>127</v>
      </c>
    </row>
    <row r="1041" spans="2:10" x14ac:dyDescent="0.3">
      <c r="B1041" s="70" t="s">
        <v>371</v>
      </c>
      <c r="C1041" s="70" t="s">
        <v>294</v>
      </c>
      <c r="D1041" s="71" t="s">
        <v>358</v>
      </c>
      <c r="E1041" s="71" t="s">
        <v>161</v>
      </c>
      <c r="F1041" s="72">
        <v>2694399</v>
      </c>
      <c r="G1041" s="83">
        <v>2.6943990000000002</v>
      </c>
      <c r="H1041" s="84" t="s">
        <v>127</v>
      </c>
      <c r="I1041" s="84" t="s">
        <v>379</v>
      </c>
      <c r="J1041" s="84" t="s">
        <v>127</v>
      </c>
    </row>
    <row r="1042" spans="2:10" x14ac:dyDescent="0.3">
      <c r="B1042" s="79" t="s">
        <v>371</v>
      </c>
      <c r="C1042" s="79" t="s">
        <v>294</v>
      </c>
      <c r="D1042" s="73" t="s">
        <v>358</v>
      </c>
      <c r="E1042" s="73" t="s">
        <v>161</v>
      </c>
      <c r="F1042" s="74">
        <v>141810</v>
      </c>
      <c r="G1042" s="80">
        <v>0.14180999999999999</v>
      </c>
      <c r="H1042" s="81" t="s">
        <v>127</v>
      </c>
      <c r="I1042" s="81" t="s">
        <v>379</v>
      </c>
      <c r="J1042" s="82" t="s">
        <v>127</v>
      </c>
    </row>
    <row r="1043" spans="2:10" x14ac:dyDescent="0.3">
      <c r="B1043" s="70" t="s">
        <v>371</v>
      </c>
      <c r="C1043" s="70" t="s">
        <v>294</v>
      </c>
      <c r="D1043" s="71" t="s">
        <v>358</v>
      </c>
      <c r="E1043" s="71" t="s">
        <v>161</v>
      </c>
      <c r="F1043" s="72">
        <v>340289</v>
      </c>
      <c r="G1043" s="83">
        <v>0.34028900000000001</v>
      </c>
      <c r="H1043" s="84" t="s">
        <v>127</v>
      </c>
      <c r="I1043" s="84" t="s">
        <v>379</v>
      </c>
      <c r="J1043" s="84" t="s">
        <v>127</v>
      </c>
    </row>
    <row r="1044" spans="2:10" x14ac:dyDescent="0.3">
      <c r="B1044" s="79" t="s">
        <v>371</v>
      </c>
      <c r="C1044" s="79" t="s">
        <v>294</v>
      </c>
      <c r="D1044" s="73" t="s">
        <v>358</v>
      </c>
      <c r="E1044" s="73" t="s">
        <v>161</v>
      </c>
      <c r="F1044" s="74">
        <v>17910</v>
      </c>
      <c r="G1044" s="80">
        <v>1.7909999999999999E-2</v>
      </c>
      <c r="H1044" s="81" t="s">
        <v>127</v>
      </c>
      <c r="I1044" s="81" t="s">
        <v>379</v>
      </c>
      <c r="J1044" s="82" t="s">
        <v>127</v>
      </c>
    </row>
    <row r="1045" spans="2:10" x14ac:dyDescent="0.3">
      <c r="B1045" s="70" t="s">
        <v>371</v>
      </c>
      <c r="C1045" s="70" t="s">
        <v>294</v>
      </c>
      <c r="D1045" s="71" t="s">
        <v>358</v>
      </c>
      <c r="E1045" s="71" t="s">
        <v>161</v>
      </c>
      <c r="F1045" s="72">
        <v>2928103</v>
      </c>
      <c r="G1045" s="83">
        <v>2.9281030000000001</v>
      </c>
      <c r="H1045" s="84" t="s">
        <v>127</v>
      </c>
      <c r="I1045" s="84" t="s">
        <v>379</v>
      </c>
      <c r="J1045" s="84" t="s">
        <v>127</v>
      </c>
    </row>
    <row r="1046" spans="2:10" x14ac:dyDescent="0.3">
      <c r="B1046" s="79" t="s">
        <v>371</v>
      </c>
      <c r="C1046" s="79" t="s">
        <v>294</v>
      </c>
      <c r="D1046" s="73" t="s">
        <v>358</v>
      </c>
      <c r="E1046" s="73" t="s">
        <v>161</v>
      </c>
      <c r="F1046" s="74">
        <v>402530</v>
      </c>
      <c r="G1046" s="80">
        <v>0.40253</v>
      </c>
      <c r="H1046" s="81" t="s">
        <v>127</v>
      </c>
      <c r="I1046" s="81" t="s">
        <v>379</v>
      </c>
      <c r="J1046" s="82" t="s">
        <v>127</v>
      </c>
    </row>
    <row r="1047" spans="2:10" x14ac:dyDescent="0.3">
      <c r="B1047" s="70" t="s">
        <v>371</v>
      </c>
      <c r="C1047" s="70" t="s">
        <v>294</v>
      </c>
      <c r="D1047" s="71" t="s">
        <v>358</v>
      </c>
      <c r="E1047" s="71" t="s">
        <v>161</v>
      </c>
      <c r="F1047" s="72">
        <v>2735771</v>
      </c>
      <c r="G1047" s="83">
        <v>2.7357710000000002</v>
      </c>
      <c r="H1047" s="84" t="s">
        <v>127</v>
      </c>
      <c r="I1047" s="84" t="s">
        <v>379</v>
      </c>
      <c r="J1047" s="84" t="s">
        <v>127</v>
      </c>
    </row>
    <row r="1048" spans="2:10" x14ac:dyDescent="0.3">
      <c r="B1048" s="79" t="s">
        <v>371</v>
      </c>
      <c r="C1048" s="79" t="s">
        <v>294</v>
      </c>
      <c r="D1048" s="73" t="s">
        <v>358</v>
      </c>
      <c r="E1048" s="73" t="s">
        <v>161</v>
      </c>
      <c r="F1048" s="74">
        <v>358463</v>
      </c>
      <c r="G1048" s="80">
        <v>0.35846299999999998</v>
      </c>
      <c r="H1048" s="81" t="s">
        <v>127</v>
      </c>
      <c r="I1048" s="81" t="s">
        <v>379</v>
      </c>
      <c r="J1048" s="82" t="s">
        <v>127</v>
      </c>
    </row>
    <row r="1049" spans="2:10" x14ac:dyDescent="0.3">
      <c r="B1049" s="70" t="s">
        <v>371</v>
      </c>
      <c r="C1049" s="70" t="s">
        <v>294</v>
      </c>
      <c r="D1049" s="71" t="s">
        <v>358</v>
      </c>
      <c r="E1049" s="71" t="s">
        <v>161</v>
      </c>
      <c r="F1049" s="72">
        <v>352853</v>
      </c>
      <c r="G1049" s="83">
        <v>0.35285300000000003</v>
      </c>
      <c r="H1049" s="84" t="s">
        <v>127</v>
      </c>
      <c r="I1049" s="84" t="s">
        <v>379</v>
      </c>
      <c r="J1049" s="84" t="s">
        <v>127</v>
      </c>
    </row>
    <row r="1050" spans="2:10" x14ac:dyDescent="0.3">
      <c r="B1050" s="79" t="s">
        <v>371</v>
      </c>
      <c r="C1050" s="79" t="s">
        <v>294</v>
      </c>
      <c r="D1050" s="73" t="s">
        <v>358</v>
      </c>
      <c r="E1050" s="73" t="s">
        <v>161</v>
      </c>
      <c r="F1050" s="74">
        <v>2912836</v>
      </c>
      <c r="G1050" s="80">
        <v>2.912836</v>
      </c>
      <c r="H1050" s="81" t="s">
        <v>127</v>
      </c>
      <c r="I1050" s="81" t="s">
        <v>379</v>
      </c>
      <c r="J1050" s="82" t="s">
        <v>127</v>
      </c>
    </row>
    <row r="1051" spans="2:10" x14ac:dyDescent="0.3">
      <c r="B1051" s="70" t="s">
        <v>371</v>
      </c>
      <c r="C1051" s="70" t="s">
        <v>294</v>
      </c>
      <c r="D1051" s="71" t="s">
        <v>358</v>
      </c>
      <c r="E1051" s="71" t="s">
        <v>161</v>
      </c>
      <c r="F1051" s="72">
        <v>2806107</v>
      </c>
      <c r="G1051" s="83">
        <v>2.8061069999999999</v>
      </c>
      <c r="H1051" s="84" t="s">
        <v>127</v>
      </c>
      <c r="I1051" s="84" t="s">
        <v>379</v>
      </c>
      <c r="J1051" s="84" t="s">
        <v>127</v>
      </c>
    </row>
    <row r="1052" spans="2:10" x14ac:dyDescent="0.3">
      <c r="B1052" s="79" t="s">
        <v>371</v>
      </c>
      <c r="C1052" s="79" t="s">
        <v>294</v>
      </c>
      <c r="D1052" s="73" t="s">
        <v>358</v>
      </c>
      <c r="E1052" s="73" t="s">
        <v>161</v>
      </c>
      <c r="F1052" s="74">
        <v>358544</v>
      </c>
      <c r="G1052" s="80">
        <v>0.35854399999999997</v>
      </c>
      <c r="H1052" s="81" t="s">
        <v>127</v>
      </c>
      <c r="I1052" s="81" t="s">
        <v>379</v>
      </c>
      <c r="J1052" s="82" t="s">
        <v>127</v>
      </c>
    </row>
    <row r="1053" spans="2:10" x14ac:dyDescent="0.3">
      <c r="B1053" s="70" t="s">
        <v>371</v>
      </c>
      <c r="C1053" s="70" t="s">
        <v>294</v>
      </c>
      <c r="D1053" s="71" t="s">
        <v>358</v>
      </c>
      <c r="E1053" s="71" t="s">
        <v>161</v>
      </c>
      <c r="F1053" s="72">
        <v>3006257</v>
      </c>
      <c r="G1053" s="83">
        <v>3.0062570000000002</v>
      </c>
      <c r="H1053" s="84" t="s">
        <v>127</v>
      </c>
      <c r="I1053" s="84" t="s">
        <v>379</v>
      </c>
      <c r="J1053" s="84" t="s">
        <v>127</v>
      </c>
    </row>
    <row r="1054" spans="2:10" x14ac:dyDescent="0.3">
      <c r="B1054" s="79" t="s">
        <v>371</v>
      </c>
      <c r="C1054" s="79" t="s">
        <v>294</v>
      </c>
      <c r="D1054" s="73" t="s">
        <v>358</v>
      </c>
      <c r="E1054" s="73" t="s">
        <v>161</v>
      </c>
      <c r="F1054" s="74">
        <v>394261</v>
      </c>
      <c r="G1054" s="80">
        <v>0.39426099999999997</v>
      </c>
      <c r="H1054" s="81" t="s">
        <v>127</v>
      </c>
      <c r="I1054" s="81" t="s">
        <v>379</v>
      </c>
      <c r="J1054" s="82" t="s">
        <v>127</v>
      </c>
    </row>
    <row r="1055" spans="2:10" x14ac:dyDescent="0.3">
      <c r="B1055" s="70" t="s">
        <v>371</v>
      </c>
      <c r="C1055" s="70" t="s">
        <v>294</v>
      </c>
      <c r="D1055" s="71" t="s">
        <v>358</v>
      </c>
      <c r="E1055" s="71" t="s">
        <v>161</v>
      </c>
      <c r="F1055" s="72">
        <v>3787118</v>
      </c>
      <c r="G1055" s="83">
        <v>3.787118</v>
      </c>
      <c r="H1055" s="84" t="s">
        <v>127</v>
      </c>
      <c r="I1055" s="84" t="s">
        <v>379</v>
      </c>
      <c r="J1055" s="84" t="s">
        <v>127</v>
      </c>
    </row>
    <row r="1056" spans="2:10" x14ac:dyDescent="0.3">
      <c r="B1056" s="79" t="s">
        <v>371</v>
      </c>
      <c r="C1056" s="79" t="s">
        <v>294</v>
      </c>
      <c r="D1056" s="73" t="s">
        <v>358</v>
      </c>
      <c r="E1056" s="73" t="s">
        <v>161</v>
      </c>
      <c r="F1056" s="74">
        <v>477682</v>
      </c>
      <c r="G1056" s="80">
        <v>0.477682</v>
      </c>
      <c r="H1056" s="81" t="s">
        <v>127</v>
      </c>
      <c r="I1056" s="81" t="s">
        <v>379</v>
      </c>
      <c r="J1056" s="82" t="s">
        <v>127</v>
      </c>
    </row>
    <row r="1057" spans="2:10" x14ac:dyDescent="0.3">
      <c r="B1057" s="70" t="s">
        <v>371</v>
      </c>
      <c r="C1057" s="70" t="s">
        <v>294</v>
      </c>
      <c r="D1057" s="71" t="s">
        <v>358</v>
      </c>
      <c r="E1057" s="71" t="s">
        <v>161</v>
      </c>
      <c r="F1057" s="72">
        <v>2515367</v>
      </c>
      <c r="G1057" s="83">
        <v>2.5153669999999999</v>
      </c>
      <c r="H1057" s="84" t="s">
        <v>127</v>
      </c>
      <c r="I1057" s="84" t="s">
        <v>379</v>
      </c>
      <c r="J1057" s="84" t="s">
        <v>127</v>
      </c>
    </row>
    <row r="1058" spans="2:10" x14ac:dyDescent="0.3">
      <c r="B1058" s="79" t="s">
        <v>371</v>
      </c>
      <c r="C1058" s="79" t="s">
        <v>294</v>
      </c>
      <c r="D1058" s="73" t="s">
        <v>358</v>
      </c>
      <c r="E1058" s="73" t="s">
        <v>161</v>
      </c>
      <c r="F1058" s="74">
        <v>336163</v>
      </c>
      <c r="G1058" s="80">
        <v>0.33616299999999999</v>
      </c>
      <c r="H1058" s="81" t="s">
        <v>127</v>
      </c>
      <c r="I1058" s="81" t="s">
        <v>379</v>
      </c>
      <c r="J1058" s="82" t="s">
        <v>127</v>
      </c>
    </row>
    <row r="1059" spans="2:10" x14ac:dyDescent="0.3">
      <c r="B1059" s="70" t="s">
        <v>371</v>
      </c>
      <c r="C1059" s="70" t="s">
        <v>294</v>
      </c>
      <c r="D1059" s="71" t="s">
        <v>358</v>
      </c>
      <c r="E1059" s="71" t="s">
        <v>161</v>
      </c>
      <c r="F1059" s="72">
        <v>1618935</v>
      </c>
      <c r="G1059" s="83">
        <v>1.618935</v>
      </c>
      <c r="H1059" s="84" t="s">
        <v>127</v>
      </c>
      <c r="I1059" s="84" t="s">
        <v>379</v>
      </c>
      <c r="J1059" s="84" t="s">
        <v>127</v>
      </c>
    </row>
    <row r="1060" spans="2:10" x14ac:dyDescent="0.3">
      <c r="B1060" s="79" t="s">
        <v>371</v>
      </c>
      <c r="C1060" s="79" t="s">
        <v>294</v>
      </c>
      <c r="D1060" s="73" t="s">
        <v>358</v>
      </c>
      <c r="E1060" s="73" t="s">
        <v>161</v>
      </c>
      <c r="F1060" s="74">
        <v>359019</v>
      </c>
      <c r="G1060" s="80">
        <v>0.35901899999999998</v>
      </c>
      <c r="H1060" s="81" t="s">
        <v>127</v>
      </c>
      <c r="I1060" s="81" t="s">
        <v>379</v>
      </c>
      <c r="J1060" s="82" t="s">
        <v>127</v>
      </c>
    </row>
    <row r="1061" spans="2:10" x14ac:dyDescent="0.3">
      <c r="B1061" s="70" t="s">
        <v>371</v>
      </c>
      <c r="C1061" s="70" t="s">
        <v>294</v>
      </c>
      <c r="D1061" s="71" t="s">
        <v>358</v>
      </c>
      <c r="E1061" s="71" t="s">
        <v>161</v>
      </c>
      <c r="F1061" s="72">
        <v>2555974</v>
      </c>
      <c r="G1061" s="83">
        <v>2.555974</v>
      </c>
      <c r="H1061" s="84" t="s">
        <v>127</v>
      </c>
      <c r="I1061" s="84" t="s">
        <v>379</v>
      </c>
      <c r="J1061" s="84" t="s">
        <v>127</v>
      </c>
    </row>
    <row r="1062" spans="2:10" x14ac:dyDescent="0.3">
      <c r="B1062" s="79" t="s">
        <v>371</v>
      </c>
      <c r="C1062" s="79" t="s">
        <v>294</v>
      </c>
      <c r="D1062" s="73" t="s">
        <v>358</v>
      </c>
      <c r="E1062" s="73" t="s">
        <v>161</v>
      </c>
      <c r="F1062" s="74">
        <v>421697</v>
      </c>
      <c r="G1062" s="80">
        <v>0.42169699999999999</v>
      </c>
      <c r="H1062" s="81" t="s">
        <v>127</v>
      </c>
      <c r="I1062" s="81" t="s">
        <v>379</v>
      </c>
      <c r="J1062" s="82" t="s">
        <v>127</v>
      </c>
    </row>
    <row r="1063" spans="2:10" x14ac:dyDescent="0.3">
      <c r="B1063" s="70" t="s">
        <v>371</v>
      </c>
      <c r="C1063" s="70" t="s">
        <v>294</v>
      </c>
      <c r="D1063" s="71" t="s">
        <v>358</v>
      </c>
      <c r="E1063" s="71" t="s">
        <v>161</v>
      </c>
      <c r="F1063" s="72">
        <v>2743069</v>
      </c>
      <c r="G1063" s="83">
        <v>2.7430690000000002</v>
      </c>
      <c r="H1063" s="84" t="s">
        <v>127</v>
      </c>
      <c r="I1063" s="84" t="s">
        <v>379</v>
      </c>
      <c r="J1063" s="84" t="s">
        <v>127</v>
      </c>
    </row>
    <row r="1064" spans="2:10" x14ac:dyDescent="0.3">
      <c r="B1064" s="79" t="s">
        <v>371</v>
      </c>
      <c r="C1064" s="79" t="s">
        <v>294</v>
      </c>
      <c r="D1064" s="73" t="s">
        <v>358</v>
      </c>
      <c r="E1064" s="73" t="s">
        <v>161</v>
      </c>
      <c r="F1064" s="74">
        <v>294220</v>
      </c>
      <c r="G1064" s="80">
        <v>0.29421999999999998</v>
      </c>
      <c r="H1064" s="81" t="s">
        <v>127</v>
      </c>
      <c r="I1064" s="81" t="s">
        <v>379</v>
      </c>
      <c r="J1064" s="82" t="s">
        <v>127</v>
      </c>
    </row>
    <row r="1065" spans="2:10" x14ac:dyDescent="0.3">
      <c r="B1065" s="70" t="s">
        <v>371</v>
      </c>
      <c r="C1065" s="70" t="s">
        <v>311</v>
      </c>
      <c r="D1065" s="71" t="s">
        <v>358</v>
      </c>
      <c r="E1065" s="71" t="s">
        <v>161</v>
      </c>
      <c r="F1065" s="72">
        <v>6135008</v>
      </c>
      <c r="G1065" s="83">
        <v>6.135008</v>
      </c>
      <c r="H1065" s="84" t="s">
        <v>127</v>
      </c>
      <c r="I1065" s="84" t="s">
        <v>379</v>
      </c>
      <c r="J1065" s="84" t="s">
        <v>127</v>
      </c>
    </row>
    <row r="1066" spans="2:10" x14ac:dyDescent="0.3">
      <c r="B1066" s="79" t="s">
        <v>371</v>
      </c>
      <c r="C1066" s="79" t="s">
        <v>311</v>
      </c>
      <c r="D1066" s="73" t="s">
        <v>358</v>
      </c>
      <c r="E1066" s="73" t="s">
        <v>161</v>
      </c>
      <c r="F1066" s="74">
        <v>777657</v>
      </c>
      <c r="G1066" s="80">
        <v>0.77765700000000004</v>
      </c>
      <c r="H1066" s="81" t="s">
        <v>127</v>
      </c>
      <c r="I1066" s="81" t="s">
        <v>379</v>
      </c>
      <c r="J1066" s="82" t="s">
        <v>127</v>
      </c>
    </row>
    <row r="1067" spans="2:10" x14ac:dyDescent="0.3">
      <c r="B1067" s="70" t="s">
        <v>371</v>
      </c>
      <c r="C1067" s="70" t="s">
        <v>323</v>
      </c>
      <c r="D1067" s="71" t="s">
        <v>358</v>
      </c>
      <c r="E1067" s="71" t="s">
        <v>161</v>
      </c>
      <c r="F1067" s="72">
        <v>1374986</v>
      </c>
      <c r="G1067" s="83">
        <v>1.374986</v>
      </c>
      <c r="H1067" s="84" t="s">
        <v>127</v>
      </c>
      <c r="I1067" s="84" t="s">
        <v>379</v>
      </c>
      <c r="J1067" s="84" t="s">
        <v>127</v>
      </c>
    </row>
    <row r="1068" spans="2:10" x14ac:dyDescent="0.3">
      <c r="B1068" s="79" t="s">
        <v>371</v>
      </c>
      <c r="C1068" s="79" t="s">
        <v>323</v>
      </c>
      <c r="D1068" s="73" t="s">
        <v>358</v>
      </c>
      <c r="E1068" s="73" t="s">
        <v>161</v>
      </c>
      <c r="F1068" s="74">
        <v>777600</v>
      </c>
      <c r="G1068" s="80">
        <v>0.77759999999999996</v>
      </c>
      <c r="H1068" s="81" t="s">
        <v>127</v>
      </c>
      <c r="I1068" s="81" t="s">
        <v>379</v>
      </c>
      <c r="J1068" s="82" t="s">
        <v>127</v>
      </c>
    </row>
    <row r="1069" spans="2:10" x14ac:dyDescent="0.3">
      <c r="B1069" s="70" t="s">
        <v>371</v>
      </c>
      <c r="C1069" s="70" t="s">
        <v>323</v>
      </c>
      <c r="D1069" s="71" t="s">
        <v>358</v>
      </c>
      <c r="E1069" s="71" t="s">
        <v>161</v>
      </c>
      <c r="F1069" s="72">
        <v>1309059</v>
      </c>
      <c r="G1069" s="83">
        <v>1.309059</v>
      </c>
      <c r="H1069" s="84" t="s">
        <v>127</v>
      </c>
      <c r="I1069" s="84" t="s">
        <v>379</v>
      </c>
      <c r="J1069" s="84" t="s">
        <v>127</v>
      </c>
    </row>
    <row r="1070" spans="2:10" x14ac:dyDescent="0.3">
      <c r="B1070" s="79" t="s">
        <v>371</v>
      </c>
      <c r="C1070" s="79" t="s">
        <v>323</v>
      </c>
      <c r="D1070" s="73" t="s">
        <v>358</v>
      </c>
      <c r="E1070" s="73" t="s">
        <v>161</v>
      </c>
      <c r="F1070" s="74">
        <v>712800</v>
      </c>
      <c r="G1070" s="80">
        <v>0.71279999999999999</v>
      </c>
      <c r="H1070" s="81" t="s">
        <v>127</v>
      </c>
      <c r="I1070" s="81" t="s">
        <v>379</v>
      </c>
      <c r="J1070" s="82" t="s">
        <v>127</v>
      </c>
    </row>
    <row r="1071" spans="2:10" x14ac:dyDescent="0.3">
      <c r="B1071" s="70" t="s">
        <v>371</v>
      </c>
      <c r="C1071" s="70" t="s">
        <v>318</v>
      </c>
      <c r="D1071" s="71" t="s">
        <v>358</v>
      </c>
      <c r="E1071" s="71" t="s">
        <v>161</v>
      </c>
      <c r="F1071" s="72">
        <v>765680</v>
      </c>
      <c r="G1071" s="83">
        <v>0.76568000000000003</v>
      </c>
      <c r="H1071" s="84" t="s">
        <v>127</v>
      </c>
      <c r="I1071" s="84" t="s">
        <v>379</v>
      </c>
      <c r="J1071" s="84" t="s">
        <v>127</v>
      </c>
    </row>
    <row r="1072" spans="2:10" x14ac:dyDescent="0.3">
      <c r="B1072" s="79" t="s">
        <v>371</v>
      </c>
      <c r="C1072" s="79" t="s">
        <v>318</v>
      </c>
      <c r="D1072" s="73" t="s">
        <v>358</v>
      </c>
      <c r="E1072" s="73" t="s">
        <v>161</v>
      </c>
      <c r="F1072" s="74">
        <v>961393</v>
      </c>
      <c r="G1072" s="80">
        <v>0.96139300000000005</v>
      </c>
      <c r="H1072" s="81" t="s">
        <v>127</v>
      </c>
      <c r="I1072" s="81" t="s">
        <v>379</v>
      </c>
      <c r="J1072" s="82" t="s">
        <v>127</v>
      </c>
    </row>
    <row r="1073" spans="2:10" x14ac:dyDescent="0.3">
      <c r="B1073" s="70" t="s">
        <v>371</v>
      </c>
      <c r="C1073" s="70" t="s">
        <v>318</v>
      </c>
      <c r="D1073" s="71" t="s">
        <v>358</v>
      </c>
      <c r="E1073" s="71" t="s">
        <v>161</v>
      </c>
      <c r="F1073" s="72">
        <v>48070</v>
      </c>
      <c r="G1073" s="83">
        <v>4.8070000000000002E-2</v>
      </c>
      <c r="H1073" s="84" t="s">
        <v>127</v>
      </c>
      <c r="I1073" s="84" t="s">
        <v>379</v>
      </c>
      <c r="J1073" s="84" t="s">
        <v>127</v>
      </c>
    </row>
    <row r="1074" spans="2:10" x14ac:dyDescent="0.3">
      <c r="B1074" s="79" t="s">
        <v>371</v>
      </c>
      <c r="C1074" s="79" t="s">
        <v>318</v>
      </c>
      <c r="D1074" s="73" t="s">
        <v>358</v>
      </c>
      <c r="E1074" s="73" t="s">
        <v>161</v>
      </c>
      <c r="F1074" s="74">
        <v>38284</v>
      </c>
      <c r="G1074" s="80">
        <v>3.8283999999999999E-2</v>
      </c>
      <c r="H1074" s="81" t="s">
        <v>127</v>
      </c>
      <c r="I1074" s="81" t="s">
        <v>379</v>
      </c>
      <c r="J1074" s="82" t="s">
        <v>127</v>
      </c>
    </row>
    <row r="1075" spans="2:10" x14ac:dyDescent="0.3">
      <c r="B1075" s="70" t="s">
        <v>371</v>
      </c>
      <c r="C1075" s="70" t="s">
        <v>318</v>
      </c>
      <c r="D1075" s="71" t="s">
        <v>358</v>
      </c>
      <c r="E1075" s="71" t="s">
        <v>161</v>
      </c>
      <c r="F1075" s="72">
        <v>864357</v>
      </c>
      <c r="G1075" s="83">
        <v>0.86435700000000004</v>
      </c>
      <c r="H1075" s="84" t="s">
        <v>127</v>
      </c>
      <c r="I1075" s="84" t="s">
        <v>379</v>
      </c>
      <c r="J1075" s="84" t="s">
        <v>127</v>
      </c>
    </row>
    <row r="1076" spans="2:10" x14ac:dyDescent="0.3">
      <c r="B1076" s="79" t="s">
        <v>371</v>
      </c>
      <c r="C1076" s="79" t="s">
        <v>318</v>
      </c>
      <c r="D1076" s="73" t="s">
        <v>358</v>
      </c>
      <c r="E1076" s="73" t="s">
        <v>161</v>
      </c>
      <c r="F1076" s="74">
        <v>746937</v>
      </c>
      <c r="G1076" s="80">
        <v>0.74693699999999996</v>
      </c>
      <c r="H1076" s="81" t="s">
        <v>127</v>
      </c>
      <c r="I1076" s="81" t="s">
        <v>379</v>
      </c>
      <c r="J1076" s="82" t="s">
        <v>127</v>
      </c>
    </row>
    <row r="1077" spans="2:10" x14ac:dyDescent="0.3">
      <c r="B1077" s="70" t="s">
        <v>371</v>
      </c>
      <c r="C1077" s="70" t="s">
        <v>318</v>
      </c>
      <c r="D1077" s="71" t="s">
        <v>358</v>
      </c>
      <c r="E1077" s="71" t="s">
        <v>161</v>
      </c>
      <c r="F1077" s="72">
        <v>841268</v>
      </c>
      <c r="G1077" s="83">
        <v>0.84126800000000002</v>
      </c>
      <c r="H1077" s="84" t="s">
        <v>127</v>
      </c>
      <c r="I1077" s="84" t="s">
        <v>379</v>
      </c>
      <c r="J1077" s="84" t="s">
        <v>127</v>
      </c>
    </row>
    <row r="1078" spans="2:10" x14ac:dyDescent="0.3">
      <c r="B1078" s="79" t="s">
        <v>371</v>
      </c>
      <c r="C1078" s="79" t="s">
        <v>318</v>
      </c>
      <c r="D1078" s="73" t="s">
        <v>358</v>
      </c>
      <c r="E1078" s="73" t="s">
        <v>161</v>
      </c>
      <c r="F1078" s="74">
        <v>42063</v>
      </c>
      <c r="G1078" s="80">
        <v>4.2063000000000003E-2</v>
      </c>
      <c r="H1078" s="81" t="s">
        <v>127</v>
      </c>
      <c r="I1078" s="81" t="s">
        <v>379</v>
      </c>
      <c r="J1078" s="82" t="s">
        <v>127</v>
      </c>
    </row>
    <row r="1079" spans="2:10" x14ac:dyDescent="0.3">
      <c r="B1079" s="70" t="s">
        <v>371</v>
      </c>
      <c r="C1079" s="70" t="s">
        <v>318</v>
      </c>
      <c r="D1079" s="71" t="s">
        <v>358</v>
      </c>
      <c r="E1079" s="71" t="s">
        <v>161</v>
      </c>
      <c r="F1079" s="72">
        <v>864585</v>
      </c>
      <c r="G1079" s="83">
        <v>0.86458500000000005</v>
      </c>
      <c r="H1079" s="84" t="s">
        <v>127</v>
      </c>
      <c r="I1079" s="84" t="s">
        <v>379</v>
      </c>
      <c r="J1079" s="84" t="s">
        <v>127</v>
      </c>
    </row>
    <row r="1080" spans="2:10" x14ac:dyDescent="0.3">
      <c r="B1080" s="79" t="s">
        <v>371</v>
      </c>
      <c r="C1080" s="79" t="s">
        <v>318</v>
      </c>
      <c r="D1080" s="73" t="s">
        <v>358</v>
      </c>
      <c r="E1080" s="73" t="s">
        <v>161</v>
      </c>
      <c r="F1080" s="74">
        <v>172917</v>
      </c>
      <c r="G1080" s="80">
        <v>0.17291699999999999</v>
      </c>
      <c r="H1080" s="81" t="s">
        <v>127</v>
      </c>
      <c r="I1080" s="81" t="s">
        <v>379</v>
      </c>
      <c r="J1080" s="82" t="s">
        <v>127</v>
      </c>
    </row>
    <row r="1081" spans="2:10" x14ac:dyDescent="0.3">
      <c r="B1081" s="70" t="s">
        <v>371</v>
      </c>
      <c r="C1081" s="70" t="s">
        <v>318</v>
      </c>
      <c r="D1081" s="71" t="s">
        <v>358</v>
      </c>
      <c r="E1081" s="71" t="s">
        <v>161</v>
      </c>
      <c r="F1081" s="72">
        <v>747019</v>
      </c>
      <c r="G1081" s="83">
        <v>0.74701899999999999</v>
      </c>
      <c r="H1081" s="84" t="s">
        <v>127</v>
      </c>
      <c r="I1081" s="84" t="s">
        <v>379</v>
      </c>
      <c r="J1081" s="84" t="s">
        <v>127</v>
      </c>
    </row>
    <row r="1082" spans="2:10" x14ac:dyDescent="0.3">
      <c r="B1082" s="79" t="s">
        <v>371</v>
      </c>
      <c r="C1082" s="79" t="s">
        <v>318</v>
      </c>
      <c r="D1082" s="73" t="s">
        <v>358</v>
      </c>
      <c r="E1082" s="73" t="s">
        <v>161</v>
      </c>
      <c r="F1082" s="74">
        <v>149404</v>
      </c>
      <c r="G1082" s="80">
        <v>0.14940400000000001</v>
      </c>
      <c r="H1082" s="81" t="s">
        <v>127</v>
      </c>
      <c r="I1082" s="81" t="s">
        <v>379</v>
      </c>
      <c r="J1082" s="82" t="s">
        <v>127</v>
      </c>
    </row>
    <row r="1083" spans="2:10" x14ac:dyDescent="0.3">
      <c r="B1083" s="70" t="s">
        <v>371</v>
      </c>
      <c r="C1083" s="70" t="s">
        <v>318</v>
      </c>
      <c r="D1083" s="71" t="s">
        <v>358</v>
      </c>
      <c r="E1083" s="71" t="s">
        <v>161</v>
      </c>
      <c r="F1083" s="72">
        <v>35050</v>
      </c>
      <c r="G1083" s="83">
        <v>3.5049999999999998E-2</v>
      </c>
      <c r="H1083" s="84" t="s">
        <v>127</v>
      </c>
      <c r="I1083" s="84" t="s">
        <v>379</v>
      </c>
      <c r="J1083" s="84" t="s">
        <v>127</v>
      </c>
    </row>
    <row r="1084" spans="2:10" x14ac:dyDescent="0.3">
      <c r="B1084" s="79" t="s">
        <v>371</v>
      </c>
      <c r="C1084" s="79" t="s">
        <v>318</v>
      </c>
      <c r="D1084" s="73" t="s">
        <v>358</v>
      </c>
      <c r="E1084" s="73" t="s">
        <v>161</v>
      </c>
      <c r="F1084" s="74">
        <v>701004</v>
      </c>
      <c r="G1084" s="80">
        <v>0.70100399999999996</v>
      </c>
      <c r="H1084" s="81" t="s">
        <v>127</v>
      </c>
      <c r="I1084" s="81" t="s">
        <v>379</v>
      </c>
      <c r="J1084" s="82" t="s">
        <v>127</v>
      </c>
    </row>
    <row r="1085" spans="2:10" x14ac:dyDescent="0.3">
      <c r="B1085" s="70" t="s">
        <v>371</v>
      </c>
      <c r="C1085" s="70" t="s">
        <v>314</v>
      </c>
      <c r="D1085" s="71" t="s">
        <v>358</v>
      </c>
      <c r="E1085" s="71" t="s">
        <v>161</v>
      </c>
      <c r="F1085" s="72">
        <v>1405335</v>
      </c>
      <c r="G1085" s="83">
        <v>1.405335</v>
      </c>
      <c r="H1085" s="84" t="s">
        <v>127</v>
      </c>
      <c r="I1085" s="84" t="s">
        <v>379</v>
      </c>
      <c r="J1085" s="84" t="s">
        <v>127</v>
      </c>
    </row>
    <row r="1086" spans="2:10" x14ac:dyDescent="0.3">
      <c r="B1086" s="79" t="s">
        <v>371</v>
      </c>
      <c r="C1086" s="79" t="s">
        <v>314</v>
      </c>
      <c r="D1086" s="73" t="s">
        <v>358</v>
      </c>
      <c r="E1086" s="73" t="s">
        <v>161</v>
      </c>
      <c r="F1086" s="74">
        <v>388800</v>
      </c>
      <c r="G1086" s="80">
        <v>0.38879999999999998</v>
      </c>
      <c r="H1086" s="81" t="s">
        <v>127</v>
      </c>
      <c r="I1086" s="81" t="s">
        <v>379</v>
      </c>
      <c r="J1086" s="82" t="s">
        <v>127</v>
      </c>
    </row>
    <row r="1087" spans="2:10" x14ac:dyDescent="0.3">
      <c r="B1087" s="70" t="s">
        <v>371</v>
      </c>
      <c r="C1087" s="70" t="s">
        <v>314</v>
      </c>
      <c r="D1087" s="71" t="s">
        <v>358</v>
      </c>
      <c r="E1087" s="71" t="s">
        <v>161</v>
      </c>
      <c r="F1087" s="72">
        <v>518400</v>
      </c>
      <c r="G1087" s="83">
        <v>0.51839999999999997</v>
      </c>
      <c r="H1087" s="84" t="s">
        <v>127</v>
      </c>
      <c r="I1087" s="84" t="s">
        <v>379</v>
      </c>
      <c r="J1087" s="84" t="s">
        <v>127</v>
      </c>
    </row>
    <row r="1088" spans="2:10" x14ac:dyDescent="0.3">
      <c r="B1088" s="79" t="s">
        <v>371</v>
      </c>
      <c r="C1088" s="79" t="s">
        <v>314</v>
      </c>
      <c r="D1088" s="73" t="s">
        <v>358</v>
      </c>
      <c r="E1088" s="73" t="s">
        <v>161</v>
      </c>
      <c r="F1088" s="74">
        <v>1363031</v>
      </c>
      <c r="G1088" s="80">
        <v>1.3630310000000001</v>
      </c>
      <c r="H1088" s="81" t="s">
        <v>127</v>
      </c>
      <c r="I1088" s="81" t="s">
        <v>379</v>
      </c>
      <c r="J1088" s="82" t="s">
        <v>127</v>
      </c>
    </row>
    <row r="1089" spans="2:10" x14ac:dyDescent="0.3">
      <c r="B1089" s="70" t="s">
        <v>371</v>
      </c>
      <c r="C1089" s="70" t="s">
        <v>314</v>
      </c>
      <c r="D1089" s="71" t="s">
        <v>358</v>
      </c>
      <c r="E1089" s="71" t="s">
        <v>161</v>
      </c>
      <c r="F1089" s="72">
        <v>583200</v>
      </c>
      <c r="G1089" s="83">
        <v>0.58320000000000005</v>
      </c>
      <c r="H1089" s="84" t="s">
        <v>127</v>
      </c>
      <c r="I1089" s="84" t="s">
        <v>379</v>
      </c>
      <c r="J1089" s="84" t="s">
        <v>127</v>
      </c>
    </row>
    <row r="1090" spans="2:10" x14ac:dyDescent="0.3">
      <c r="B1090" s="79" t="s">
        <v>371</v>
      </c>
      <c r="C1090" s="79" t="s">
        <v>314</v>
      </c>
      <c r="D1090" s="73" t="s">
        <v>358</v>
      </c>
      <c r="E1090" s="73" t="s">
        <v>161</v>
      </c>
      <c r="F1090" s="74">
        <v>1470623</v>
      </c>
      <c r="G1090" s="80">
        <v>1.470623</v>
      </c>
      <c r="H1090" s="81" t="s">
        <v>127</v>
      </c>
      <c r="I1090" s="81" t="s">
        <v>379</v>
      </c>
      <c r="J1090" s="82" t="s">
        <v>127</v>
      </c>
    </row>
    <row r="1091" spans="2:10" x14ac:dyDescent="0.3">
      <c r="B1091" s="70" t="s">
        <v>371</v>
      </c>
      <c r="C1091" s="70" t="s">
        <v>314</v>
      </c>
      <c r="D1091" s="71" t="s">
        <v>358</v>
      </c>
      <c r="E1091" s="71" t="s">
        <v>161</v>
      </c>
      <c r="F1091" s="72">
        <v>914456</v>
      </c>
      <c r="G1091" s="83">
        <v>0.91445600000000005</v>
      </c>
      <c r="H1091" s="84" t="s">
        <v>127</v>
      </c>
      <c r="I1091" s="84" t="s">
        <v>379</v>
      </c>
      <c r="J1091" s="84" t="s">
        <v>127</v>
      </c>
    </row>
    <row r="1092" spans="2:10" x14ac:dyDescent="0.3">
      <c r="B1092" s="79" t="s">
        <v>371</v>
      </c>
      <c r="C1092" s="79" t="s">
        <v>314</v>
      </c>
      <c r="D1092" s="73" t="s">
        <v>358</v>
      </c>
      <c r="E1092" s="73" t="s">
        <v>161</v>
      </c>
      <c r="F1092" s="74">
        <v>583200</v>
      </c>
      <c r="G1092" s="80">
        <v>0.58320000000000005</v>
      </c>
      <c r="H1092" s="81" t="s">
        <v>127</v>
      </c>
      <c r="I1092" s="81" t="s">
        <v>379</v>
      </c>
      <c r="J1092" s="82" t="s">
        <v>127</v>
      </c>
    </row>
    <row r="1093" spans="2:10" x14ac:dyDescent="0.3">
      <c r="B1093" s="70" t="s">
        <v>371</v>
      </c>
      <c r="C1093" s="70" t="s">
        <v>345</v>
      </c>
      <c r="D1093" s="71" t="s">
        <v>358</v>
      </c>
      <c r="E1093" s="71" t="s">
        <v>161</v>
      </c>
      <c r="F1093" s="72">
        <v>289799</v>
      </c>
      <c r="G1093" s="83">
        <v>0.28979899999999997</v>
      </c>
      <c r="H1093" s="84" t="s">
        <v>127</v>
      </c>
      <c r="I1093" s="84" t="s">
        <v>379</v>
      </c>
      <c r="J1093" s="84" t="s">
        <v>127</v>
      </c>
    </row>
    <row r="1094" spans="2:10" x14ac:dyDescent="0.3">
      <c r="B1094" s="79" t="s">
        <v>371</v>
      </c>
      <c r="C1094" s="79" t="s">
        <v>345</v>
      </c>
      <c r="D1094" s="73" t="s">
        <v>358</v>
      </c>
      <c r="E1094" s="73" t="s">
        <v>161</v>
      </c>
      <c r="F1094" s="74">
        <v>64800</v>
      </c>
      <c r="G1094" s="80">
        <v>6.4799999999999996E-2</v>
      </c>
      <c r="H1094" s="81" t="s">
        <v>127</v>
      </c>
      <c r="I1094" s="81" t="s">
        <v>379</v>
      </c>
      <c r="J1094" s="82" t="s">
        <v>127</v>
      </c>
    </row>
    <row r="1095" spans="2:10" x14ac:dyDescent="0.3">
      <c r="B1095" s="70" t="s">
        <v>371</v>
      </c>
      <c r="C1095" s="70" t="s">
        <v>340</v>
      </c>
      <c r="D1095" s="71" t="s">
        <v>358</v>
      </c>
      <c r="E1095" s="71" t="s">
        <v>161</v>
      </c>
      <c r="F1095" s="72">
        <v>92820</v>
      </c>
      <c r="G1095" s="83">
        <v>9.282E-2</v>
      </c>
      <c r="H1095" s="84" t="s">
        <v>127</v>
      </c>
      <c r="I1095" s="84" t="s">
        <v>379</v>
      </c>
      <c r="J1095" s="84" t="s">
        <v>127</v>
      </c>
    </row>
    <row r="1096" spans="2:10" x14ac:dyDescent="0.3">
      <c r="B1096" s="79" t="s">
        <v>371</v>
      </c>
      <c r="C1096" s="79" t="s">
        <v>340</v>
      </c>
      <c r="D1096" s="73" t="s">
        <v>358</v>
      </c>
      <c r="E1096" s="73" t="s">
        <v>161</v>
      </c>
      <c r="F1096" s="74">
        <v>92820</v>
      </c>
      <c r="G1096" s="80">
        <v>9.282E-2</v>
      </c>
      <c r="H1096" s="81" t="s">
        <v>127</v>
      </c>
      <c r="I1096" s="81" t="s">
        <v>379</v>
      </c>
      <c r="J1096" s="82" t="s">
        <v>127</v>
      </c>
    </row>
    <row r="1097" spans="2:10" x14ac:dyDescent="0.3">
      <c r="B1097" s="70" t="s">
        <v>371</v>
      </c>
      <c r="C1097" s="70" t="s">
        <v>340</v>
      </c>
      <c r="D1097" s="71" t="s">
        <v>358</v>
      </c>
      <c r="E1097" s="71" t="s">
        <v>161</v>
      </c>
      <c r="F1097" s="72">
        <v>92820</v>
      </c>
      <c r="G1097" s="83">
        <v>9.282E-2</v>
      </c>
      <c r="H1097" s="84" t="s">
        <v>127</v>
      </c>
      <c r="I1097" s="84" t="s">
        <v>379</v>
      </c>
      <c r="J1097" s="84" t="s">
        <v>127</v>
      </c>
    </row>
    <row r="1098" spans="2:10" x14ac:dyDescent="0.3">
      <c r="B1098" s="79" t="s">
        <v>371</v>
      </c>
      <c r="C1098" s="79" t="s">
        <v>340</v>
      </c>
      <c r="D1098" s="73" t="s">
        <v>358</v>
      </c>
      <c r="E1098" s="73" t="s">
        <v>161</v>
      </c>
      <c r="F1098" s="74">
        <v>92820</v>
      </c>
      <c r="G1098" s="80">
        <v>9.282E-2</v>
      </c>
      <c r="H1098" s="81" t="s">
        <v>127</v>
      </c>
      <c r="I1098" s="81" t="s">
        <v>379</v>
      </c>
      <c r="J1098" s="82" t="s">
        <v>127</v>
      </c>
    </row>
    <row r="1099" spans="2:10" x14ac:dyDescent="0.3">
      <c r="B1099" s="70" t="s">
        <v>371</v>
      </c>
      <c r="C1099" s="70" t="s">
        <v>340</v>
      </c>
      <c r="D1099" s="71" t="s">
        <v>358</v>
      </c>
      <c r="E1099" s="71" t="s">
        <v>161</v>
      </c>
      <c r="F1099" s="72">
        <v>92820</v>
      </c>
      <c r="G1099" s="83">
        <v>9.282E-2</v>
      </c>
      <c r="H1099" s="84" t="s">
        <v>127</v>
      </c>
      <c r="I1099" s="84" t="s">
        <v>379</v>
      </c>
      <c r="J1099" s="84" t="s">
        <v>127</v>
      </c>
    </row>
    <row r="1100" spans="2:10" x14ac:dyDescent="0.3">
      <c r="B1100" s="79" t="s">
        <v>371</v>
      </c>
      <c r="C1100" s="79" t="s">
        <v>340</v>
      </c>
      <c r="D1100" s="73" t="s">
        <v>358</v>
      </c>
      <c r="E1100" s="73" t="s">
        <v>161</v>
      </c>
      <c r="F1100" s="74">
        <v>129948</v>
      </c>
      <c r="G1100" s="80">
        <v>0.12994800000000001</v>
      </c>
      <c r="H1100" s="81" t="s">
        <v>127</v>
      </c>
      <c r="I1100" s="81" t="s">
        <v>379</v>
      </c>
      <c r="J1100" s="82" t="s">
        <v>127</v>
      </c>
    </row>
    <row r="1101" spans="2:10" x14ac:dyDescent="0.3">
      <c r="B1101" s="70" t="s">
        <v>371</v>
      </c>
      <c r="C1101" s="70" t="s">
        <v>340</v>
      </c>
      <c r="D1101" s="71" t="s">
        <v>358</v>
      </c>
      <c r="E1101" s="71" t="s">
        <v>161</v>
      </c>
      <c r="F1101" s="72">
        <v>32487</v>
      </c>
      <c r="G1101" s="83">
        <v>3.2487000000000002E-2</v>
      </c>
      <c r="H1101" s="84" t="s">
        <v>127</v>
      </c>
      <c r="I1101" s="84" t="s">
        <v>379</v>
      </c>
      <c r="J1101" s="84" t="s">
        <v>127</v>
      </c>
    </row>
    <row r="1102" spans="2:10" x14ac:dyDescent="0.3">
      <c r="B1102" s="79" t="s">
        <v>371</v>
      </c>
      <c r="C1102" s="79" t="s">
        <v>340</v>
      </c>
      <c r="D1102" s="73" t="s">
        <v>358</v>
      </c>
      <c r="E1102" s="73" t="s">
        <v>161</v>
      </c>
      <c r="F1102" s="74">
        <v>94610</v>
      </c>
      <c r="G1102" s="80">
        <v>9.461E-2</v>
      </c>
      <c r="H1102" s="81" t="s">
        <v>127</v>
      </c>
      <c r="I1102" s="81" t="s">
        <v>379</v>
      </c>
      <c r="J1102" s="82" t="s">
        <v>127</v>
      </c>
    </row>
    <row r="1103" spans="2:10" x14ac:dyDescent="0.3">
      <c r="B1103" s="70" t="s">
        <v>371</v>
      </c>
      <c r="C1103" s="70" t="s">
        <v>339</v>
      </c>
      <c r="D1103" s="71" t="s">
        <v>358</v>
      </c>
      <c r="E1103" s="71" t="s">
        <v>161</v>
      </c>
      <c r="F1103" s="72">
        <v>500000</v>
      </c>
      <c r="G1103" s="83">
        <v>0.5</v>
      </c>
      <c r="H1103" s="84" t="s">
        <v>127</v>
      </c>
      <c r="I1103" s="84" t="s">
        <v>379</v>
      </c>
      <c r="J1103" s="84" t="s">
        <v>127</v>
      </c>
    </row>
    <row r="1104" spans="2:10" x14ac:dyDescent="0.3">
      <c r="B1104" s="79" t="s">
        <v>371</v>
      </c>
      <c r="C1104" s="79" t="s">
        <v>339</v>
      </c>
      <c r="D1104" s="73" t="s">
        <v>358</v>
      </c>
      <c r="E1104" s="73" t="s">
        <v>161</v>
      </c>
      <c r="F1104" s="74">
        <v>100000</v>
      </c>
      <c r="G1104" s="80">
        <v>0.1</v>
      </c>
      <c r="H1104" s="81" t="s">
        <v>127</v>
      </c>
      <c r="I1104" s="81" t="s">
        <v>379</v>
      </c>
      <c r="J1104" s="82" t="s">
        <v>127</v>
      </c>
    </row>
    <row r="1105" spans="2:10" x14ac:dyDescent="0.3">
      <c r="B1105" s="70" t="s">
        <v>371</v>
      </c>
      <c r="C1105" s="70" t="s">
        <v>339</v>
      </c>
      <c r="D1105" s="71" t="s">
        <v>358</v>
      </c>
      <c r="E1105" s="71" t="s">
        <v>161</v>
      </c>
      <c r="F1105" s="72">
        <v>100000</v>
      </c>
      <c r="G1105" s="83">
        <v>0.1</v>
      </c>
      <c r="H1105" s="84" t="s">
        <v>127</v>
      </c>
      <c r="I1105" s="84" t="s">
        <v>379</v>
      </c>
      <c r="J1105" s="84" t="s">
        <v>127</v>
      </c>
    </row>
    <row r="1106" spans="2:10" x14ac:dyDescent="0.3">
      <c r="B1106" s="79" t="s">
        <v>371</v>
      </c>
      <c r="C1106" s="79" t="s">
        <v>339</v>
      </c>
      <c r="D1106" s="73" t="s">
        <v>358</v>
      </c>
      <c r="E1106" s="73" t="s">
        <v>161</v>
      </c>
      <c r="F1106" s="74">
        <v>100000</v>
      </c>
      <c r="G1106" s="80">
        <v>0.1</v>
      </c>
      <c r="H1106" s="81" t="s">
        <v>127</v>
      </c>
      <c r="I1106" s="81" t="s">
        <v>379</v>
      </c>
      <c r="J1106" s="82" t="s">
        <v>127</v>
      </c>
    </row>
    <row r="1107" spans="2:10" x14ac:dyDescent="0.3">
      <c r="B1107" s="70" t="s">
        <v>371</v>
      </c>
      <c r="C1107" s="70" t="s">
        <v>339</v>
      </c>
      <c r="D1107" s="71" t="s">
        <v>358</v>
      </c>
      <c r="E1107" s="71" t="s">
        <v>161</v>
      </c>
      <c r="F1107" s="72">
        <v>100000</v>
      </c>
      <c r="G1107" s="83">
        <v>0.1</v>
      </c>
      <c r="H1107" s="84" t="s">
        <v>127</v>
      </c>
      <c r="I1107" s="84" t="s">
        <v>379</v>
      </c>
      <c r="J1107" s="84" t="s">
        <v>127</v>
      </c>
    </row>
    <row r="1108" spans="2:10" x14ac:dyDescent="0.3">
      <c r="B1108" s="79" t="s">
        <v>371</v>
      </c>
      <c r="C1108" s="79" t="s">
        <v>337</v>
      </c>
      <c r="D1108" s="73" t="s">
        <v>358</v>
      </c>
      <c r="E1108" s="73" t="s">
        <v>161</v>
      </c>
      <c r="F1108" s="74">
        <v>308280</v>
      </c>
      <c r="G1108" s="80">
        <v>0.30828</v>
      </c>
      <c r="H1108" s="81" t="s">
        <v>127</v>
      </c>
      <c r="I1108" s="81" t="s">
        <v>379</v>
      </c>
      <c r="J1108" s="82" t="s">
        <v>127</v>
      </c>
    </row>
    <row r="1109" spans="2:10" x14ac:dyDescent="0.3">
      <c r="B1109" s="70" t="s">
        <v>371</v>
      </c>
      <c r="C1109" s="70" t="s">
        <v>337</v>
      </c>
      <c r="D1109" s="71" t="s">
        <v>358</v>
      </c>
      <c r="E1109" s="71" t="s">
        <v>161</v>
      </c>
      <c r="F1109" s="72">
        <v>241680</v>
      </c>
      <c r="G1109" s="83">
        <v>0.24168000000000001</v>
      </c>
      <c r="H1109" s="84" t="s">
        <v>127</v>
      </c>
      <c r="I1109" s="84" t="s">
        <v>379</v>
      </c>
      <c r="J1109" s="84" t="s">
        <v>127</v>
      </c>
    </row>
    <row r="1110" spans="2:10" x14ac:dyDescent="0.3">
      <c r="B1110" s="79" t="s">
        <v>371</v>
      </c>
      <c r="C1110" s="79" t="s">
        <v>337</v>
      </c>
      <c r="D1110" s="73" t="s">
        <v>358</v>
      </c>
      <c r="E1110" s="73" t="s">
        <v>161</v>
      </c>
      <c r="F1110" s="74">
        <v>132120</v>
      </c>
      <c r="G1110" s="80">
        <v>0.13211999999999999</v>
      </c>
      <c r="H1110" s="81" t="s">
        <v>127</v>
      </c>
      <c r="I1110" s="81" t="s">
        <v>379</v>
      </c>
      <c r="J1110" s="82" t="s">
        <v>127</v>
      </c>
    </row>
    <row r="1111" spans="2:10" x14ac:dyDescent="0.3">
      <c r="B1111" s="70" t="s">
        <v>371</v>
      </c>
      <c r="C1111" s="70" t="s">
        <v>337</v>
      </c>
      <c r="D1111" s="71" t="s">
        <v>358</v>
      </c>
      <c r="E1111" s="71" t="s">
        <v>161</v>
      </c>
      <c r="F1111" s="72">
        <v>132120</v>
      </c>
      <c r="G1111" s="83">
        <v>0.13211999999999999</v>
      </c>
      <c r="H1111" s="84" t="s">
        <v>127</v>
      </c>
      <c r="I1111" s="84" t="s">
        <v>379</v>
      </c>
      <c r="J1111" s="84" t="s">
        <v>127</v>
      </c>
    </row>
    <row r="1112" spans="2:10" x14ac:dyDescent="0.3">
      <c r="B1112" s="79" t="s">
        <v>371</v>
      </c>
      <c r="C1112" s="79" t="s">
        <v>337</v>
      </c>
      <c r="D1112" s="73" t="s">
        <v>358</v>
      </c>
      <c r="E1112" s="73" t="s">
        <v>161</v>
      </c>
      <c r="F1112" s="74">
        <v>132120</v>
      </c>
      <c r="G1112" s="80">
        <v>0.13211999999999999</v>
      </c>
      <c r="H1112" s="81" t="s">
        <v>127</v>
      </c>
      <c r="I1112" s="81" t="s">
        <v>379</v>
      </c>
      <c r="J1112" s="82" t="s">
        <v>127</v>
      </c>
    </row>
    <row r="1113" spans="2:10" x14ac:dyDescent="0.3">
      <c r="B1113" s="70" t="s">
        <v>371</v>
      </c>
      <c r="C1113" s="70" t="s">
        <v>337</v>
      </c>
      <c r="D1113" s="71" t="s">
        <v>358</v>
      </c>
      <c r="E1113" s="71" t="s">
        <v>161</v>
      </c>
      <c r="F1113" s="72">
        <v>88680</v>
      </c>
      <c r="G1113" s="83">
        <v>8.8679999999999995E-2</v>
      </c>
      <c r="H1113" s="84" t="s">
        <v>127</v>
      </c>
      <c r="I1113" s="84" t="s">
        <v>379</v>
      </c>
      <c r="J1113" s="84" t="s">
        <v>127</v>
      </c>
    </row>
    <row r="1114" spans="2:10" x14ac:dyDescent="0.3">
      <c r="B1114" s="79" t="s">
        <v>371</v>
      </c>
      <c r="C1114" s="79" t="s">
        <v>337</v>
      </c>
      <c r="D1114" s="73" t="s">
        <v>358</v>
      </c>
      <c r="E1114" s="73" t="s">
        <v>161</v>
      </c>
      <c r="F1114" s="74">
        <v>8775</v>
      </c>
      <c r="G1114" s="80">
        <v>8.7749999999999998E-3</v>
      </c>
      <c r="H1114" s="81" t="s">
        <v>127</v>
      </c>
      <c r="I1114" s="81" t="s">
        <v>379</v>
      </c>
      <c r="J1114" s="82" t="s">
        <v>127</v>
      </c>
    </row>
    <row r="1115" spans="2:10" x14ac:dyDescent="0.3">
      <c r="B1115" s="70" t="s">
        <v>371</v>
      </c>
      <c r="C1115" s="70" t="s">
        <v>337</v>
      </c>
      <c r="D1115" s="71" t="s">
        <v>358</v>
      </c>
      <c r="E1115" s="71" t="s">
        <v>161</v>
      </c>
      <c r="F1115" s="72">
        <v>43440</v>
      </c>
      <c r="G1115" s="83">
        <v>4.3439999999999999E-2</v>
      </c>
      <c r="H1115" s="84" t="s">
        <v>127</v>
      </c>
      <c r="I1115" s="84" t="s">
        <v>379</v>
      </c>
      <c r="J1115" s="84" t="s">
        <v>127</v>
      </c>
    </row>
    <row r="1116" spans="2:10" x14ac:dyDescent="0.3">
      <c r="B1116" s="79" t="s">
        <v>371</v>
      </c>
      <c r="C1116" s="79" t="s">
        <v>337</v>
      </c>
      <c r="D1116" s="73" t="s">
        <v>358</v>
      </c>
      <c r="E1116" s="73" t="s">
        <v>161</v>
      </c>
      <c r="F1116" s="74">
        <v>56560</v>
      </c>
      <c r="G1116" s="80">
        <v>5.6559999999999999E-2</v>
      </c>
      <c r="H1116" s="81" t="s">
        <v>127</v>
      </c>
      <c r="I1116" s="81" t="s">
        <v>379</v>
      </c>
      <c r="J1116" s="82" t="s">
        <v>127</v>
      </c>
    </row>
    <row r="1117" spans="2:10" x14ac:dyDescent="0.3">
      <c r="B1117" s="70" t="s">
        <v>371</v>
      </c>
      <c r="C1117" s="70" t="s">
        <v>338</v>
      </c>
      <c r="D1117" s="71" t="s">
        <v>358</v>
      </c>
      <c r="E1117" s="71" t="s">
        <v>161</v>
      </c>
      <c r="F1117" s="72">
        <v>196951</v>
      </c>
      <c r="G1117" s="83">
        <v>0.19695099999999999</v>
      </c>
      <c r="H1117" s="84" t="s">
        <v>127</v>
      </c>
      <c r="I1117" s="84" t="s">
        <v>379</v>
      </c>
      <c r="J1117" s="84" t="s">
        <v>127</v>
      </c>
    </row>
    <row r="1118" spans="2:10" x14ac:dyDescent="0.3">
      <c r="B1118" s="79" t="s">
        <v>371</v>
      </c>
      <c r="C1118" s="79" t="s">
        <v>338</v>
      </c>
      <c r="D1118" s="73" t="s">
        <v>358</v>
      </c>
      <c r="E1118" s="73" t="s">
        <v>161</v>
      </c>
      <c r="F1118" s="74">
        <v>283859</v>
      </c>
      <c r="G1118" s="80">
        <v>0.28385899999999997</v>
      </c>
      <c r="H1118" s="81" t="s">
        <v>127</v>
      </c>
      <c r="I1118" s="81" t="s">
        <v>379</v>
      </c>
      <c r="J1118" s="82" t="s">
        <v>127</v>
      </c>
    </row>
    <row r="1119" spans="2:10" x14ac:dyDescent="0.3">
      <c r="B1119" s="70" t="s">
        <v>371</v>
      </c>
      <c r="C1119" s="70" t="s">
        <v>338</v>
      </c>
      <c r="D1119" s="71" t="s">
        <v>358</v>
      </c>
      <c r="E1119" s="71" t="s">
        <v>161</v>
      </c>
      <c r="F1119" s="72">
        <v>283859</v>
      </c>
      <c r="G1119" s="83">
        <v>0.28385899999999997</v>
      </c>
      <c r="H1119" s="84" t="s">
        <v>127</v>
      </c>
      <c r="I1119" s="84" t="s">
        <v>379</v>
      </c>
      <c r="J1119" s="84" t="s">
        <v>127</v>
      </c>
    </row>
    <row r="1120" spans="2:10" x14ac:dyDescent="0.3">
      <c r="B1120" s="79" t="s">
        <v>371</v>
      </c>
      <c r="C1120" s="79" t="s">
        <v>338</v>
      </c>
      <c r="D1120" s="73" t="s">
        <v>358</v>
      </c>
      <c r="E1120" s="73" t="s">
        <v>161</v>
      </c>
      <c r="F1120" s="74">
        <v>338569</v>
      </c>
      <c r="G1120" s="80">
        <v>0.33856900000000001</v>
      </c>
      <c r="H1120" s="81" t="s">
        <v>127</v>
      </c>
      <c r="I1120" s="81" t="s">
        <v>379</v>
      </c>
      <c r="J1120" s="82" t="s">
        <v>127</v>
      </c>
    </row>
    <row r="1121" spans="2:10" x14ac:dyDescent="0.3">
      <c r="B1121" s="70" t="s">
        <v>371</v>
      </c>
      <c r="C1121" s="70" t="s">
        <v>338</v>
      </c>
      <c r="D1121" s="71" t="s">
        <v>358</v>
      </c>
      <c r="E1121" s="71" t="s">
        <v>161</v>
      </c>
      <c r="F1121" s="72">
        <v>17084</v>
      </c>
      <c r="G1121" s="83">
        <v>1.7083999999999998E-2</v>
      </c>
      <c r="H1121" s="84" t="s">
        <v>127</v>
      </c>
      <c r="I1121" s="84" t="s">
        <v>379</v>
      </c>
      <c r="J1121" s="84" t="s">
        <v>127</v>
      </c>
    </row>
    <row r="1122" spans="2:10" x14ac:dyDescent="0.3">
      <c r="B1122" s="79" t="s">
        <v>371</v>
      </c>
      <c r="C1122" s="79" t="s">
        <v>305</v>
      </c>
      <c r="D1122" s="73" t="s">
        <v>358</v>
      </c>
      <c r="E1122" s="73" t="s">
        <v>161</v>
      </c>
      <c r="F1122" s="74">
        <v>602960</v>
      </c>
      <c r="G1122" s="80">
        <v>0.60296000000000005</v>
      </c>
      <c r="H1122" s="81" t="s">
        <v>127</v>
      </c>
      <c r="I1122" s="81" t="s">
        <v>379</v>
      </c>
      <c r="J1122" s="82" t="s">
        <v>127</v>
      </c>
    </row>
    <row r="1123" spans="2:10" x14ac:dyDescent="0.3">
      <c r="B1123" s="70" t="s">
        <v>371</v>
      </c>
      <c r="C1123" s="70" t="s">
        <v>305</v>
      </c>
      <c r="D1123" s="71" t="s">
        <v>358</v>
      </c>
      <c r="E1123" s="71" t="s">
        <v>161</v>
      </c>
      <c r="F1123" s="72">
        <v>605741</v>
      </c>
      <c r="G1123" s="83">
        <v>0.60574099999999997</v>
      </c>
      <c r="H1123" s="84" t="s">
        <v>127</v>
      </c>
      <c r="I1123" s="84" t="s">
        <v>379</v>
      </c>
      <c r="J1123" s="84" t="s">
        <v>127</v>
      </c>
    </row>
    <row r="1124" spans="2:10" x14ac:dyDescent="0.3">
      <c r="B1124" s="79" t="s">
        <v>371</v>
      </c>
      <c r="C1124" s="79" t="s">
        <v>305</v>
      </c>
      <c r="D1124" s="73" t="s">
        <v>358</v>
      </c>
      <c r="E1124" s="73" t="s">
        <v>161</v>
      </c>
      <c r="F1124" s="74">
        <v>605741</v>
      </c>
      <c r="G1124" s="80">
        <v>0.60574099999999997</v>
      </c>
      <c r="H1124" s="81" t="s">
        <v>127</v>
      </c>
      <c r="I1124" s="81" t="s">
        <v>379</v>
      </c>
      <c r="J1124" s="82" t="s">
        <v>127</v>
      </c>
    </row>
    <row r="1125" spans="2:10" x14ac:dyDescent="0.3">
      <c r="B1125" s="70" t="s">
        <v>371</v>
      </c>
      <c r="C1125" s="70" t="s">
        <v>305</v>
      </c>
      <c r="D1125" s="71" t="s">
        <v>358</v>
      </c>
      <c r="E1125" s="71" t="s">
        <v>161</v>
      </c>
      <c r="F1125" s="72">
        <v>605741</v>
      </c>
      <c r="G1125" s="83">
        <v>0.60574099999999997</v>
      </c>
      <c r="H1125" s="84" t="s">
        <v>127</v>
      </c>
      <c r="I1125" s="84" t="s">
        <v>379</v>
      </c>
      <c r="J1125" s="84" t="s">
        <v>127</v>
      </c>
    </row>
    <row r="1126" spans="2:10" x14ac:dyDescent="0.3">
      <c r="B1126" s="79" t="s">
        <v>371</v>
      </c>
      <c r="C1126" s="79" t="s">
        <v>305</v>
      </c>
      <c r="D1126" s="73" t="s">
        <v>358</v>
      </c>
      <c r="E1126" s="73" t="s">
        <v>161</v>
      </c>
      <c r="F1126" s="74">
        <v>605741</v>
      </c>
      <c r="G1126" s="80">
        <v>0.60574099999999997</v>
      </c>
      <c r="H1126" s="81" t="s">
        <v>127</v>
      </c>
      <c r="I1126" s="81" t="s">
        <v>379</v>
      </c>
      <c r="J1126" s="82" t="s">
        <v>127</v>
      </c>
    </row>
    <row r="1127" spans="2:10" x14ac:dyDescent="0.3">
      <c r="B1127" s="70" t="s">
        <v>371</v>
      </c>
      <c r="C1127" s="70" t="s">
        <v>305</v>
      </c>
      <c r="D1127" s="71" t="s">
        <v>358</v>
      </c>
      <c r="E1127" s="71" t="s">
        <v>161</v>
      </c>
      <c r="F1127" s="72">
        <v>605741</v>
      </c>
      <c r="G1127" s="83">
        <v>0.60574099999999997</v>
      </c>
      <c r="H1127" s="84" t="s">
        <v>127</v>
      </c>
      <c r="I1127" s="84" t="s">
        <v>379</v>
      </c>
      <c r="J1127" s="84" t="s">
        <v>127</v>
      </c>
    </row>
    <row r="1128" spans="2:10" x14ac:dyDescent="0.3">
      <c r="B1128" s="79" t="s">
        <v>371</v>
      </c>
      <c r="C1128" s="79" t="s">
        <v>305</v>
      </c>
      <c r="D1128" s="73" t="s">
        <v>358</v>
      </c>
      <c r="E1128" s="73" t="s">
        <v>161</v>
      </c>
      <c r="F1128" s="74">
        <v>515029</v>
      </c>
      <c r="G1128" s="80">
        <v>0.51502899999999996</v>
      </c>
      <c r="H1128" s="81" t="s">
        <v>127</v>
      </c>
      <c r="I1128" s="81" t="s">
        <v>379</v>
      </c>
      <c r="J1128" s="82" t="s">
        <v>127</v>
      </c>
    </row>
    <row r="1129" spans="2:10" x14ac:dyDescent="0.3">
      <c r="B1129" s="70" t="s">
        <v>371</v>
      </c>
      <c r="C1129" s="70" t="s">
        <v>305</v>
      </c>
      <c r="D1129" s="71" t="s">
        <v>358</v>
      </c>
      <c r="E1129" s="71" t="s">
        <v>161</v>
      </c>
      <c r="F1129" s="72">
        <v>515029</v>
      </c>
      <c r="G1129" s="83">
        <v>0.51502899999999996</v>
      </c>
      <c r="H1129" s="84" t="s">
        <v>127</v>
      </c>
      <c r="I1129" s="84" t="s">
        <v>379</v>
      </c>
      <c r="J1129" s="84" t="s">
        <v>127</v>
      </c>
    </row>
    <row r="1130" spans="2:10" x14ac:dyDescent="0.3">
      <c r="B1130" s="79" t="s">
        <v>371</v>
      </c>
      <c r="C1130" s="79" t="s">
        <v>305</v>
      </c>
      <c r="D1130" s="73" t="s">
        <v>358</v>
      </c>
      <c r="E1130" s="73" t="s">
        <v>161</v>
      </c>
      <c r="F1130" s="74">
        <v>499679</v>
      </c>
      <c r="G1130" s="80">
        <v>0.49967899999999998</v>
      </c>
      <c r="H1130" s="81" t="s">
        <v>127</v>
      </c>
      <c r="I1130" s="81" t="s">
        <v>379</v>
      </c>
      <c r="J1130" s="82" t="s">
        <v>127</v>
      </c>
    </row>
    <row r="1131" spans="2:10" x14ac:dyDescent="0.3">
      <c r="B1131" s="70" t="s">
        <v>371</v>
      </c>
      <c r="C1131" s="70" t="s">
        <v>305</v>
      </c>
      <c r="D1131" s="71" t="s">
        <v>358</v>
      </c>
      <c r="E1131" s="71" t="s">
        <v>161</v>
      </c>
      <c r="F1131" s="72">
        <v>515029</v>
      </c>
      <c r="G1131" s="83">
        <v>0.51502899999999996</v>
      </c>
      <c r="H1131" s="84" t="s">
        <v>127</v>
      </c>
      <c r="I1131" s="84" t="s">
        <v>379</v>
      </c>
      <c r="J1131" s="84" t="s">
        <v>127</v>
      </c>
    </row>
    <row r="1132" spans="2:10" x14ac:dyDescent="0.3">
      <c r="B1132" s="79" t="s">
        <v>371</v>
      </c>
      <c r="C1132" s="79" t="s">
        <v>305</v>
      </c>
      <c r="D1132" s="73" t="s">
        <v>358</v>
      </c>
      <c r="E1132" s="73" t="s">
        <v>161</v>
      </c>
      <c r="F1132" s="74">
        <v>497340</v>
      </c>
      <c r="G1132" s="80">
        <v>0.49734</v>
      </c>
      <c r="H1132" s="81" t="s">
        <v>127</v>
      </c>
      <c r="I1132" s="81" t="s">
        <v>379</v>
      </c>
      <c r="J1132" s="82" t="s">
        <v>127</v>
      </c>
    </row>
    <row r="1133" spans="2:10" x14ac:dyDescent="0.3">
      <c r="B1133" s="70" t="s">
        <v>371</v>
      </c>
      <c r="C1133" s="70" t="s">
        <v>305</v>
      </c>
      <c r="D1133" s="71" t="s">
        <v>358</v>
      </c>
      <c r="E1133" s="71" t="s">
        <v>161</v>
      </c>
      <c r="F1133" s="72">
        <v>499679</v>
      </c>
      <c r="G1133" s="83">
        <v>0.49967899999999998</v>
      </c>
      <c r="H1133" s="84" t="s">
        <v>127</v>
      </c>
      <c r="I1133" s="84" t="s">
        <v>379</v>
      </c>
      <c r="J1133" s="84" t="s">
        <v>127</v>
      </c>
    </row>
    <row r="1134" spans="2:10" x14ac:dyDescent="0.3">
      <c r="B1134" s="79" t="s">
        <v>371</v>
      </c>
      <c r="C1134" s="79" t="s">
        <v>328</v>
      </c>
      <c r="D1134" s="73" t="s">
        <v>358</v>
      </c>
      <c r="E1134" s="73" t="s">
        <v>161</v>
      </c>
      <c r="F1134" s="74">
        <v>341483</v>
      </c>
      <c r="G1134" s="80">
        <v>0.34148299999999998</v>
      </c>
      <c r="H1134" s="81" t="s">
        <v>127</v>
      </c>
      <c r="I1134" s="81" t="s">
        <v>379</v>
      </c>
      <c r="J1134" s="82" t="s">
        <v>127</v>
      </c>
    </row>
    <row r="1135" spans="2:10" x14ac:dyDescent="0.3">
      <c r="B1135" s="70" t="s">
        <v>371</v>
      </c>
      <c r="C1135" s="70" t="s">
        <v>328</v>
      </c>
      <c r="D1135" s="71" t="s">
        <v>358</v>
      </c>
      <c r="E1135" s="71" t="s">
        <v>161</v>
      </c>
      <c r="F1135" s="72">
        <v>303970</v>
      </c>
      <c r="G1135" s="83">
        <v>0.30397000000000002</v>
      </c>
      <c r="H1135" s="84" t="s">
        <v>127</v>
      </c>
      <c r="I1135" s="84" t="s">
        <v>379</v>
      </c>
      <c r="J1135" s="84" t="s">
        <v>127</v>
      </c>
    </row>
    <row r="1136" spans="2:10" x14ac:dyDescent="0.3">
      <c r="B1136" s="79" t="s">
        <v>371</v>
      </c>
      <c r="C1136" s="79" t="s">
        <v>328</v>
      </c>
      <c r="D1136" s="73" t="s">
        <v>358</v>
      </c>
      <c r="E1136" s="73" t="s">
        <v>161</v>
      </c>
      <c r="F1136" s="74">
        <v>135477</v>
      </c>
      <c r="G1136" s="80">
        <v>0.13547699999999999</v>
      </c>
      <c r="H1136" s="81" t="s">
        <v>127</v>
      </c>
      <c r="I1136" s="81" t="s">
        <v>379</v>
      </c>
      <c r="J1136" s="82" t="s">
        <v>127</v>
      </c>
    </row>
    <row r="1137" spans="2:10" x14ac:dyDescent="0.3">
      <c r="B1137" s="70" t="s">
        <v>371</v>
      </c>
      <c r="C1137" s="70" t="s">
        <v>328</v>
      </c>
      <c r="D1137" s="71" t="s">
        <v>358</v>
      </c>
      <c r="E1137" s="71" t="s">
        <v>161</v>
      </c>
      <c r="F1137" s="72">
        <v>157445</v>
      </c>
      <c r="G1137" s="83">
        <v>0.157445</v>
      </c>
      <c r="H1137" s="84" t="s">
        <v>127</v>
      </c>
      <c r="I1137" s="84" t="s">
        <v>379</v>
      </c>
      <c r="J1137" s="84" t="s">
        <v>127</v>
      </c>
    </row>
    <row r="1138" spans="2:10" x14ac:dyDescent="0.3">
      <c r="B1138" s="79" t="s">
        <v>371</v>
      </c>
      <c r="C1138" s="79" t="s">
        <v>328</v>
      </c>
      <c r="D1138" s="73" t="s">
        <v>358</v>
      </c>
      <c r="E1138" s="73" t="s">
        <v>161</v>
      </c>
      <c r="F1138" s="74">
        <v>92400</v>
      </c>
      <c r="G1138" s="80">
        <v>9.2399999999999996E-2</v>
      </c>
      <c r="H1138" s="81" t="s">
        <v>127</v>
      </c>
      <c r="I1138" s="81" t="s">
        <v>379</v>
      </c>
      <c r="J1138" s="82" t="s">
        <v>127</v>
      </c>
    </row>
    <row r="1139" spans="2:10" x14ac:dyDescent="0.3">
      <c r="B1139" s="70" t="s">
        <v>371</v>
      </c>
      <c r="C1139" s="70" t="s">
        <v>328</v>
      </c>
      <c r="D1139" s="71" t="s">
        <v>358</v>
      </c>
      <c r="E1139" s="71" t="s">
        <v>161</v>
      </c>
      <c r="F1139" s="72">
        <v>87628</v>
      </c>
      <c r="G1139" s="83">
        <v>8.7627999999999998E-2</v>
      </c>
      <c r="H1139" s="84" t="s">
        <v>127</v>
      </c>
      <c r="I1139" s="84" t="s">
        <v>379</v>
      </c>
      <c r="J1139" s="84" t="s">
        <v>127</v>
      </c>
    </row>
    <row r="1140" spans="2:10" x14ac:dyDescent="0.3">
      <c r="B1140" s="79" t="s">
        <v>371</v>
      </c>
      <c r="C1140" s="79" t="s">
        <v>328</v>
      </c>
      <c r="D1140" s="73" t="s">
        <v>358</v>
      </c>
      <c r="E1140" s="73" t="s">
        <v>161</v>
      </c>
      <c r="F1140" s="74">
        <v>303970</v>
      </c>
      <c r="G1140" s="80">
        <v>0.30397000000000002</v>
      </c>
      <c r="H1140" s="81" t="s">
        <v>127</v>
      </c>
      <c r="I1140" s="81" t="s">
        <v>379</v>
      </c>
      <c r="J1140" s="82" t="s">
        <v>127</v>
      </c>
    </row>
    <row r="1141" spans="2:10" x14ac:dyDescent="0.3">
      <c r="B1141" s="70" t="s">
        <v>371</v>
      </c>
      <c r="C1141" s="70" t="s">
        <v>328</v>
      </c>
      <c r="D1141" s="71" t="s">
        <v>358</v>
      </c>
      <c r="E1141" s="71" t="s">
        <v>161</v>
      </c>
      <c r="F1141" s="72">
        <v>135477</v>
      </c>
      <c r="G1141" s="83">
        <v>0.13547699999999999</v>
      </c>
      <c r="H1141" s="84" t="s">
        <v>127</v>
      </c>
      <c r="I1141" s="84" t="s">
        <v>379</v>
      </c>
      <c r="J1141" s="84" t="s">
        <v>127</v>
      </c>
    </row>
    <row r="1142" spans="2:10" x14ac:dyDescent="0.3">
      <c r="B1142" s="79" t="s">
        <v>371</v>
      </c>
      <c r="C1142" s="79" t="s">
        <v>328</v>
      </c>
      <c r="D1142" s="73" t="s">
        <v>358</v>
      </c>
      <c r="E1142" s="73" t="s">
        <v>161</v>
      </c>
      <c r="F1142" s="74">
        <v>272160</v>
      </c>
      <c r="G1142" s="80">
        <v>0.27216000000000001</v>
      </c>
      <c r="H1142" s="81" t="s">
        <v>127</v>
      </c>
      <c r="I1142" s="81" t="s">
        <v>379</v>
      </c>
      <c r="J1142" s="82" t="s">
        <v>127</v>
      </c>
    </row>
    <row r="1143" spans="2:10" x14ac:dyDescent="0.3">
      <c r="B1143" s="70" t="s">
        <v>371</v>
      </c>
      <c r="C1143" s="70" t="s">
        <v>328</v>
      </c>
      <c r="D1143" s="71" t="s">
        <v>358</v>
      </c>
      <c r="E1143" s="71" t="s">
        <v>161</v>
      </c>
      <c r="F1143" s="72">
        <v>317799</v>
      </c>
      <c r="G1143" s="83">
        <v>0.317799</v>
      </c>
      <c r="H1143" s="84" t="s">
        <v>127</v>
      </c>
      <c r="I1143" s="84" t="s">
        <v>379</v>
      </c>
      <c r="J1143" s="84" t="s">
        <v>127</v>
      </c>
    </row>
    <row r="1144" spans="2:10" x14ac:dyDescent="0.3">
      <c r="B1144" s="79" t="s">
        <v>371</v>
      </c>
      <c r="C1144" s="79" t="s">
        <v>328</v>
      </c>
      <c r="D1144" s="73" t="s">
        <v>358</v>
      </c>
      <c r="E1144" s="73" t="s">
        <v>161</v>
      </c>
      <c r="F1144" s="74">
        <v>454481</v>
      </c>
      <c r="G1144" s="80">
        <v>0.45448100000000002</v>
      </c>
      <c r="H1144" s="81" t="s">
        <v>127</v>
      </c>
      <c r="I1144" s="81" t="s">
        <v>379</v>
      </c>
      <c r="J1144" s="82" t="s">
        <v>127</v>
      </c>
    </row>
    <row r="1145" spans="2:10" x14ac:dyDescent="0.3">
      <c r="B1145" s="70" t="s">
        <v>371</v>
      </c>
      <c r="C1145" s="70" t="s">
        <v>328</v>
      </c>
      <c r="D1145" s="71" t="s">
        <v>358</v>
      </c>
      <c r="E1145" s="71" t="s">
        <v>161</v>
      </c>
      <c r="F1145" s="72">
        <v>135477</v>
      </c>
      <c r="G1145" s="83">
        <v>0.13547699999999999</v>
      </c>
      <c r="H1145" s="84" t="s">
        <v>127</v>
      </c>
      <c r="I1145" s="84" t="s">
        <v>379</v>
      </c>
      <c r="J1145" s="84" t="s">
        <v>127</v>
      </c>
    </row>
    <row r="1146" spans="2:10" x14ac:dyDescent="0.3">
      <c r="B1146" s="79" t="s">
        <v>371</v>
      </c>
      <c r="C1146" s="79" t="s">
        <v>315</v>
      </c>
      <c r="D1146" s="73" t="s">
        <v>358</v>
      </c>
      <c r="E1146" s="73" t="s">
        <v>161</v>
      </c>
      <c r="F1146" s="74">
        <v>406882</v>
      </c>
      <c r="G1146" s="80">
        <v>0.40688200000000002</v>
      </c>
      <c r="H1146" s="81" t="s">
        <v>127</v>
      </c>
      <c r="I1146" s="81" t="s">
        <v>379</v>
      </c>
      <c r="J1146" s="82" t="s">
        <v>127</v>
      </c>
    </row>
    <row r="1147" spans="2:10" x14ac:dyDescent="0.3">
      <c r="B1147" s="70" t="s">
        <v>371</v>
      </c>
      <c r="C1147" s="70" t="s">
        <v>315</v>
      </c>
      <c r="D1147" s="71" t="s">
        <v>358</v>
      </c>
      <c r="E1147" s="71" t="s">
        <v>161</v>
      </c>
      <c r="F1147" s="72">
        <v>500000</v>
      </c>
      <c r="G1147" s="83">
        <v>0.5</v>
      </c>
      <c r="H1147" s="84" t="s">
        <v>127</v>
      </c>
      <c r="I1147" s="84" t="s">
        <v>379</v>
      </c>
      <c r="J1147" s="84" t="s">
        <v>127</v>
      </c>
    </row>
    <row r="1148" spans="2:10" x14ac:dyDescent="0.3">
      <c r="B1148" s="79" t="s">
        <v>371</v>
      </c>
      <c r="C1148" s="79" t="s">
        <v>315</v>
      </c>
      <c r="D1148" s="73" t="s">
        <v>358</v>
      </c>
      <c r="E1148" s="73" t="s">
        <v>161</v>
      </c>
      <c r="F1148" s="74">
        <v>406882</v>
      </c>
      <c r="G1148" s="80">
        <v>0.40688200000000002</v>
      </c>
      <c r="H1148" s="81" t="s">
        <v>127</v>
      </c>
      <c r="I1148" s="81" t="s">
        <v>379</v>
      </c>
      <c r="J1148" s="82" t="s">
        <v>127</v>
      </c>
    </row>
    <row r="1149" spans="2:10" x14ac:dyDescent="0.3">
      <c r="B1149" s="70" t="s">
        <v>371</v>
      </c>
      <c r="C1149" s="70" t="s">
        <v>315</v>
      </c>
      <c r="D1149" s="71" t="s">
        <v>358</v>
      </c>
      <c r="E1149" s="71" t="s">
        <v>161</v>
      </c>
      <c r="F1149" s="72">
        <v>500000</v>
      </c>
      <c r="G1149" s="83">
        <v>0.5</v>
      </c>
      <c r="H1149" s="84" t="s">
        <v>127</v>
      </c>
      <c r="I1149" s="84" t="s">
        <v>379</v>
      </c>
      <c r="J1149" s="84" t="s">
        <v>127</v>
      </c>
    </row>
    <row r="1150" spans="2:10" x14ac:dyDescent="0.3">
      <c r="B1150" s="79" t="s">
        <v>371</v>
      </c>
      <c r="C1150" s="79" t="s">
        <v>315</v>
      </c>
      <c r="D1150" s="73" t="s">
        <v>358</v>
      </c>
      <c r="E1150" s="73" t="s">
        <v>161</v>
      </c>
      <c r="F1150" s="74">
        <v>500000</v>
      </c>
      <c r="G1150" s="80">
        <v>0.5</v>
      </c>
      <c r="H1150" s="81" t="s">
        <v>127</v>
      </c>
      <c r="I1150" s="81" t="s">
        <v>379</v>
      </c>
      <c r="J1150" s="82" t="s">
        <v>127</v>
      </c>
    </row>
    <row r="1151" spans="2:10" x14ac:dyDescent="0.3">
      <c r="B1151" s="70" t="s">
        <v>371</v>
      </c>
      <c r="C1151" s="70" t="s">
        <v>315</v>
      </c>
      <c r="D1151" s="71" t="s">
        <v>358</v>
      </c>
      <c r="E1151" s="71" t="s">
        <v>161</v>
      </c>
      <c r="F1151" s="72">
        <v>406882</v>
      </c>
      <c r="G1151" s="83">
        <v>0.40688200000000002</v>
      </c>
      <c r="H1151" s="84" t="s">
        <v>127</v>
      </c>
      <c r="I1151" s="84" t="s">
        <v>379</v>
      </c>
      <c r="J1151" s="84" t="s">
        <v>127</v>
      </c>
    </row>
    <row r="1152" spans="2:10" x14ac:dyDescent="0.3">
      <c r="B1152" s="79" t="s">
        <v>371</v>
      </c>
      <c r="C1152" s="79" t="s">
        <v>315</v>
      </c>
      <c r="D1152" s="73" t="s">
        <v>358</v>
      </c>
      <c r="E1152" s="73" t="s">
        <v>161</v>
      </c>
      <c r="F1152" s="74">
        <v>406882</v>
      </c>
      <c r="G1152" s="80">
        <v>0.40688200000000002</v>
      </c>
      <c r="H1152" s="81" t="s">
        <v>127</v>
      </c>
      <c r="I1152" s="81" t="s">
        <v>379</v>
      </c>
      <c r="J1152" s="82" t="s">
        <v>127</v>
      </c>
    </row>
    <row r="1153" spans="2:10" x14ac:dyDescent="0.3">
      <c r="B1153" s="70" t="s">
        <v>371</v>
      </c>
      <c r="C1153" s="70" t="s">
        <v>315</v>
      </c>
      <c r="D1153" s="71" t="s">
        <v>358</v>
      </c>
      <c r="E1153" s="71" t="s">
        <v>161</v>
      </c>
      <c r="F1153" s="72">
        <v>406882</v>
      </c>
      <c r="G1153" s="83">
        <v>0.40688200000000002</v>
      </c>
      <c r="H1153" s="84" t="s">
        <v>127</v>
      </c>
      <c r="I1153" s="84" t="s">
        <v>379</v>
      </c>
      <c r="J1153" s="84" t="s">
        <v>127</v>
      </c>
    </row>
    <row r="1154" spans="2:10" x14ac:dyDescent="0.3">
      <c r="B1154" s="79" t="s">
        <v>371</v>
      </c>
      <c r="C1154" s="79" t="s">
        <v>315</v>
      </c>
      <c r="D1154" s="73" t="s">
        <v>358</v>
      </c>
      <c r="E1154" s="73" t="s">
        <v>161</v>
      </c>
      <c r="F1154" s="74">
        <v>406882</v>
      </c>
      <c r="G1154" s="80">
        <v>0.40688200000000002</v>
      </c>
      <c r="H1154" s="81" t="s">
        <v>127</v>
      </c>
      <c r="I1154" s="81" t="s">
        <v>379</v>
      </c>
      <c r="J1154" s="82" t="s">
        <v>127</v>
      </c>
    </row>
    <row r="1155" spans="2:10" x14ac:dyDescent="0.3">
      <c r="B1155" s="70" t="s">
        <v>371</v>
      </c>
      <c r="C1155" s="70" t="s">
        <v>315</v>
      </c>
      <c r="D1155" s="71" t="s">
        <v>358</v>
      </c>
      <c r="E1155" s="71" t="s">
        <v>161</v>
      </c>
      <c r="F1155" s="72">
        <v>406882</v>
      </c>
      <c r="G1155" s="83">
        <v>0.40688200000000002</v>
      </c>
      <c r="H1155" s="84" t="s">
        <v>127</v>
      </c>
      <c r="I1155" s="84" t="s">
        <v>379</v>
      </c>
      <c r="J1155" s="84" t="s">
        <v>127</v>
      </c>
    </row>
    <row r="1156" spans="2:10" x14ac:dyDescent="0.3">
      <c r="B1156" s="79" t="s">
        <v>371</v>
      </c>
      <c r="C1156" s="79" t="s">
        <v>315</v>
      </c>
      <c r="D1156" s="73" t="s">
        <v>358</v>
      </c>
      <c r="E1156" s="73" t="s">
        <v>161</v>
      </c>
      <c r="F1156" s="74">
        <v>406882</v>
      </c>
      <c r="G1156" s="80">
        <v>0.40688200000000002</v>
      </c>
      <c r="H1156" s="81" t="s">
        <v>127</v>
      </c>
      <c r="I1156" s="81" t="s">
        <v>379</v>
      </c>
      <c r="J1156" s="82" t="s">
        <v>127</v>
      </c>
    </row>
    <row r="1157" spans="2:10" x14ac:dyDescent="0.3">
      <c r="B1157" s="70" t="s">
        <v>371</v>
      </c>
      <c r="C1157" s="70" t="s">
        <v>315</v>
      </c>
      <c r="D1157" s="71" t="s">
        <v>358</v>
      </c>
      <c r="E1157" s="71" t="s">
        <v>161</v>
      </c>
      <c r="F1157" s="72">
        <v>406882</v>
      </c>
      <c r="G1157" s="83">
        <v>0.40688200000000002</v>
      </c>
      <c r="H1157" s="84" t="s">
        <v>127</v>
      </c>
      <c r="I1157" s="84" t="s">
        <v>379</v>
      </c>
      <c r="J1157" s="84" t="s">
        <v>127</v>
      </c>
    </row>
    <row r="1158" spans="2:10" x14ac:dyDescent="0.3">
      <c r="B1158" s="79" t="s">
        <v>371</v>
      </c>
      <c r="C1158" s="79" t="s">
        <v>315</v>
      </c>
      <c r="D1158" s="73" t="s">
        <v>358</v>
      </c>
      <c r="E1158" s="73" t="s">
        <v>161</v>
      </c>
      <c r="F1158" s="74">
        <v>406882</v>
      </c>
      <c r="G1158" s="80">
        <v>0.40688200000000002</v>
      </c>
      <c r="H1158" s="81" t="s">
        <v>127</v>
      </c>
      <c r="I1158" s="81" t="s">
        <v>379</v>
      </c>
      <c r="J1158" s="82" t="s">
        <v>127</v>
      </c>
    </row>
    <row r="1159" spans="2:10" x14ac:dyDescent="0.3">
      <c r="B1159" s="70" t="s">
        <v>371</v>
      </c>
      <c r="C1159" s="70" t="s">
        <v>315</v>
      </c>
      <c r="D1159" s="71" t="s">
        <v>358</v>
      </c>
      <c r="E1159" s="71" t="s">
        <v>161</v>
      </c>
      <c r="F1159" s="72">
        <v>406882</v>
      </c>
      <c r="G1159" s="83">
        <v>0.40688200000000002</v>
      </c>
      <c r="H1159" s="84" t="s">
        <v>127</v>
      </c>
      <c r="I1159" s="84" t="s">
        <v>379</v>
      </c>
      <c r="J1159" s="84" t="s">
        <v>127</v>
      </c>
    </row>
    <row r="1160" spans="2:10" x14ac:dyDescent="0.3">
      <c r="B1160" s="79" t="s">
        <v>371</v>
      </c>
      <c r="C1160" s="79" t="s">
        <v>315</v>
      </c>
      <c r="D1160" s="73" t="s">
        <v>358</v>
      </c>
      <c r="E1160" s="73" t="s">
        <v>161</v>
      </c>
      <c r="F1160" s="74">
        <v>1497580</v>
      </c>
      <c r="G1160" s="80">
        <v>1.4975799999999999</v>
      </c>
      <c r="H1160" s="81" t="s">
        <v>127</v>
      </c>
      <c r="I1160" s="81" t="s">
        <v>379</v>
      </c>
      <c r="J1160" s="82" t="s">
        <v>127</v>
      </c>
    </row>
    <row r="1161" spans="2:10" x14ac:dyDescent="0.3">
      <c r="B1161" s="70" t="s">
        <v>371</v>
      </c>
      <c r="C1161" s="70" t="s">
        <v>352</v>
      </c>
      <c r="D1161" s="71" t="s">
        <v>358</v>
      </c>
      <c r="E1161" s="71" t="s">
        <v>161</v>
      </c>
      <c r="F1161" s="72">
        <v>38937</v>
      </c>
      <c r="G1161" s="83">
        <v>3.8936999999999999E-2</v>
      </c>
      <c r="H1161" s="84" t="s">
        <v>127</v>
      </c>
      <c r="I1161" s="84" t="s">
        <v>379</v>
      </c>
      <c r="J1161" s="84" t="s">
        <v>127</v>
      </c>
    </row>
    <row r="1162" spans="2:10" x14ac:dyDescent="0.3">
      <c r="B1162" s="79" t="s">
        <v>371</v>
      </c>
      <c r="C1162" s="79" t="s">
        <v>352</v>
      </c>
      <c r="D1162" s="73" t="s">
        <v>358</v>
      </c>
      <c r="E1162" s="73" t="s">
        <v>161</v>
      </c>
      <c r="F1162" s="74">
        <v>38735</v>
      </c>
      <c r="G1162" s="80">
        <v>3.8734999999999999E-2</v>
      </c>
      <c r="H1162" s="81" t="s">
        <v>127</v>
      </c>
      <c r="I1162" s="81" t="s">
        <v>379</v>
      </c>
      <c r="J1162" s="82" t="s">
        <v>127</v>
      </c>
    </row>
    <row r="1163" spans="2:10" x14ac:dyDescent="0.3">
      <c r="B1163" s="70" t="s">
        <v>371</v>
      </c>
      <c r="C1163" s="70" t="s">
        <v>352</v>
      </c>
      <c r="D1163" s="71" t="s">
        <v>358</v>
      </c>
      <c r="E1163" s="71" t="s">
        <v>161</v>
      </c>
      <c r="F1163" s="72">
        <v>38937</v>
      </c>
      <c r="G1163" s="83">
        <v>3.8936999999999999E-2</v>
      </c>
      <c r="H1163" s="84" t="s">
        <v>127</v>
      </c>
      <c r="I1163" s="84" t="s">
        <v>379</v>
      </c>
      <c r="J1163" s="84" t="s">
        <v>127</v>
      </c>
    </row>
    <row r="1164" spans="2:10" x14ac:dyDescent="0.3">
      <c r="B1164" s="79" t="s">
        <v>371</v>
      </c>
      <c r="C1164" s="79" t="s">
        <v>352</v>
      </c>
      <c r="D1164" s="73" t="s">
        <v>358</v>
      </c>
      <c r="E1164" s="73" t="s">
        <v>161</v>
      </c>
      <c r="F1164" s="74">
        <v>38937</v>
      </c>
      <c r="G1164" s="80">
        <v>3.8936999999999999E-2</v>
      </c>
      <c r="H1164" s="81" t="s">
        <v>127</v>
      </c>
      <c r="I1164" s="81" t="s">
        <v>379</v>
      </c>
      <c r="J1164" s="82" t="s">
        <v>127</v>
      </c>
    </row>
    <row r="1165" spans="2:10" x14ac:dyDescent="0.3">
      <c r="B1165" s="70" t="s">
        <v>371</v>
      </c>
      <c r="C1165" s="70" t="s">
        <v>301</v>
      </c>
      <c r="D1165" s="71" t="s">
        <v>358</v>
      </c>
      <c r="E1165" s="71" t="s">
        <v>161</v>
      </c>
      <c r="F1165" s="72">
        <v>891028</v>
      </c>
      <c r="G1165" s="83">
        <v>0.89102800000000004</v>
      </c>
      <c r="H1165" s="84" t="s">
        <v>127</v>
      </c>
      <c r="I1165" s="84" t="s">
        <v>379</v>
      </c>
      <c r="J1165" s="84" t="s">
        <v>127</v>
      </c>
    </row>
    <row r="1166" spans="2:10" x14ac:dyDescent="0.3">
      <c r="B1166" s="79" t="s">
        <v>371</v>
      </c>
      <c r="C1166" s="79" t="s">
        <v>301</v>
      </c>
      <c r="D1166" s="73" t="s">
        <v>358</v>
      </c>
      <c r="E1166" s="73" t="s">
        <v>161</v>
      </c>
      <c r="F1166" s="74">
        <v>33520</v>
      </c>
      <c r="G1166" s="80">
        <v>3.3520000000000001E-2</v>
      </c>
      <c r="H1166" s="81" t="s">
        <v>127</v>
      </c>
      <c r="I1166" s="81" t="s">
        <v>379</v>
      </c>
      <c r="J1166" s="82" t="s">
        <v>127</v>
      </c>
    </row>
    <row r="1167" spans="2:10" x14ac:dyDescent="0.3">
      <c r="B1167" s="70" t="s">
        <v>371</v>
      </c>
      <c r="C1167" s="70" t="s">
        <v>301</v>
      </c>
      <c r="D1167" s="71" t="s">
        <v>358</v>
      </c>
      <c r="E1167" s="71" t="s">
        <v>161</v>
      </c>
      <c r="F1167" s="72">
        <v>400000</v>
      </c>
      <c r="G1167" s="83">
        <v>0.4</v>
      </c>
      <c r="H1167" s="84" t="s">
        <v>127</v>
      </c>
      <c r="I1167" s="84" t="s">
        <v>379</v>
      </c>
      <c r="J1167" s="84" t="s">
        <v>127</v>
      </c>
    </row>
    <row r="1168" spans="2:10" x14ac:dyDescent="0.3">
      <c r="B1168" s="79" t="s">
        <v>371</v>
      </c>
      <c r="C1168" s="79" t="s">
        <v>301</v>
      </c>
      <c r="D1168" s="73" t="s">
        <v>358</v>
      </c>
      <c r="E1168" s="73" t="s">
        <v>161</v>
      </c>
      <c r="F1168" s="74">
        <v>400000</v>
      </c>
      <c r="G1168" s="80">
        <v>0.4</v>
      </c>
      <c r="H1168" s="81" t="s">
        <v>127</v>
      </c>
      <c r="I1168" s="81" t="s">
        <v>379</v>
      </c>
      <c r="J1168" s="82" t="s">
        <v>127</v>
      </c>
    </row>
    <row r="1169" spans="2:10" x14ac:dyDescent="0.3">
      <c r="B1169" s="70" t="s">
        <v>371</v>
      </c>
      <c r="C1169" s="70" t="s">
        <v>301</v>
      </c>
      <c r="D1169" s="71" t="s">
        <v>358</v>
      </c>
      <c r="E1169" s="71" t="s">
        <v>161</v>
      </c>
      <c r="F1169" s="72">
        <v>891028</v>
      </c>
      <c r="G1169" s="83">
        <v>0.89102800000000004</v>
      </c>
      <c r="H1169" s="84" t="s">
        <v>127</v>
      </c>
      <c r="I1169" s="84" t="s">
        <v>379</v>
      </c>
      <c r="J1169" s="84" t="s">
        <v>127</v>
      </c>
    </row>
    <row r="1170" spans="2:10" x14ac:dyDescent="0.3">
      <c r="B1170" s="79" t="s">
        <v>371</v>
      </c>
      <c r="C1170" s="79" t="s">
        <v>301</v>
      </c>
      <c r="D1170" s="73" t="s">
        <v>358</v>
      </c>
      <c r="E1170" s="73" t="s">
        <v>161</v>
      </c>
      <c r="F1170" s="74">
        <v>33520</v>
      </c>
      <c r="G1170" s="80">
        <v>3.3520000000000001E-2</v>
      </c>
      <c r="H1170" s="81" t="s">
        <v>127</v>
      </c>
      <c r="I1170" s="81" t="s">
        <v>379</v>
      </c>
      <c r="J1170" s="82" t="s">
        <v>127</v>
      </c>
    </row>
    <row r="1171" spans="2:10" x14ac:dyDescent="0.3">
      <c r="B1171" s="70" t="s">
        <v>371</v>
      </c>
      <c r="C1171" s="70" t="s">
        <v>301</v>
      </c>
      <c r="D1171" s="71" t="s">
        <v>358</v>
      </c>
      <c r="E1171" s="71" t="s">
        <v>161</v>
      </c>
      <c r="F1171" s="72">
        <v>801028</v>
      </c>
      <c r="G1171" s="83">
        <v>0.80102799999999996</v>
      </c>
      <c r="H1171" s="84" t="s">
        <v>127</v>
      </c>
      <c r="I1171" s="84" t="s">
        <v>379</v>
      </c>
      <c r="J1171" s="84" t="s">
        <v>127</v>
      </c>
    </row>
    <row r="1172" spans="2:10" x14ac:dyDescent="0.3">
      <c r="B1172" s="79" t="s">
        <v>371</v>
      </c>
      <c r="C1172" s="79" t="s">
        <v>301</v>
      </c>
      <c r="D1172" s="73" t="s">
        <v>358</v>
      </c>
      <c r="E1172" s="73" t="s">
        <v>161</v>
      </c>
      <c r="F1172" s="74">
        <v>33520</v>
      </c>
      <c r="G1172" s="80">
        <v>3.3520000000000001E-2</v>
      </c>
      <c r="H1172" s="81" t="s">
        <v>127</v>
      </c>
      <c r="I1172" s="81" t="s">
        <v>379</v>
      </c>
      <c r="J1172" s="82" t="s">
        <v>127</v>
      </c>
    </row>
    <row r="1173" spans="2:10" x14ac:dyDescent="0.3">
      <c r="B1173" s="70" t="s">
        <v>371</v>
      </c>
      <c r="C1173" s="70" t="s">
        <v>301</v>
      </c>
      <c r="D1173" s="71" t="s">
        <v>358</v>
      </c>
      <c r="E1173" s="71" t="s">
        <v>161</v>
      </c>
      <c r="F1173" s="72">
        <v>74458</v>
      </c>
      <c r="G1173" s="83">
        <v>7.4457999999999996E-2</v>
      </c>
      <c r="H1173" s="84" t="s">
        <v>127</v>
      </c>
      <c r="I1173" s="84" t="s">
        <v>379</v>
      </c>
      <c r="J1173" s="84" t="s">
        <v>127</v>
      </c>
    </row>
    <row r="1174" spans="2:10" x14ac:dyDescent="0.3">
      <c r="B1174" s="79" t="s">
        <v>371</v>
      </c>
      <c r="C1174" s="79" t="s">
        <v>301</v>
      </c>
      <c r="D1174" s="73" t="s">
        <v>358</v>
      </c>
      <c r="E1174" s="73" t="s">
        <v>161</v>
      </c>
      <c r="F1174" s="74">
        <v>325542</v>
      </c>
      <c r="G1174" s="80">
        <v>0.325542</v>
      </c>
      <c r="H1174" s="81" t="s">
        <v>127</v>
      </c>
      <c r="I1174" s="81" t="s">
        <v>379</v>
      </c>
      <c r="J1174" s="82" t="s">
        <v>127</v>
      </c>
    </row>
    <row r="1175" spans="2:10" x14ac:dyDescent="0.3">
      <c r="B1175" s="70" t="s">
        <v>371</v>
      </c>
      <c r="C1175" s="70" t="s">
        <v>301</v>
      </c>
      <c r="D1175" s="71" t="s">
        <v>358</v>
      </c>
      <c r="E1175" s="71" t="s">
        <v>161</v>
      </c>
      <c r="F1175" s="72">
        <v>400000</v>
      </c>
      <c r="G1175" s="83">
        <v>0.4</v>
      </c>
      <c r="H1175" s="84" t="s">
        <v>127</v>
      </c>
      <c r="I1175" s="84" t="s">
        <v>379</v>
      </c>
      <c r="J1175" s="84" t="s">
        <v>127</v>
      </c>
    </row>
    <row r="1176" spans="2:10" x14ac:dyDescent="0.3">
      <c r="B1176" s="79" t="s">
        <v>371</v>
      </c>
      <c r="C1176" s="79" t="s">
        <v>301</v>
      </c>
      <c r="D1176" s="73" t="s">
        <v>358</v>
      </c>
      <c r="E1176" s="73" t="s">
        <v>161</v>
      </c>
      <c r="F1176" s="74">
        <v>891028</v>
      </c>
      <c r="G1176" s="80">
        <v>0.89102800000000004</v>
      </c>
      <c r="H1176" s="81" t="s">
        <v>127</v>
      </c>
      <c r="I1176" s="81" t="s">
        <v>379</v>
      </c>
      <c r="J1176" s="82" t="s">
        <v>127</v>
      </c>
    </row>
    <row r="1177" spans="2:10" x14ac:dyDescent="0.3">
      <c r="B1177" s="70" t="s">
        <v>371</v>
      </c>
      <c r="C1177" s="70" t="s">
        <v>301</v>
      </c>
      <c r="D1177" s="71" t="s">
        <v>358</v>
      </c>
      <c r="E1177" s="71" t="s">
        <v>161</v>
      </c>
      <c r="F1177" s="72">
        <v>33520</v>
      </c>
      <c r="G1177" s="83">
        <v>3.3520000000000001E-2</v>
      </c>
      <c r="H1177" s="84" t="s">
        <v>127</v>
      </c>
      <c r="I1177" s="84" t="s">
        <v>379</v>
      </c>
      <c r="J1177" s="84" t="s">
        <v>127</v>
      </c>
    </row>
    <row r="1178" spans="2:10" x14ac:dyDescent="0.3">
      <c r="B1178" s="79" t="s">
        <v>371</v>
      </c>
      <c r="C1178" s="79" t="s">
        <v>301</v>
      </c>
      <c r="D1178" s="73" t="s">
        <v>358</v>
      </c>
      <c r="E1178" s="73" t="s">
        <v>161</v>
      </c>
      <c r="F1178" s="74">
        <v>891028</v>
      </c>
      <c r="G1178" s="80">
        <v>0.89102800000000004</v>
      </c>
      <c r="H1178" s="81" t="s">
        <v>127</v>
      </c>
      <c r="I1178" s="81" t="s">
        <v>379</v>
      </c>
      <c r="J1178" s="82" t="s">
        <v>127</v>
      </c>
    </row>
    <row r="1179" spans="2:10" x14ac:dyDescent="0.3">
      <c r="B1179" s="70" t="s">
        <v>371</v>
      </c>
      <c r="C1179" s="70" t="s">
        <v>301</v>
      </c>
      <c r="D1179" s="71" t="s">
        <v>358</v>
      </c>
      <c r="E1179" s="71" t="s">
        <v>161</v>
      </c>
      <c r="F1179" s="72">
        <v>33520</v>
      </c>
      <c r="G1179" s="83">
        <v>3.3520000000000001E-2</v>
      </c>
      <c r="H1179" s="84" t="s">
        <v>127</v>
      </c>
      <c r="I1179" s="84" t="s">
        <v>379</v>
      </c>
      <c r="J1179" s="84" t="s">
        <v>127</v>
      </c>
    </row>
    <row r="1180" spans="2:10" x14ac:dyDescent="0.3">
      <c r="B1180" s="79" t="s">
        <v>371</v>
      </c>
      <c r="C1180" s="79" t="s">
        <v>301</v>
      </c>
      <c r="D1180" s="73" t="s">
        <v>358</v>
      </c>
      <c r="E1180" s="73" t="s">
        <v>161</v>
      </c>
      <c r="F1180" s="74">
        <v>857508</v>
      </c>
      <c r="G1180" s="80">
        <v>0.85750800000000005</v>
      </c>
      <c r="H1180" s="81" t="s">
        <v>127</v>
      </c>
      <c r="I1180" s="81" t="s">
        <v>379</v>
      </c>
      <c r="J1180" s="82" t="s">
        <v>127</v>
      </c>
    </row>
    <row r="1181" spans="2:10" x14ac:dyDescent="0.3">
      <c r="B1181" s="70" t="s">
        <v>371</v>
      </c>
      <c r="C1181" s="70" t="s">
        <v>301</v>
      </c>
      <c r="D1181" s="71" t="s">
        <v>358</v>
      </c>
      <c r="E1181" s="71" t="s">
        <v>161</v>
      </c>
      <c r="F1181" s="72">
        <v>400000</v>
      </c>
      <c r="G1181" s="83">
        <v>0.4</v>
      </c>
      <c r="H1181" s="84" t="s">
        <v>127</v>
      </c>
      <c r="I1181" s="84" t="s">
        <v>379</v>
      </c>
      <c r="J1181" s="84" t="s">
        <v>127</v>
      </c>
    </row>
    <row r="1182" spans="2:10" x14ac:dyDescent="0.3">
      <c r="B1182" s="79" t="s">
        <v>371</v>
      </c>
      <c r="C1182" s="79" t="s">
        <v>301</v>
      </c>
      <c r="D1182" s="73" t="s">
        <v>358</v>
      </c>
      <c r="E1182" s="73" t="s">
        <v>161</v>
      </c>
      <c r="F1182" s="74">
        <v>768456</v>
      </c>
      <c r="G1182" s="80">
        <v>0.76845600000000003</v>
      </c>
      <c r="H1182" s="81" t="s">
        <v>127</v>
      </c>
      <c r="I1182" s="81" t="s">
        <v>379</v>
      </c>
      <c r="J1182" s="82" t="s">
        <v>127</v>
      </c>
    </row>
    <row r="1183" spans="2:10" x14ac:dyDescent="0.3">
      <c r="B1183" s="70" t="s">
        <v>371</v>
      </c>
      <c r="C1183" s="70" t="s">
        <v>301</v>
      </c>
      <c r="D1183" s="71" t="s">
        <v>358</v>
      </c>
      <c r="E1183" s="71" t="s">
        <v>161</v>
      </c>
      <c r="F1183" s="72">
        <v>33520</v>
      </c>
      <c r="G1183" s="83">
        <v>3.3520000000000001E-2</v>
      </c>
      <c r="H1183" s="84" t="s">
        <v>127</v>
      </c>
      <c r="I1183" s="84" t="s">
        <v>379</v>
      </c>
      <c r="J1183" s="84" t="s">
        <v>127</v>
      </c>
    </row>
    <row r="1184" spans="2:10" x14ac:dyDescent="0.3">
      <c r="B1184" s="79" t="s">
        <v>371</v>
      </c>
      <c r="C1184" s="79" t="s">
        <v>301</v>
      </c>
      <c r="D1184" s="73" t="s">
        <v>358</v>
      </c>
      <c r="E1184" s="73" t="s">
        <v>161</v>
      </c>
      <c r="F1184" s="74">
        <v>768456</v>
      </c>
      <c r="G1184" s="80">
        <v>0.76845600000000003</v>
      </c>
      <c r="H1184" s="81" t="s">
        <v>127</v>
      </c>
      <c r="I1184" s="81" t="s">
        <v>379</v>
      </c>
      <c r="J1184" s="82" t="s">
        <v>127</v>
      </c>
    </row>
    <row r="1185" spans="2:10" x14ac:dyDescent="0.3">
      <c r="B1185" s="70" t="s">
        <v>371</v>
      </c>
      <c r="C1185" s="70" t="s">
        <v>301</v>
      </c>
      <c r="D1185" s="71" t="s">
        <v>358</v>
      </c>
      <c r="E1185" s="71" t="s">
        <v>161</v>
      </c>
      <c r="F1185" s="72">
        <v>33520</v>
      </c>
      <c r="G1185" s="83">
        <v>3.3520000000000001E-2</v>
      </c>
      <c r="H1185" s="84" t="s">
        <v>127</v>
      </c>
      <c r="I1185" s="84" t="s">
        <v>379</v>
      </c>
      <c r="J1185" s="84" t="s">
        <v>127</v>
      </c>
    </row>
    <row r="1186" spans="2:10" x14ac:dyDescent="0.3">
      <c r="B1186" s="79" t="s">
        <v>371</v>
      </c>
      <c r="C1186" s="79" t="s">
        <v>301</v>
      </c>
      <c r="D1186" s="73" t="s">
        <v>358</v>
      </c>
      <c r="E1186" s="73" t="s">
        <v>161</v>
      </c>
      <c r="F1186" s="74">
        <v>827962</v>
      </c>
      <c r="G1186" s="80">
        <v>0.82796199999999998</v>
      </c>
      <c r="H1186" s="81" t="s">
        <v>127</v>
      </c>
      <c r="I1186" s="81" t="s">
        <v>379</v>
      </c>
      <c r="J1186" s="82" t="s">
        <v>127</v>
      </c>
    </row>
    <row r="1187" spans="2:10" x14ac:dyDescent="0.3">
      <c r="B1187" s="70" t="s">
        <v>371</v>
      </c>
      <c r="C1187" s="70" t="s">
        <v>301</v>
      </c>
      <c r="D1187" s="71" t="s">
        <v>358</v>
      </c>
      <c r="E1187" s="71" t="s">
        <v>161</v>
      </c>
      <c r="F1187" s="72">
        <v>33520</v>
      </c>
      <c r="G1187" s="83">
        <v>3.3520000000000001E-2</v>
      </c>
      <c r="H1187" s="84" t="s">
        <v>127</v>
      </c>
      <c r="I1187" s="84" t="s">
        <v>379</v>
      </c>
      <c r="J1187" s="84" t="s">
        <v>127</v>
      </c>
    </row>
    <row r="1188" spans="2:10" x14ac:dyDescent="0.3">
      <c r="B1188" s="79" t="s">
        <v>371</v>
      </c>
      <c r="C1188" s="79" t="s">
        <v>301</v>
      </c>
      <c r="D1188" s="73" t="s">
        <v>358</v>
      </c>
      <c r="E1188" s="73" t="s">
        <v>161</v>
      </c>
      <c r="F1188" s="74">
        <v>400000</v>
      </c>
      <c r="G1188" s="80">
        <v>0.4</v>
      </c>
      <c r="H1188" s="81" t="s">
        <v>127</v>
      </c>
      <c r="I1188" s="81" t="s">
        <v>379</v>
      </c>
      <c r="J1188" s="82" t="s">
        <v>127</v>
      </c>
    </row>
    <row r="1189" spans="2:10" x14ac:dyDescent="0.3">
      <c r="B1189" s="70" t="s">
        <v>371</v>
      </c>
      <c r="C1189" s="70" t="s">
        <v>301</v>
      </c>
      <c r="D1189" s="71" t="s">
        <v>358</v>
      </c>
      <c r="E1189" s="71" t="s">
        <v>161</v>
      </c>
      <c r="F1189" s="72">
        <v>400000</v>
      </c>
      <c r="G1189" s="83">
        <v>0.4</v>
      </c>
      <c r="H1189" s="84" t="s">
        <v>127</v>
      </c>
      <c r="I1189" s="84" t="s">
        <v>379</v>
      </c>
      <c r="J1189" s="84" t="s">
        <v>127</v>
      </c>
    </row>
    <row r="1190" spans="2:10" x14ac:dyDescent="0.3">
      <c r="B1190" s="79" t="s">
        <v>371</v>
      </c>
      <c r="C1190" s="79" t="s">
        <v>301</v>
      </c>
      <c r="D1190" s="73" t="s">
        <v>358</v>
      </c>
      <c r="E1190" s="73" t="s">
        <v>161</v>
      </c>
      <c r="F1190" s="74">
        <v>827962</v>
      </c>
      <c r="G1190" s="80">
        <v>0.82796199999999998</v>
      </c>
      <c r="H1190" s="81" t="s">
        <v>127</v>
      </c>
      <c r="I1190" s="81" t="s">
        <v>379</v>
      </c>
      <c r="J1190" s="82" t="s">
        <v>127</v>
      </c>
    </row>
    <row r="1191" spans="2:10" x14ac:dyDescent="0.3">
      <c r="B1191" s="70" t="s">
        <v>371</v>
      </c>
      <c r="C1191" s="70" t="s">
        <v>301</v>
      </c>
      <c r="D1191" s="71" t="s">
        <v>358</v>
      </c>
      <c r="E1191" s="71" t="s">
        <v>161</v>
      </c>
      <c r="F1191" s="72">
        <v>33520</v>
      </c>
      <c r="G1191" s="83">
        <v>3.3520000000000001E-2</v>
      </c>
      <c r="H1191" s="84" t="s">
        <v>127</v>
      </c>
      <c r="I1191" s="84" t="s">
        <v>379</v>
      </c>
      <c r="J1191" s="84" t="s">
        <v>127</v>
      </c>
    </row>
    <row r="1192" spans="2:10" x14ac:dyDescent="0.3">
      <c r="B1192" s="79" t="s">
        <v>371</v>
      </c>
      <c r="C1192" s="79" t="s">
        <v>301</v>
      </c>
      <c r="D1192" s="73" t="s">
        <v>358</v>
      </c>
      <c r="E1192" s="73" t="s">
        <v>161</v>
      </c>
      <c r="F1192" s="74">
        <v>827962</v>
      </c>
      <c r="G1192" s="80">
        <v>0.82796199999999998</v>
      </c>
      <c r="H1192" s="81" t="s">
        <v>127</v>
      </c>
      <c r="I1192" s="81" t="s">
        <v>379</v>
      </c>
      <c r="J1192" s="82" t="s">
        <v>127</v>
      </c>
    </row>
    <row r="1193" spans="2:10" x14ac:dyDescent="0.3">
      <c r="B1193" s="70" t="s">
        <v>371</v>
      </c>
      <c r="C1193" s="70" t="s">
        <v>301</v>
      </c>
      <c r="D1193" s="71" t="s">
        <v>358</v>
      </c>
      <c r="E1193" s="71" t="s">
        <v>161</v>
      </c>
      <c r="F1193" s="72">
        <v>33520</v>
      </c>
      <c r="G1193" s="83">
        <v>3.3520000000000001E-2</v>
      </c>
      <c r="H1193" s="84" t="s">
        <v>127</v>
      </c>
      <c r="I1193" s="84" t="s">
        <v>379</v>
      </c>
      <c r="J1193" s="84" t="s">
        <v>127</v>
      </c>
    </row>
    <row r="1194" spans="2:10" x14ac:dyDescent="0.3">
      <c r="B1194" s="79" t="s">
        <v>371</v>
      </c>
      <c r="C1194" s="79" t="s">
        <v>301</v>
      </c>
      <c r="D1194" s="73" t="s">
        <v>358</v>
      </c>
      <c r="E1194" s="73" t="s">
        <v>161</v>
      </c>
      <c r="F1194" s="74">
        <v>400000</v>
      </c>
      <c r="G1194" s="80">
        <v>0.4</v>
      </c>
      <c r="H1194" s="81" t="s">
        <v>127</v>
      </c>
      <c r="I1194" s="81" t="s">
        <v>379</v>
      </c>
      <c r="J1194" s="82" t="s">
        <v>127</v>
      </c>
    </row>
    <row r="1195" spans="2:10" x14ac:dyDescent="0.3">
      <c r="B1195" s="70" t="s">
        <v>371</v>
      </c>
      <c r="C1195" s="70" t="s">
        <v>300</v>
      </c>
      <c r="D1195" s="71" t="s">
        <v>358</v>
      </c>
      <c r="E1195" s="71" t="s">
        <v>161</v>
      </c>
      <c r="F1195" s="72">
        <v>872681</v>
      </c>
      <c r="G1195" s="83">
        <v>0.87268100000000004</v>
      </c>
      <c r="H1195" s="84" t="s">
        <v>127</v>
      </c>
      <c r="I1195" s="84" t="s">
        <v>379</v>
      </c>
      <c r="J1195" s="84" t="s">
        <v>127</v>
      </c>
    </row>
    <row r="1196" spans="2:10" x14ac:dyDescent="0.3">
      <c r="B1196" s="79" t="s">
        <v>371</v>
      </c>
      <c r="C1196" s="79" t="s">
        <v>300</v>
      </c>
      <c r="D1196" s="73" t="s">
        <v>358</v>
      </c>
      <c r="E1196" s="73" t="s">
        <v>161</v>
      </c>
      <c r="F1196" s="74">
        <v>64800</v>
      </c>
      <c r="G1196" s="80">
        <v>6.4799999999999996E-2</v>
      </c>
      <c r="H1196" s="81" t="s">
        <v>127</v>
      </c>
      <c r="I1196" s="81" t="s">
        <v>379</v>
      </c>
      <c r="J1196" s="82" t="s">
        <v>127</v>
      </c>
    </row>
    <row r="1197" spans="2:10" x14ac:dyDescent="0.3">
      <c r="B1197" s="70" t="s">
        <v>371</v>
      </c>
      <c r="C1197" s="70" t="s">
        <v>300</v>
      </c>
      <c r="D1197" s="71" t="s">
        <v>358</v>
      </c>
      <c r="E1197" s="71" t="s">
        <v>161</v>
      </c>
      <c r="F1197" s="72">
        <v>865203</v>
      </c>
      <c r="G1197" s="83">
        <v>0.86520300000000006</v>
      </c>
      <c r="H1197" s="84" t="s">
        <v>127</v>
      </c>
      <c r="I1197" s="84" t="s">
        <v>379</v>
      </c>
      <c r="J1197" s="84" t="s">
        <v>127</v>
      </c>
    </row>
    <row r="1198" spans="2:10" x14ac:dyDescent="0.3">
      <c r="B1198" s="79" t="s">
        <v>371</v>
      </c>
      <c r="C1198" s="79" t="s">
        <v>300</v>
      </c>
      <c r="D1198" s="73" t="s">
        <v>358</v>
      </c>
      <c r="E1198" s="73" t="s">
        <v>161</v>
      </c>
      <c r="F1198" s="74">
        <v>64800</v>
      </c>
      <c r="G1198" s="80">
        <v>6.4799999999999996E-2</v>
      </c>
      <c r="H1198" s="81" t="s">
        <v>127</v>
      </c>
      <c r="I1198" s="81" t="s">
        <v>379</v>
      </c>
      <c r="J1198" s="82" t="s">
        <v>127</v>
      </c>
    </row>
    <row r="1199" spans="2:10" x14ac:dyDescent="0.3">
      <c r="B1199" s="70" t="s">
        <v>371</v>
      </c>
      <c r="C1199" s="70" t="s">
        <v>300</v>
      </c>
      <c r="D1199" s="71" t="s">
        <v>358</v>
      </c>
      <c r="E1199" s="71" t="s">
        <v>161</v>
      </c>
      <c r="F1199" s="72">
        <v>1192516</v>
      </c>
      <c r="G1199" s="83">
        <v>1.1925159999999999</v>
      </c>
      <c r="H1199" s="84" t="s">
        <v>127</v>
      </c>
      <c r="I1199" s="84" t="s">
        <v>379</v>
      </c>
      <c r="J1199" s="84" t="s">
        <v>127</v>
      </c>
    </row>
    <row r="1200" spans="2:10" x14ac:dyDescent="0.3">
      <c r="B1200" s="79" t="s">
        <v>371</v>
      </c>
      <c r="C1200" s="79" t="s">
        <v>300</v>
      </c>
      <c r="D1200" s="73" t="s">
        <v>358</v>
      </c>
      <c r="E1200" s="73" t="s">
        <v>161</v>
      </c>
      <c r="F1200" s="74">
        <v>64800</v>
      </c>
      <c r="G1200" s="80">
        <v>6.4799999999999996E-2</v>
      </c>
      <c r="H1200" s="81" t="s">
        <v>127</v>
      </c>
      <c r="I1200" s="81" t="s">
        <v>379</v>
      </c>
      <c r="J1200" s="82" t="s">
        <v>127</v>
      </c>
    </row>
    <row r="1201" spans="2:10" x14ac:dyDescent="0.3">
      <c r="B1201" s="70" t="s">
        <v>371</v>
      </c>
      <c r="C1201" s="70" t="s">
        <v>300</v>
      </c>
      <c r="D1201" s="71" t="s">
        <v>358</v>
      </c>
      <c r="E1201" s="71" t="s">
        <v>161</v>
      </c>
      <c r="F1201" s="72">
        <v>1030336</v>
      </c>
      <c r="G1201" s="83">
        <v>1.0303359999999999</v>
      </c>
      <c r="H1201" s="84" t="s">
        <v>127</v>
      </c>
      <c r="I1201" s="84" t="s">
        <v>379</v>
      </c>
      <c r="J1201" s="84" t="s">
        <v>127</v>
      </c>
    </row>
    <row r="1202" spans="2:10" x14ac:dyDescent="0.3">
      <c r="B1202" s="79" t="s">
        <v>371</v>
      </c>
      <c r="C1202" s="79" t="s">
        <v>300</v>
      </c>
      <c r="D1202" s="73" t="s">
        <v>358</v>
      </c>
      <c r="E1202" s="73" t="s">
        <v>161</v>
      </c>
      <c r="F1202" s="74">
        <v>64800</v>
      </c>
      <c r="G1202" s="80">
        <v>6.4799999999999996E-2</v>
      </c>
      <c r="H1202" s="81" t="s">
        <v>127</v>
      </c>
      <c r="I1202" s="81" t="s">
        <v>379</v>
      </c>
      <c r="J1202" s="82" t="s">
        <v>127</v>
      </c>
    </row>
    <row r="1203" spans="2:10" x14ac:dyDescent="0.3">
      <c r="B1203" s="70" t="s">
        <v>371</v>
      </c>
      <c r="C1203" s="70" t="s">
        <v>300</v>
      </c>
      <c r="D1203" s="71" t="s">
        <v>358</v>
      </c>
      <c r="E1203" s="71" t="s">
        <v>161</v>
      </c>
      <c r="F1203" s="72">
        <v>64800</v>
      </c>
      <c r="G1203" s="83">
        <v>6.4799999999999996E-2</v>
      </c>
      <c r="H1203" s="84" t="s">
        <v>127</v>
      </c>
      <c r="I1203" s="84" t="s">
        <v>379</v>
      </c>
      <c r="J1203" s="84" t="s">
        <v>127</v>
      </c>
    </row>
    <row r="1204" spans="2:10" x14ac:dyDescent="0.3">
      <c r="B1204" s="79" t="s">
        <v>371</v>
      </c>
      <c r="C1204" s="79" t="s">
        <v>300</v>
      </c>
      <c r="D1204" s="73" t="s">
        <v>358</v>
      </c>
      <c r="E1204" s="73" t="s">
        <v>161</v>
      </c>
      <c r="F1204" s="74">
        <v>1139835</v>
      </c>
      <c r="G1204" s="80">
        <v>1.1398349999999999</v>
      </c>
      <c r="H1204" s="81" t="s">
        <v>127</v>
      </c>
      <c r="I1204" s="81" t="s">
        <v>379</v>
      </c>
      <c r="J1204" s="82" t="s">
        <v>127</v>
      </c>
    </row>
    <row r="1205" spans="2:10" x14ac:dyDescent="0.3">
      <c r="B1205" s="70" t="s">
        <v>371</v>
      </c>
      <c r="C1205" s="70" t="s">
        <v>300</v>
      </c>
      <c r="D1205" s="71" t="s">
        <v>358</v>
      </c>
      <c r="E1205" s="71" t="s">
        <v>161</v>
      </c>
      <c r="F1205" s="72">
        <v>1132521</v>
      </c>
      <c r="G1205" s="83">
        <v>1.1325210000000001</v>
      </c>
      <c r="H1205" s="84" t="s">
        <v>127</v>
      </c>
      <c r="I1205" s="84" t="s">
        <v>379</v>
      </c>
      <c r="J1205" s="84" t="s">
        <v>127</v>
      </c>
    </row>
    <row r="1206" spans="2:10" x14ac:dyDescent="0.3">
      <c r="B1206" s="79" t="s">
        <v>371</v>
      </c>
      <c r="C1206" s="79" t="s">
        <v>300</v>
      </c>
      <c r="D1206" s="73" t="s">
        <v>358</v>
      </c>
      <c r="E1206" s="73" t="s">
        <v>161</v>
      </c>
      <c r="F1206" s="74">
        <v>64800</v>
      </c>
      <c r="G1206" s="80">
        <v>6.4799999999999996E-2</v>
      </c>
      <c r="H1206" s="81" t="s">
        <v>127</v>
      </c>
      <c r="I1206" s="81" t="s">
        <v>379</v>
      </c>
      <c r="J1206" s="82" t="s">
        <v>127</v>
      </c>
    </row>
    <row r="1207" spans="2:10" x14ac:dyDescent="0.3">
      <c r="B1207" s="70" t="s">
        <v>371</v>
      </c>
      <c r="C1207" s="70" t="s">
        <v>300</v>
      </c>
      <c r="D1207" s="71" t="s">
        <v>358</v>
      </c>
      <c r="E1207" s="71" t="s">
        <v>161</v>
      </c>
      <c r="F1207" s="72">
        <v>1162734</v>
      </c>
      <c r="G1207" s="83">
        <v>1.1627339999999999</v>
      </c>
      <c r="H1207" s="84" t="s">
        <v>127</v>
      </c>
      <c r="I1207" s="84" t="s">
        <v>379</v>
      </c>
      <c r="J1207" s="84" t="s">
        <v>127</v>
      </c>
    </row>
    <row r="1208" spans="2:10" x14ac:dyDescent="0.3">
      <c r="B1208" s="79" t="s">
        <v>371</v>
      </c>
      <c r="C1208" s="79" t="s">
        <v>300</v>
      </c>
      <c r="D1208" s="73" t="s">
        <v>358</v>
      </c>
      <c r="E1208" s="73" t="s">
        <v>161</v>
      </c>
      <c r="F1208" s="74">
        <v>64800</v>
      </c>
      <c r="G1208" s="80">
        <v>6.4799999999999996E-2</v>
      </c>
      <c r="H1208" s="81" t="s">
        <v>127</v>
      </c>
      <c r="I1208" s="81" t="s">
        <v>379</v>
      </c>
      <c r="J1208" s="82" t="s">
        <v>127</v>
      </c>
    </row>
    <row r="1209" spans="2:10" x14ac:dyDescent="0.3">
      <c r="B1209" s="70" t="s">
        <v>371</v>
      </c>
      <c r="C1209" s="70" t="s">
        <v>300</v>
      </c>
      <c r="D1209" s="71" t="s">
        <v>358</v>
      </c>
      <c r="E1209" s="71" t="s">
        <v>161</v>
      </c>
      <c r="F1209" s="72">
        <v>988945</v>
      </c>
      <c r="G1209" s="83">
        <v>0.98894499999999996</v>
      </c>
      <c r="H1209" s="84" t="s">
        <v>127</v>
      </c>
      <c r="I1209" s="84" t="s">
        <v>379</v>
      </c>
      <c r="J1209" s="84" t="s">
        <v>127</v>
      </c>
    </row>
    <row r="1210" spans="2:10" x14ac:dyDescent="0.3">
      <c r="B1210" s="79" t="s">
        <v>371</v>
      </c>
      <c r="C1210" s="79" t="s">
        <v>300</v>
      </c>
      <c r="D1210" s="73" t="s">
        <v>358</v>
      </c>
      <c r="E1210" s="73" t="s">
        <v>161</v>
      </c>
      <c r="F1210" s="74">
        <v>64800</v>
      </c>
      <c r="G1210" s="80">
        <v>6.4799999999999996E-2</v>
      </c>
      <c r="H1210" s="81" t="s">
        <v>127</v>
      </c>
      <c r="I1210" s="81" t="s">
        <v>379</v>
      </c>
      <c r="J1210" s="82" t="s">
        <v>127</v>
      </c>
    </row>
    <row r="1211" spans="2:10" x14ac:dyDescent="0.3">
      <c r="B1211" s="70" t="s">
        <v>371</v>
      </c>
      <c r="C1211" s="70" t="s">
        <v>300</v>
      </c>
      <c r="D1211" s="71" t="s">
        <v>358</v>
      </c>
      <c r="E1211" s="71" t="s">
        <v>161</v>
      </c>
      <c r="F1211" s="72">
        <v>1011208</v>
      </c>
      <c r="G1211" s="83">
        <v>1.0112080000000001</v>
      </c>
      <c r="H1211" s="84" t="s">
        <v>127</v>
      </c>
      <c r="I1211" s="84" t="s">
        <v>379</v>
      </c>
      <c r="J1211" s="84" t="s">
        <v>127</v>
      </c>
    </row>
    <row r="1212" spans="2:10" x14ac:dyDescent="0.3">
      <c r="B1212" s="79" t="s">
        <v>371</v>
      </c>
      <c r="C1212" s="79" t="s">
        <v>300</v>
      </c>
      <c r="D1212" s="73" t="s">
        <v>358</v>
      </c>
      <c r="E1212" s="73" t="s">
        <v>161</v>
      </c>
      <c r="F1212" s="74">
        <v>64800</v>
      </c>
      <c r="G1212" s="80">
        <v>6.4799999999999996E-2</v>
      </c>
      <c r="H1212" s="81" t="s">
        <v>127</v>
      </c>
      <c r="I1212" s="81" t="s">
        <v>379</v>
      </c>
      <c r="J1212" s="82" t="s">
        <v>127</v>
      </c>
    </row>
    <row r="1213" spans="2:10" x14ac:dyDescent="0.3">
      <c r="B1213" s="70" t="s">
        <v>371</v>
      </c>
      <c r="C1213" s="70" t="s">
        <v>300</v>
      </c>
      <c r="D1213" s="71" t="s">
        <v>358</v>
      </c>
      <c r="E1213" s="71" t="s">
        <v>161</v>
      </c>
      <c r="F1213" s="72">
        <v>1227551</v>
      </c>
      <c r="G1213" s="83">
        <v>1.2275510000000001</v>
      </c>
      <c r="H1213" s="84" t="s">
        <v>127</v>
      </c>
      <c r="I1213" s="84" t="s">
        <v>379</v>
      </c>
      <c r="J1213" s="84" t="s">
        <v>127</v>
      </c>
    </row>
    <row r="1214" spans="2:10" x14ac:dyDescent="0.3">
      <c r="B1214" s="79" t="s">
        <v>371</v>
      </c>
      <c r="C1214" s="79" t="s">
        <v>300</v>
      </c>
      <c r="D1214" s="73" t="s">
        <v>358</v>
      </c>
      <c r="E1214" s="73" t="s">
        <v>161</v>
      </c>
      <c r="F1214" s="74">
        <v>64800</v>
      </c>
      <c r="G1214" s="80">
        <v>6.4799999999999996E-2</v>
      </c>
      <c r="H1214" s="81" t="s">
        <v>127</v>
      </c>
      <c r="I1214" s="81" t="s">
        <v>379</v>
      </c>
      <c r="J1214" s="82" t="s">
        <v>127</v>
      </c>
    </row>
    <row r="1215" spans="2:10" x14ac:dyDescent="0.3">
      <c r="B1215" s="70" t="s">
        <v>371</v>
      </c>
      <c r="C1215" s="70" t="s">
        <v>300</v>
      </c>
      <c r="D1215" s="71" t="s">
        <v>358</v>
      </c>
      <c r="E1215" s="71" t="s">
        <v>161</v>
      </c>
      <c r="F1215" s="72">
        <v>810794</v>
      </c>
      <c r="G1215" s="83">
        <v>0.81079400000000001</v>
      </c>
      <c r="H1215" s="84" t="s">
        <v>127</v>
      </c>
      <c r="I1215" s="84" t="s">
        <v>379</v>
      </c>
      <c r="J1215" s="84" t="s">
        <v>127</v>
      </c>
    </row>
    <row r="1216" spans="2:10" x14ac:dyDescent="0.3">
      <c r="B1216" s="79" t="s">
        <v>371</v>
      </c>
      <c r="C1216" s="79" t="s">
        <v>300</v>
      </c>
      <c r="D1216" s="73" t="s">
        <v>358</v>
      </c>
      <c r="E1216" s="73" t="s">
        <v>161</v>
      </c>
      <c r="F1216" s="74">
        <v>64800</v>
      </c>
      <c r="G1216" s="80">
        <v>6.4799999999999996E-2</v>
      </c>
      <c r="H1216" s="81" t="s">
        <v>127</v>
      </c>
      <c r="I1216" s="81" t="s">
        <v>379</v>
      </c>
      <c r="J1216" s="82" t="s">
        <v>127</v>
      </c>
    </row>
    <row r="1217" spans="2:10" x14ac:dyDescent="0.3">
      <c r="B1217" s="70" t="s">
        <v>371</v>
      </c>
      <c r="C1217" s="70" t="s">
        <v>300</v>
      </c>
      <c r="D1217" s="71" t="s">
        <v>358</v>
      </c>
      <c r="E1217" s="71" t="s">
        <v>161</v>
      </c>
      <c r="F1217" s="72">
        <v>901260</v>
      </c>
      <c r="G1217" s="83">
        <v>0.90125999999999995</v>
      </c>
      <c r="H1217" s="84" t="s">
        <v>127</v>
      </c>
      <c r="I1217" s="84" t="s">
        <v>379</v>
      </c>
      <c r="J1217" s="84" t="s">
        <v>127</v>
      </c>
    </row>
    <row r="1218" spans="2:10" x14ac:dyDescent="0.3">
      <c r="B1218" s="79" t="s">
        <v>371</v>
      </c>
      <c r="C1218" s="79" t="s">
        <v>300</v>
      </c>
      <c r="D1218" s="73" t="s">
        <v>358</v>
      </c>
      <c r="E1218" s="73" t="s">
        <v>161</v>
      </c>
      <c r="F1218" s="74">
        <v>64800</v>
      </c>
      <c r="G1218" s="80">
        <v>6.4799999999999996E-2</v>
      </c>
      <c r="H1218" s="81" t="s">
        <v>127</v>
      </c>
      <c r="I1218" s="81" t="s">
        <v>379</v>
      </c>
      <c r="J1218" s="82" t="s">
        <v>127</v>
      </c>
    </row>
    <row r="1219" spans="2:10" x14ac:dyDescent="0.3">
      <c r="B1219" s="70" t="s">
        <v>371</v>
      </c>
      <c r="C1219" s="70" t="s">
        <v>303</v>
      </c>
      <c r="D1219" s="71" t="s">
        <v>358</v>
      </c>
      <c r="E1219" s="71" t="s">
        <v>161</v>
      </c>
      <c r="F1219" s="72">
        <v>1693473</v>
      </c>
      <c r="G1219" s="83">
        <v>1.693473</v>
      </c>
      <c r="H1219" s="84" t="s">
        <v>127</v>
      </c>
      <c r="I1219" s="84" t="s">
        <v>379</v>
      </c>
      <c r="J1219" s="84" t="s">
        <v>127</v>
      </c>
    </row>
    <row r="1220" spans="2:10" x14ac:dyDescent="0.3">
      <c r="B1220" s="79" t="s">
        <v>371</v>
      </c>
      <c r="C1220" s="79" t="s">
        <v>303</v>
      </c>
      <c r="D1220" s="73" t="s">
        <v>358</v>
      </c>
      <c r="E1220" s="73" t="s">
        <v>161</v>
      </c>
      <c r="F1220" s="74">
        <v>129600</v>
      </c>
      <c r="G1220" s="80">
        <v>0.12959999999999999</v>
      </c>
      <c r="H1220" s="81" t="s">
        <v>127</v>
      </c>
      <c r="I1220" s="81" t="s">
        <v>379</v>
      </c>
      <c r="J1220" s="82" t="s">
        <v>127</v>
      </c>
    </row>
    <row r="1221" spans="2:10" x14ac:dyDescent="0.3">
      <c r="B1221" s="70" t="s">
        <v>371</v>
      </c>
      <c r="C1221" s="70" t="s">
        <v>303</v>
      </c>
      <c r="D1221" s="71" t="s">
        <v>358</v>
      </c>
      <c r="E1221" s="71" t="s">
        <v>161</v>
      </c>
      <c r="F1221" s="72">
        <v>1591130</v>
      </c>
      <c r="G1221" s="83">
        <v>1.5911299999999999</v>
      </c>
      <c r="H1221" s="84" t="s">
        <v>127</v>
      </c>
      <c r="I1221" s="84" t="s">
        <v>379</v>
      </c>
      <c r="J1221" s="84" t="s">
        <v>127</v>
      </c>
    </row>
    <row r="1222" spans="2:10" x14ac:dyDescent="0.3">
      <c r="B1222" s="79" t="s">
        <v>371</v>
      </c>
      <c r="C1222" s="79" t="s">
        <v>303</v>
      </c>
      <c r="D1222" s="73" t="s">
        <v>358</v>
      </c>
      <c r="E1222" s="73" t="s">
        <v>161</v>
      </c>
      <c r="F1222" s="74">
        <v>137036</v>
      </c>
      <c r="G1222" s="80">
        <v>0.13703599999999999</v>
      </c>
      <c r="H1222" s="81" t="s">
        <v>127</v>
      </c>
      <c r="I1222" s="81" t="s">
        <v>379</v>
      </c>
      <c r="J1222" s="82" t="s">
        <v>127</v>
      </c>
    </row>
    <row r="1223" spans="2:10" x14ac:dyDescent="0.3">
      <c r="B1223" s="70" t="s">
        <v>371</v>
      </c>
      <c r="C1223" s="70" t="s">
        <v>303</v>
      </c>
      <c r="D1223" s="71" t="s">
        <v>358</v>
      </c>
      <c r="E1223" s="71" t="s">
        <v>161</v>
      </c>
      <c r="F1223" s="72">
        <v>5037765</v>
      </c>
      <c r="G1223" s="83">
        <v>5.0377650000000003</v>
      </c>
      <c r="H1223" s="84" t="s">
        <v>127</v>
      </c>
      <c r="I1223" s="84" t="s">
        <v>379</v>
      </c>
      <c r="J1223" s="84" t="s">
        <v>127</v>
      </c>
    </row>
    <row r="1224" spans="2:10" x14ac:dyDescent="0.3">
      <c r="B1224" s="79" t="s">
        <v>371</v>
      </c>
      <c r="C1224" s="79" t="s">
        <v>303</v>
      </c>
      <c r="D1224" s="73" t="s">
        <v>358</v>
      </c>
      <c r="E1224" s="73" t="s">
        <v>161</v>
      </c>
      <c r="F1224" s="74">
        <v>853469</v>
      </c>
      <c r="G1224" s="80">
        <v>0.85346900000000003</v>
      </c>
      <c r="H1224" s="81" t="s">
        <v>127</v>
      </c>
      <c r="I1224" s="81" t="s">
        <v>379</v>
      </c>
      <c r="J1224" s="82" t="s">
        <v>127</v>
      </c>
    </row>
    <row r="1225" spans="2:10" x14ac:dyDescent="0.3">
      <c r="B1225" s="70" t="s">
        <v>371</v>
      </c>
      <c r="C1225" s="70" t="s">
        <v>303</v>
      </c>
      <c r="D1225" s="71" t="s">
        <v>358</v>
      </c>
      <c r="E1225" s="71" t="s">
        <v>161</v>
      </c>
      <c r="F1225" s="72">
        <v>426735</v>
      </c>
      <c r="G1225" s="83">
        <v>0.42673499999999998</v>
      </c>
      <c r="H1225" s="84" t="s">
        <v>127</v>
      </c>
      <c r="I1225" s="84" t="s">
        <v>379</v>
      </c>
      <c r="J1225" s="84" t="s">
        <v>127</v>
      </c>
    </row>
    <row r="1226" spans="2:10" x14ac:dyDescent="0.3">
      <c r="B1226" s="79" t="s">
        <v>371</v>
      </c>
      <c r="C1226" s="79" t="s">
        <v>303</v>
      </c>
      <c r="D1226" s="73" t="s">
        <v>358</v>
      </c>
      <c r="E1226" s="73" t="s">
        <v>161</v>
      </c>
      <c r="F1226" s="74">
        <v>1187353</v>
      </c>
      <c r="G1226" s="80">
        <v>1.1873530000000001</v>
      </c>
      <c r="H1226" s="81" t="s">
        <v>127</v>
      </c>
      <c r="I1226" s="81" t="s">
        <v>379</v>
      </c>
      <c r="J1226" s="82" t="s">
        <v>127</v>
      </c>
    </row>
    <row r="1227" spans="2:10" x14ac:dyDescent="0.3">
      <c r="B1227" s="70" t="s">
        <v>371</v>
      </c>
      <c r="C1227" s="70" t="s">
        <v>303</v>
      </c>
      <c r="D1227" s="71" t="s">
        <v>358</v>
      </c>
      <c r="E1227" s="71" t="s">
        <v>161</v>
      </c>
      <c r="F1227" s="72">
        <v>137036</v>
      </c>
      <c r="G1227" s="83">
        <v>0.13703599999999999</v>
      </c>
      <c r="H1227" s="84" t="s">
        <v>127</v>
      </c>
      <c r="I1227" s="84" t="s">
        <v>379</v>
      </c>
      <c r="J1227" s="84" t="s">
        <v>127</v>
      </c>
    </row>
    <row r="1228" spans="2:10" x14ac:dyDescent="0.3">
      <c r="B1228" s="79" t="s">
        <v>371</v>
      </c>
      <c r="C1228" s="79" t="s">
        <v>298</v>
      </c>
      <c r="D1228" s="73" t="s">
        <v>358</v>
      </c>
      <c r="E1228" s="73" t="s">
        <v>161</v>
      </c>
      <c r="F1228" s="74">
        <v>1763017</v>
      </c>
      <c r="G1228" s="80">
        <v>1.7630170000000001</v>
      </c>
      <c r="H1228" s="81" t="s">
        <v>127</v>
      </c>
      <c r="I1228" s="81" t="s">
        <v>379</v>
      </c>
      <c r="J1228" s="82" t="s">
        <v>127</v>
      </c>
    </row>
    <row r="1229" spans="2:10" x14ac:dyDescent="0.3">
      <c r="B1229" s="70" t="s">
        <v>371</v>
      </c>
      <c r="C1229" s="70" t="s">
        <v>298</v>
      </c>
      <c r="D1229" s="71" t="s">
        <v>358</v>
      </c>
      <c r="E1229" s="71" t="s">
        <v>161</v>
      </c>
      <c r="F1229" s="72">
        <v>54558</v>
      </c>
      <c r="G1229" s="83">
        <v>5.4558000000000002E-2</v>
      </c>
      <c r="H1229" s="84" t="s">
        <v>127</v>
      </c>
      <c r="I1229" s="84" t="s">
        <v>379</v>
      </c>
      <c r="J1229" s="84" t="s">
        <v>127</v>
      </c>
    </row>
    <row r="1230" spans="2:10" x14ac:dyDescent="0.3">
      <c r="B1230" s="79" t="s">
        <v>371</v>
      </c>
      <c r="C1230" s="79" t="s">
        <v>298</v>
      </c>
      <c r="D1230" s="73" t="s">
        <v>358</v>
      </c>
      <c r="E1230" s="73" t="s">
        <v>161</v>
      </c>
      <c r="F1230" s="74">
        <v>64800</v>
      </c>
      <c r="G1230" s="80">
        <v>6.4799999999999996E-2</v>
      </c>
      <c r="H1230" s="81" t="s">
        <v>127</v>
      </c>
      <c r="I1230" s="81" t="s">
        <v>379</v>
      </c>
      <c r="J1230" s="82" t="s">
        <v>127</v>
      </c>
    </row>
    <row r="1231" spans="2:10" x14ac:dyDescent="0.3">
      <c r="B1231" s="70" t="s">
        <v>371</v>
      </c>
      <c r="C1231" s="70" t="s">
        <v>298</v>
      </c>
      <c r="D1231" s="71" t="s">
        <v>358</v>
      </c>
      <c r="E1231" s="71" t="s">
        <v>161</v>
      </c>
      <c r="F1231" s="72">
        <v>1263045</v>
      </c>
      <c r="G1231" s="83">
        <v>1.263045</v>
      </c>
      <c r="H1231" s="84" t="s">
        <v>127</v>
      </c>
      <c r="I1231" s="84" t="s">
        <v>379</v>
      </c>
      <c r="J1231" s="84" t="s">
        <v>127</v>
      </c>
    </row>
    <row r="1232" spans="2:10" x14ac:dyDescent="0.3">
      <c r="B1232" s="79" t="s">
        <v>371</v>
      </c>
      <c r="C1232" s="79" t="s">
        <v>298</v>
      </c>
      <c r="D1232" s="73" t="s">
        <v>358</v>
      </c>
      <c r="E1232" s="73" t="s">
        <v>161</v>
      </c>
      <c r="F1232" s="74">
        <v>64800</v>
      </c>
      <c r="G1232" s="80">
        <v>6.4799999999999996E-2</v>
      </c>
      <c r="H1232" s="81" t="s">
        <v>127</v>
      </c>
      <c r="I1232" s="81" t="s">
        <v>379</v>
      </c>
      <c r="J1232" s="82" t="s">
        <v>127</v>
      </c>
    </row>
    <row r="1233" spans="2:10" x14ac:dyDescent="0.3">
      <c r="B1233" s="70" t="s">
        <v>371</v>
      </c>
      <c r="C1233" s="70" t="s">
        <v>298</v>
      </c>
      <c r="D1233" s="71" t="s">
        <v>358</v>
      </c>
      <c r="E1233" s="71" t="s">
        <v>161</v>
      </c>
      <c r="F1233" s="72">
        <v>1699941</v>
      </c>
      <c r="G1233" s="83">
        <v>1.6999409999999999</v>
      </c>
      <c r="H1233" s="84" t="s">
        <v>127</v>
      </c>
      <c r="I1233" s="84" t="s">
        <v>379</v>
      </c>
      <c r="J1233" s="84" t="s">
        <v>127</v>
      </c>
    </row>
    <row r="1234" spans="2:10" x14ac:dyDescent="0.3">
      <c r="B1234" s="79" t="s">
        <v>371</v>
      </c>
      <c r="C1234" s="79" t="s">
        <v>298</v>
      </c>
      <c r="D1234" s="73" t="s">
        <v>358</v>
      </c>
      <c r="E1234" s="73" t="s">
        <v>161</v>
      </c>
      <c r="F1234" s="74">
        <v>64800</v>
      </c>
      <c r="G1234" s="80">
        <v>6.4799999999999996E-2</v>
      </c>
      <c r="H1234" s="81" t="s">
        <v>127</v>
      </c>
      <c r="I1234" s="81" t="s">
        <v>379</v>
      </c>
      <c r="J1234" s="82" t="s">
        <v>127</v>
      </c>
    </row>
    <row r="1235" spans="2:10" x14ac:dyDescent="0.3">
      <c r="B1235" s="70" t="s">
        <v>371</v>
      </c>
      <c r="C1235" s="70" t="s">
        <v>298</v>
      </c>
      <c r="D1235" s="71" t="s">
        <v>358</v>
      </c>
      <c r="E1235" s="71" t="s">
        <v>161</v>
      </c>
      <c r="F1235" s="72">
        <v>1536483</v>
      </c>
      <c r="G1235" s="83">
        <v>1.536483</v>
      </c>
      <c r="H1235" s="84" t="s">
        <v>127</v>
      </c>
      <c r="I1235" s="84" t="s">
        <v>379</v>
      </c>
      <c r="J1235" s="84" t="s">
        <v>127</v>
      </c>
    </row>
    <row r="1236" spans="2:10" x14ac:dyDescent="0.3">
      <c r="B1236" s="79" t="s">
        <v>371</v>
      </c>
      <c r="C1236" s="79" t="s">
        <v>298</v>
      </c>
      <c r="D1236" s="73" t="s">
        <v>358</v>
      </c>
      <c r="E1236" s="73" t="s">
        <v>161</v>
      </c>
      <c r="F1236" s="74">
        <v>1538836</v>
      </c>
      <c r="G1236" s="80">
        <v>1.5388360000000001</v>
      </c>
      <c r="H1236" s="81" t="s">
        <v>127</v>
      </c>
      <c r="I1236" s="81" t="s">
        <v>379</v>
      </c>
      <c r="J1236" s="82" t="s">
        <v>127</v>
      </c>
    </row>
    <row r="1237" spans="2:10" x14ac:dyDescent="0.3">
      <c r="B1237" s="70" t="s">
        <v>371</v>
      </c>
      <c r="C1237" s="70" t="s">
        <v>298</v>
      </c>
      <c r="D1237" s="71" t="s">
        <v>358</v>
      </c>
      <c r="E1237" s="71" t="s">
        <v>161</v>
      </c>
      <c r="F1237" s="72">
        <v>64800</v>
      </c>
      <c r="G1237" s="83">
        <v>6.4799999999999996E-2</v>
      </c>
      <c r="H1237" s="84" t="s">
        <v>127</v>
      </c>
      <c r="I1237" s="84" t="s">
        <v>379</v>
      </c>
      <c r="J1237" s="84" t="s">
        <v>127</v>
      </c>
    </row>
    <row r="1238" spans="2:10" x14ac:dyDescent="0.3">
      <c r="B1238" s="79" t="s">
        <v>371</v>
      </c>
      <c r="C1238" s="79" t="s">
        <v>298</v>
      </c>
      <c r="D1238" s="73" t="s">
        <v>358</v>
      </c>
      <c r="E1238" s="73" t="s">
        <v>161</v>
      </c>
      <c r="F1238" s="74">
        <v>64800</v>
      </c>
      <c r="G1238" s="80">
        <v>6.4799999999999996E-2</v>
      </c>
      <c r="H1238" s="81" t="s">
        <v>127</v>
      </c>
      <c r="I1238" s="81" t="s">
        <v>379</v>
      </c>
      <c r="J1238" s="82" t="s">
        <v>127</v>
      </c>
    </row>
    <row r="1239" spans="2:10" x14ac:dyDescent="0.3">
      <c r="B1239" s="70" t="s">
        <v>371</v>
      </c>
      <c r="C1239" s="70" t="s">
        <v>298</v>
      </c>
      <c r="D1239" s="71" t="s">
        <v>358</v>
      </c>
      <c r="E1239" s="71" t="s">
        <v>161</v>
      </c>
      <c r="F1239" s="72">
        <v>1637835</v>
      </c>
      <c r="G1239" s="83">
        <v>1.6378349999999999</v>
      </c>
      <c r="H1239" s="84" t="s">
        <v>127</v>
      </c>
      <c r="I1239" s="84" t="s">
        <v>379</v>
      </c>
      <c r="J1239" s="84" t="s">
        <v>127</v>
      </c>
    </row>
    <row r="1240" spans="2:10" x14ac:dyDescent="0.3">
      <c r="B1240" s="79" t="s">
        <v>371</v>
      </c>
      <c r="C1240" s="79" t="s">
        <v>298</v>
      </c>
      <c r="D1240" s="73" t="s">
        <v>358</v>
      </c>
      <c r="E1240" s="73" t="s">
        <v>161</v>
      </c>
      <c r="F1240" s="74">
        <v>64800</v>
      </c>
      <c r="G1240" s="80">
        <v>6.4799999999999996E-2</v>
      </c>
      <c r="H1240" s="81" t="s">
        <v>127</v>
      </c>
      <c r="I1240" s="81" t="s">
        <v>379</v>
      </c>
      <c r="J1240" s="82" t="s">
        <v>127</v>
      </c>
    </row>
    <row r="1241" spans="2:10" x14ac:dyDescent="0.3">
      <c r="B1241" s="70" t="s">
        <v>371</v>
      </c>
      <c r="C1241" s="70" t="s">
        <v>298</v>
      </c>
      <c r="D1241" s="71" t="s">
        <v>358</v>
      </c>
      <c r="E1241" s="71" t="s">
        <v>161</v>
      </c>
      <c r="F1241" s="72">
        <v>1754844</v>
      </c>
      <c r="G1241" s="83">
        <v>1.7548440000000001</v>
      </c>
      <c r="H1241" s="84" t="s">
        <v>127</v>
      </c>
      <c r="I1241" s="84" t="s">
        <v>379</v>
      </c>
      <c r="J1241" s="84" t="s">
        <v>127</v>
      </c>
    </row>
    <row r="1242" spans="2:10" x14ac:dyDescent="0.3">
      <c r="B1242" s="79" t="s">
        <v>371</v>
      </c>
      <c r="C1242" s="79" t="s">
        <v>298</v>
      </c>
      <c r="D1242" s="73" t="s">
        <v>358</v>
      </c>
      <c r="E1242" s="73" t="s">
        <v>161</v>
      </c>
      <c r="F1242" s="74">
        <v>64800</v>
      </c>
      <c r="G1242" s="80">
        <v>6.4799999999999996E-2</v>
      </c>
      <c r="H1242" s="81" t="s">
        <v>127</v>
      </c>
      <c r="I1242" s="81" t="s">
        <v>379</v>
      </c>
      <c r="J1242" s="82" t="s">
        <v>127</v>
      </c>
    </row>
    <row r="1243" spans="2:10" x14ac:dyDescent="0.3">
      <c r="B1243" s="70" t="s">
        <v>371</v>
      </c>
      <c r="C1243" s="70" t="s">
        <v>298</v>
      </c>
      <c r="D1243" s="71" t="s">
        <v>358</v>
      </c>
      <c r="E1243" s="71" t="s">
        <v>161</v>
      </c>
      <c r="F1243" s="72">
        <v>1731672</v>
      </c>
      <c r="G1243" s="83">
        <v>1.7316720000000001</v>
      </c>
      <c r="H1243" s="84" t="s">
        <v>127</v>
      </c>
      <c r="I1243" s="84" t="s">
        <v>379</v>
      </c>
      <c r="J1243" s="84" t="s">
        <v>127</v>
      </c>
    </row>
    <row r="1244" spans="2:10" x14ac:dyDescent="0.3">
      <c r="B1244" s="79" t="s">
        <v>371</v>
      </c>
      <c r="C1244" s="79" t="s">
        <v>298</v>
      </c>
      <c r="D1244" s="73" t="s">
        <v>358</v>
      </c>
      <c r="E1244" s="73" t="s">
        <v>161</v>
      </c>
      <c r="F1244" s="74">
        <v>1647196</v>
      </c>
      <c r="G1244" s="80">
        <v>1.6471960000000001</v>
      </c>
      <c r="H1244" s="81" t="s">
        <v>127</v>
      </c>
      <c r="I1244" s="81" t="s">
        <v>379</v>
      </c>
      <c r="J1244" s="82" t="s">
        <v>127</v>
      </c>
    </row>
    <row r="1245" spans="2:10" x14ac:dyDescent="0.3">
      <c r="B1245" s="70" t="s">
        <v>371</v>
      </c>
      <c r="C1245" s="70" t="s">
        <v>298</v>
      </c>
      <c r="D1245" s="71" t="s">
        <v>358</v>
      </c>
      <c r="E1245" s="71" t="s">
        <v>161</v>
      </c>
      <c r="F1245" s="72">
        <v>64800</v>
      </c>
      <c r="G1245" s="83">
        <v>6.4799999999999996E-2</v>
      </c>
      <c r="H1245" s="84" t="s">
        <v>127</v>
      </c>
      <c r="I1245" s="84" t="s">
        <v>379</v>
      </c>
      <c r="J1245" s="84" t="s">
        <v>127</v>
      </c>
    </row>
    <row r="1246" spans="2:10" x14ac:dyDescent="0.3">
      <c r="B1246" s="79" t="s">
        <v>371</v>
      </c>
      <c r="C1246" s="79" t="s">
        <v>298</v>
      </c>
      <c r="D1246" s="73" t="s">
        <v>358</v>
      </c>
      <c r="E1246" s="73" t="s">
        <v>161</v>
      </c>
      <c r="F1246" s="74">
        <v>1630939</v>
      </c>
      <c r="G1246" s="80">
        <v>1.6309389999999999</v>
      </c>
      <c r="H1246" s="81" t="s">
        <v>127</v>
      </c>
      <c r="I1246" s="81" t="s">
        <v>379</v>
      </c>
      <c r="J1246" s="82" t="s">
        <v>127</v>
      </c>
    </row>
    <row r="1247" spans="2:10" x14ac:dyDescent="0.3">
      <c r="B1247" s="70" t="s">
        <v>371</v>
      </c>
      <c r="C1247" s="70" t="s">
        <v>298</v>
      </c>
      <c r="D1247" s="71" t="s">
        <v>358</v>
      </c>
      <c r="E1247" s="71" t="s">
        <v>161</v>
      </c>
      <c r="F1247" s="72">
        <v>64800</v>
      </c>
      <c r="G1247" s="83">
        <v>6.4799999999999996E-2</v>
      </c>
      <c r="H1247" s="84" t="s">
        <v>127</v>
      </c>
      <c r="I1247" s="84" t="s">
        <v>379</v>
      </c>
      <c r="J1247" s="84" t="s">
        <v>127</v>
      </c>
    </row>
    <row r="1248" spans="2:10" x14ac:dyDescent="0.3">
      <c r="B1248" s="79" t="s">
        <v>371</v>
      </c>
      <c r="C1248" s="79" t="s">
        <v>298</v>
      </c>
      <c r="D1248" s="73" t="s">
        <v>358</v>
      </c>
      <c r="E1248" s="73" t="s">
        <v>161</v>
      </c>
      <c r="F1248" s="74">
        <v>1726443</v>
      </c>
      <c r="G1248" s="80">
        <v>1.7264429999999999</v>
      </c>
      <c r="H1248" s="81" t="s">
        <v>127</v>
      </c>
      <c r="I1248" s="81" t="s">
        <v>379</v>
      </c>
      <c r="J1248" s="82" t="s">
        <v>127</v>
      </c>
    </row>
    <row r="1249" spans="2:10" x14ac:dyDescent="0.3">
      <c r="B1249" s="70" t="s">
        <v>371</v>
      </c>
      <c r="C1249" s="70" t="s">
        <v>298</v>
      </c>
      <c r="D1249" s="71" t="s">
        <v>358</v>
      </c>
      <c r="E1249" s="71" t="s">
        <v>161</v>
      </c>
      <c r="F1249" s="72">
        <v>100800</v>
      </c>
      <c r="G1249" s="83">
        <v>0.1008</v>
      </c>
      <c r="H1249" s="84" t="s">
        <v>127</v>
      </c>
      <c r="I1249" s="84" t="s">
        <v>379</v>
      </c>
      <c r="J1249" s="84" t="s">
        <v>127</v>
      </c>
    </row>
    <row r="1250" spans="2:10" x14ac:dyDescent="0.3">
      <c r="B1250" s="79" t="s">
        <v>371</v>
      </c>
      <c r="C1250" s="79" t="s">
        <v>298</v>
      </c>
      <c r="D1250" s="73" t="s">
        <v>358</v>
      </c>
      <c r="E1250" s="73" t="s">
        <v>161</v>
      </c>
      <c r="F1250" s="74">
        <v>1841479</v>
      </c>
      <c r="G1250" s="80">
        <v>1.8414790000000001</v>
      </c>
      <c r="H1250" s="81" t="s">
        <v>127</v>
      </c>
      <c r="I1250" s="81" t="s">
        <v>379</v>
      </c>
      <c r="J1250" s="82" t="s">
        <v>127</v>
      </c>
    </row>
    <row r="1251" spans="2:10" x14ac:dyDescent="0.3">
      <c r="B1251" s="70" t="s">
        <v>371</v>
      </c>
      <c r="C1251" s="70" t="s">
        <v>298</v>
      </c>
      <c r="D1251" s="71" t="s">
        <v>358</v>
      </c>
      <c r="E1251" s="71" t="s">
        <v>161</v>
      </c>
      <c r="F1251" s="72">
        <v>100800</v>
      </c>
      <c r="G1251" s="83">
        <v>0.1008</v>
      </c>
      <c r="H1251" s="84" t="s">
        <v>127</v>
      </c>
      <c r="I1251" s="84" t="s">
        <v>379</v>
      </c>
      <c r="J1251" s="84" t="s">
        <v>127</v>
      </c>
    </row>
    <row r="1252" spans="2:10" x14ac:dyDescent="0.3">
      <c r="B1252" s="79" t="s">
        <v>371</v>
      </c>
      <c r="C1252" s="79" t="s">
        <v>297</v>
      </c>
      <c r="D1252" s="73" t="s">
        <v>358</v>
      </c>
      <c r="E1252" s="73" t="s">
        <v>161</v>
      </c>
      <c r="F1252" s="74">
        <v>528553</v>
      </c>
      <c r="G1252" s="80">
        <v>0.52855300000000005</v>
      </c>
      <c r="H1252" s="81" t="s">
        <v>127</v>
      </c>
      <c r="I1252" s="81" t="s">
        <v>379</v>
      </c>
      <c r="J1252" s="82" t="s">
        <v>127</v>
      </c>
    </row>
    <row r="1253" spans="2:10" x14ac:dyDescent="0.3">
      <c r="B1253" s="70" t="s">
        <v>371</v>
      </c>
      <c r="C1253" s="70" t="s">
        <v>297</v>
      </c>
      <c r="D1253" s="71" t="s">
        <v>358</v>
      </c>
      <c r="E1253" s="71" t="s">
        <v>161</v>
      </c>
      <c r="F1253" s="72">
        <v>1967840</v>
      </c>
      <c r="G1253" s="83">
        <v>1.96784</v>
      </c>
      <c r="H1253" s="84" t="s">
        <v>127</v>
      </c>
      <c r="I1253" s="84" t="s">
        <v>379</v>
      </c>
      <c r="J1253" s="84" t="s">
        <v>127</v>
      </c>
    </row>
    <row r="1254" spans="2:10" x14ac:dyDescent="0.3">
      <c r="B1254" s="79" t="s">
        <v>371</v>
      </c>
      <c r="C1254" s="79" t="s">
        <v>297</v>
      </c>
      <c r="D1254" s="73" t="s">
        <v>358</v>
      </c>
      <c r="E1254" s="73" t="s">
        <v>161</v>
      </c>
      <c r="F1254" s="74">
        <v>2512240</v>
      </c>
      <c r="G1254" s="80">
        <v>2.5122399999999998</v>
      </c>
      <c r="H1254" s="81" t="s">
        <v>127</v>
      </c>
      <c r="I1254" s="81" t="s">
        <v>379</v>
      </c>
      <c r="J1254" s="82" t="s">
        <v>127</v>
      </c>
    </row>
    <row r="1255" spans="2:10" x14ac:dyDescent="0.3">
      <c r="B1255" s="70" t="s">
        <v>371</v>
      </c>
      <c r="C1255" s="70" t="s">
        <v>297</v>
      </c>
      <c r="D1255" s="71" t="s">
        <v>358</v>
      </c>
      <c r="E1255" s="71" t="s">
        <v>161</v>
      </c>
      <c r="F1255" s="72">
        <v>1875160</v>
      </c>
      <c r="G1255" s="83">
        <v>1.8751599999999999</v>
      </c>
      <c r="H1255" s="84" t="s">
        <v>127</v>
      </c>
      <c r="I1255" s="84" t="s">
        <v>379</v>
      </c>
      <c r="J1255" s="84" t="s">
        <v>127</v>
      </c>
    </row>
    <row r="1256" spans="2:10" x14ac:dyDescent="0.3">
      <c r="B1256" s="79" t="s">
        <v>371</v>
      </c>
      <c r="C1256" s="79" t="s">
        <v>297</v>
      </c>
      <c r="D1256" s="73" t="s">
        <v>358</v>
      </c>
      <c r="E1256" s="73" t="s">
        <v>161</v>
      </c>
      <c r="F1256" s="74">
        <v>198134</v>
      </c>
      <c r="G1256" s="80">
        <v>0.198134</v>
      </c>
      <c r="H1256" s="81" t="s">
        <v>127</v>
      </c>
      <c r="I1256" s="81" t="s">
        <v>379</v>
      </c>
      <c r="J1256" s="82" t="s">
        <v>127</v>
      </c>
    </row>
    <row r="1257" spans="2:10" x14ac:dyDescent="0.3">
      <c r="B1257" s="70" t="s">
        <v>371</v>
      </c>
      <c r="C1257" s="70" t="s">
        <v>297</v>
      </c>
      <c r="D1257" s="71" t="s">
        <v>358</v>
      </c>
      <c r="E1257" s="71" t="s">
        <v>161</v>
      </c>
      <c r="F1257" s="72">
        <v>1441965</v>
      </c>
      <c r="G1257" s="83">
        <v>1.4419649999999999</v>
      </c>
      <c r="H1257" s="84" t="s">
        <v>127</v>
      </c>
      <c r="I1257" s="84" t="s">
        <v>379</v>
      </c>
      <c r="J1257" s="84" t="s">
        <v>127</v>
      </c>
    </row>
    <row r="1258" spans="2:10" x14ac:dyDescent="0.3">
      <c r="B1258" s="79" t="s">
        <v>371</v>
      </c>
      <c r="C1258" s="79" t="s">
        <v>297</v>
      </c>
      <c r="D1258" s="73" t="s">
        <v>358</v>
      </c>
      <c r="E1258" s="73" t="s">
        <v>161</v>
      </c>
      <c r="F1258" s="74">
        <v>197727</v>
      </c>
      <c r="G1258" s="80">
        <v>0.19772700000000001</v>
      </c>
      <c r="H1258" s="81" t="s">
        <v>127</v>
      </c>
      <c r="I1258" s="81" t="s">
        <v>379</v>
      </c>
      <c r="J1258" s="82" t="s">
        <v>127</v>
      </c>
    </row>
    <row r="1259" spans="2:10" x14ac:dyDescent="0.3">
      <c r="B1259" s="70" t="s">
        <v>371</v>
      </c>
      <c r="C1259" s="70" t="s">
        <v>297</v>
      </c>
      <c r="D1259" s="71" t="s">
        <v>358</v>
      </c>
      <c r="E1259" s="71" t="s">
        <v>161</v>
      </c>
      <c r="F1259" s="72">
        <v>1561687</v>
      </c>
      <c r="G1259" s="83">
        <v>1.561687</v>
      </c>
      <c r="H1259" s="84" t="s">
        <v>127</v>
      </c>
      <c r="I1259" s="84" t="s">
        <v>379</v>
      </c>
      <c r="J1259" s="84" t="s">
        <v>127</v>
      </c>
    </row>
    <row r="1260" spans="2:10" x14ac:dyDescent="0.3">
      <c r="B1260" s="79" t="s">
        <v>371</v>
      </c>
      <c r="C1260" s="79" t="s">
        <v>297</v>
      </c>
      <c r="D1260" s="73" t="s">
        <v>358</v>
      </c>
      <c r="E1260" s="73" t="s">
        <v>161</v>
      </c>
      <c r="F1260" s="74">
        <v>197727</v>
      </c>
      <c r="G1260" s="80">
        <v>0.19772700000000001</v>
      </c>
      <c r="H1260" s="81" t="s">
        <v>127</v>
      </c>
      <c r="I1260" s="81" t="s">
        <v>379</v>
      </c>
      <c r="J1260" s="82" t="s">
        <v>127</v>
      </c>
    </row>
    <row r="1261" spans="2:10" x14ac:dyDescent="0.3">
      <c r="B1261" s="70" t="s">
        <v>371</v>
      </c>
      <c r="C1261" s="70" t="s">
        <v>297</v>
      </c>
      <c r="D1261" s="71" t="s">
        <v>358</v>
      </c>
      <c r="E1261" s="71" t="s">
        <v>161</v>
      </c>
      <c r="F1261" s="72">
        <v>1601840</v>
      </c>
      <c r="G1261" s="83">
        <v>1.6018399999999999</v>
      </c>
      <c r="H1261" s="84" t="s">
        <v>127</v>
      </c>
      <c r="I1261" s="84" t="s">
        <v>379</v>
      </c>
      <c r="J1261" s="84" t="s">
        <v>127</v>
      </c>
    </row>
    <row r="1262" spans="2:10" x14ac:dyDescent="0.3">
      <c r="B1262" s="79" t="s">
        <v>371</v>
      </c>
      <c r="C1262" s="79" t="s">
        <v>297</v>
      </c>
      <c r="D1262" s="73" t="s">
        <v>358</v>
      </c>
      <c r="E1262" s="73" t="s">
        <v>161</v>
      </c>
      <c r="F1262" s="74">
        <v>1627198</v>
      </c>
      <c r="G1262" s="80">
        <v>1.6271979999999999</v>
      </c>
      <c r="H1262" s="81" t="s">
        <v>127</v>
      </c>
      <c r="I1262" s="81" t="s">
        <v>379</v>
      </c>
      <c r="J1262" s="82" t="s">
        <v>127</v>
      </c>
    </row>
    <row r="1263" spans="2:10" x14ac:dyDescent="0.3">
      <c r="B1263" s="70" t="s">
        <v>371</v>
      </c>
      <c r="C1263" s="70" t="s">
        <v>297</v>
      </c>
      <c r="D1263" s="71" t="s">
        <v>358</v>
      </c>
      <c r="E1263" s="71" t="s">
        <v>161</v>
      </c>
      <c r="F1263" s="72">
        <v>197727</v>
      </c>
      <c r="G1263" s="83">
        <v>0.19772700000000001</v>
      </c>
      <c r="H1263" s="84" t="s">
        <v>127</v>
      </c>
      <c r="I1263" s="84" t="s">
        <v>379</v>
      </c>
      <c r="J1263" s="84" t="s">
        <v>127</v>
      </c>
    </row>
    <row r="1264" spans="2:10" x14ac:dyDescent="0.3">
      <c r="B1264" s="79" t="s">
        <v>371</v>
      </c>
      <c r="C1264" s="79" t="s">
        <v>297</v>
      </c>
      <c r="D1264" s="73" t="s">
        <v>358</v>
      </c>
      <c r="E1264" s="73" t="s">
        <v>161</v>
      </c>
      <c r="F1264" s="74">
        <v>1605260</v>
      </c>
      <c r="G1264" s="80">
        <v>1.6052599999999999</v>
      </c>
      <c r="H1264" s="81" t="s">
        <v>127</v>
      </c>
      <c r="I1264" s="81" t="s">
        <v>379</v>
      </c>
      <c r="J1264" s="82" t="s">
        <v>127</v>
      </c>
    </row>
    <row r="1265" spans="2:10" x14ac:dyDescent="0.3">
      <c r="B1265" s="70" t="s">
        <v>371</v>
      </c>
      <c r="C1265" s="70" t="s">
        <v>297</v>
      </c>
      <c r="D1265" s="71" t="s">
        <v>358</v>
      </c>
      <c r="E1265" s="71" t="s">
        <v>161</v>
      </c>
      <c r="F1265" s="72">
        <v>197727</v>
      </c>
      <c r="G1265" s="83">
        <v>0.19772700000000001</v>
      </c>
      <c r="H1265" s="84" t="s">
        <v>127</v>
      </c>
      <c r="I1265" s="84" t="s">
        <v>379</v>
      </c>
      <c r="J1265" s="84" t="s">
        <v>127</v>
      </c>
    </row>
    <row r="1266" spans="2:10" x14ac:dyDescent="0.3">
      <c r="B1266" s="79" t="s">
        <v>371</v>
      </c>
      <c r="C1266" s="79" t="s">
        <v>297</v>
      </c>
      <c r="D1266" s="73" t="s">
        <v>358</v>
      </c>
      <c r="E1266" s="73" t="s">
        <v>161</v>
      </c>
      <c r="F1266" s="74">
        <v>1513543</v>
      </c>
      <c r="G1266" s="80">
        <v>1.5135430000000001</v>
      </c>
      <c r="H1266" s="81" t="s">
        <v>127</v>
      </c>
      <c r="I1266" s="81" t="s">
        <v>379</v>
      </c>
      <c r="J1266" s="82" t="s">
        <v>127</v>
      </c>
    </row>
    <row r="1267" spans="2:10" x14ac:dyDescent="0.3">
      <c r="B1267" s="70" t="s">
        <v>371</v>
      </c>
      <c r="C1267" s="70" t="s">
        <v>297</v>
      </c>
      <c r="D1267" s="71" t="s">
        <v>358</v>
      </c>
      <c r="E1267" s="71" t="s">
        <v>161</v>
      </c>
      <c r="F1267" s="72">
        <v>197844</v>
      </c>
      <c r="G1267" s="83">
        <v>0.19784399999999999</v>
      </c>
      <c r="H1267" s="84" t="s">
        <v>127</v>
      </c>
      <c r="I1267" s="84" t="s">
        <v>379</v>
      </c>
      <c r="J1267" s="84" t="s">
        <v>127</v>
      </c>
    </row>
    <row r="1268" spans="2:10" x14ac:dyDescent="0.3">
      <c r="B1268" s="79" t="s">
        <v>371</v>
      </c>
      <c r="C1268" s="79" t="s">
        <v>297</v>
      </c>
      <c r="D1268" s="73" t="s">
        <v>358</v>
      </c>
      <c r="E1268" s="73" t="s">
        <v>161</v>
      </c>
      <c r="F1268" s="74">
        <v>1539851</v>
      </c>
      <c r="G1268" s="80">
        <v>1.5398510000000001</v>
      </c>
      <c r="H1268" s="81" t="s">
        <v>127</v>
      </c>
      <c r="I1268" s="81" t="s">
        <v>379</v>
      </c>
      <c r="J1268" s="82" t="s">
        <v>127</v>
      </c>
    </row>
    <row r="1269" spans="2:10" x14ac:dyDescent="0.3">
      <c r="B1269" s="70" t="s">
        <v>371</v>
      </c>
      <c r="C1269" s="70" t="s">
        <v>297</v>
      </c>
      <c r="D1269" s="71" t="s">
        <v>358</v>
      </c>
      <c r="E1269" s="71" t="s">
        <v>161</v>
      </c>
      <c r="F1269" s="72">
        <v>197844</v>
      </c>
      <c r="G1269" s="83">
        <v>0.19784399999999999</v>
      </c>
      <c r="H1269" s="84" t="s">
        <v>127</v>
      </c>
      <c r="I1269" s="84" t="s">
        <v>379</v>
      </c>
      <c r="J1269" s="84" t="s">
        <v>127</v>
      </c>
    </row>
    <row r="1270" spans="2:10" x14ac:dyDescent="0.3">
      <c r="B1270" s="79" t="s">
        <v>371</v>
      </c>
      <c r="C1270" s="79" t="s">
        <v>297</v>
      </c>
      <c r="D1270" s="73" t="s">
        <v>358</v>
      </c>
      <c r="E1270" s="73" t="s">
        <v>161</v>
      </c>
      <c r="F1270" s="74">
        <v>1612452</v>
      </c>
      <c r="G1270" s="80">
        <v>1.612452</v>
      </c>
      <c r="H1270" s="81" t="s">
        <v>127</v>
      </c>
      <c r="I1270" s="81" t="s">
        <v>379</v>
      </c>
      <c r="J1270" s="82" t="s">
        <v>127</v>
      </c>
    </row>
    <row r="1271" spans="2:10" x14ac:dyDescent="0.3">
      <c r="B1271" s="70" t="s">
        <v>371</v>
      </c>
      <c r="C1271" s="70" t="s">
        <v>297</v>
      </c>
      <c r="D1271" s="71" t="s">
        <v>358</v>
      </c>
      <c r="E1271" s="71" t="s">
        <v>161</v>
      </c>
      <c r="F1271" s="72">
        <v>197845</v>
      </c>
      <c r="G1271" s="83">
        <v>0.19784499999999999</v>
      </c>
      <c r="H1271" s="84" t="s">
        <v>127</v>
      </c>
      <c r="I1271" s="84" t="s">
        <v>379</v>
      </c>
      <c r="J1271" s="84" t="s">
        <v>127</v>
      </c>
    </row>
    <row r="1272" spans="2:10" x14ac:dyDescent="0.3">
      <c r="B1272" s="79" t="s">
        <v>371</v>
      </c>
      <c r="C1272" s="79" t="s">
        <v>297</v>
      </c>
      <c r="D1272" s="73" t="s">
        <v>358</v>
      </c>
      <c r="E1272" s="73" t="s">
        <v>161</v>
      </c>
      <c r="F1272" s="74">
        <v>1828906</v>
      </c>
      <c r="G1272" s="80">
        <v>1.8289059999999999</v>
      </c>
      <c r="H1272" s="81" t="s">
        <v>127</v>
      </c>
      <c r="I1272" s="81" t="s">
        <v>379</v>
      </c>
      <c r="J1272" s="82" t="s">
        <v>127</v>
      </c>
    </row>
    <row r="1273" spans="2:10" x14ac:dyDescent="0.3">
      <c r="B1273" s="70" t="s">
        <v>371</v>
      </c>
      <c r="C1273" s="70" t="s">
        <v>297</v>
      </c>
      <c r="D1273" s="71" t="s">
        <v>358</v>
      </c>
      <c r="E1273" s="71" t="s">
        <v>161</v>
      </c>
      <c r="F1273" s="72">
        <v>228333</v>
      </c>
      <c r="G1273" s="83">
        <v>0.22833300000000001</v>
      </c>
      <c r="H1273" s="84" t="s">
        <v>127</v>
      </c>
      <c r="I1273" s="84" t="s">
        <v>379</v>
      </c>
      <c r="J1273" s="84" t="s">
        <v>127</v>
      </c>
    </row>
    <row r="1274" spans="2:10" x14ac:dyDescent="0.3">
      <c r="B1274" s="79" t="s">
        <v>371</v>
      </c>
      <c r="C1274" s="79" t="s">
        <v>297</v>
      </c>
      <c r="D1274" s="73" t="s">
        <v>358</v>
      </c>
      <c r="E1274" s="73" t="s">
        <v>161</v>
      </c>
      <c r="F1274" s="74">
        <v>1690289</v>
      </c>
      <c r="G1274" s="80">
        <v>1.6902889999999999</v>
      </c>
      <c r="H1274" s="81" t="s">
        <v>127</v>
      </c>
      <c r="I1274" s="81" t="s">
        <v>379</v>
      </c>
      <c r="J1274" s="82" t="s">
        <v>127</v>
      </c>
    </row>
    <row r="1275" spans="2:10" x14ac:dyDescent="0.3">
      <c r="B1275" s="70" t="s">
        <v>371</v>
      </c>
      <c r="C1275" s="70" t="s">
        <v>297</v>
      </c>
      <c r="D1275" s="71" t="s">
        <v>358</v>
      </c>
      <c r="E1275" s="71" t="s">
        <v>161</v>
      </c>
      <c r="F1275" s="72">
        <v>223950</v>
      </c>
      <c r="G1275" s="83">
        <v>0.22395000000000001</v>
      </c>
      <c r="H1275" s="84" t="s">
        <v>127</v>
      </c>
      <c r="I1275" s="84" t="s">
        <v>379</v>
      </c>
      <c r="J1275" s="84" t="s">
        <v>127</v>
      </c>
    </row>
    <row r="1276" spans="2:10" x14ac:dyDescent="0.3">
      <c r="B1276" s="79" t="s">
        <v>371</v>
      </c>
      <c r="C1276" s="79" t="s">
        <v>297</v>
      </c>
      <c r="D1276" s="73" t="s">
        <v>358</v>
      </c>
      <c r="E1276" s="73" t="s">
        <v>161</v>
      </c>
      <c r="F1276" s="74">
        <v>228150</v>
      </c>
      <c r="G1276" s="80">
        <v>0.22814999999999999</v>
      </c>
      <c r="H1276" s="81" t="s">
        <v>127</v>
      </c>
      <c r="I1276" s="81" t="s">
        <v>379</v>
      </c>
      <c r="J1276" s="82" t="s">
        <v>127</v>
      </c>
    </row>
    <row r="1277" spans="2:10" x14ac:dyDescent="0.3">
      <c r="B1277" s="70" t="s">
        <v>371</v>
      </c>
      <c r="C1277" s="70" t="s">
        <v>297</v>
      </c>
      <c r="D1277" s="71" t="s">
        <v>358</v>
      </c>
      <c r="E1277" s="71" t="s">
        <v>161</v>
      </c>
      <c r="F1277" s="72">
        <v>1667577</v>
      </c>
      <c r="G1277" s="83">
        <v>1.6675770000000001</v>
      </c>
      <c r="H1277" s="84" t="s">
        <v>127</v>
      </c>
      <c r="I1277" s="84" t="s">
        <v>379</v>
      </c>
      <c r="J1277" s="84" t="s">
        <v>127</v>
      </c>
    </row>
    <row r="1278" spans="2:10" x14ac:dyDescent="0.3">
      <c r="B1278" s="79" t="s">
        <v>371</v>
      </c>
      <c r="C1278" s="79" t="s">
        <v>307</v>
      </c>
      <c r="D1278" s="73" t="s">
        <v>358</v>
      </c>
      <c r="E1278" s="73" t="s">
        <v>161</v>
      </c>
      <c r="F1278" s="74">
        <v>356775</v>
      </c>
      <c r="G1278" s="80">
        <v>0.35677500000000001</v>
      </c>
      <c r="H1278" s="81" t="s">
        <v>127</v>
      </c>
      <c r="I1278" s="81" t="s">
        <v>379</v>
      </c>
      <c r="J1278" s="82" t="s">
        <v>127</v>
      </c>
    </row>
    <row r="1279" spans="2:10" x14ac:dyDescent="0.3">
      <c r="B1279" s="70" t="s">
        <v>371</v>
      </c>
      <c r="C1279" s="70" t="s">
        <v>307</v>
      </c>
      <c r="D1279" s="71" t="s">
        <v>358</v>
      </c>
      <c r="E1279" s="71" t="s">
        <v>161</v>
      </c>
      <c r="F1279" s="72">
        <v>286925</v>
      </c>
      <c r="G1279" s="83">
        <v>0.28692499999999999</v>
      </c>
      <c r="H1279" s="84" t="s">
        <v>127</v>
      </c>
      <c r="I1279" s="84" t="s">
        <v>379</v>
      </c>
      <c r="J1279" s="84" t="s">
        <v>127</v>
      </c>
    </row>
    <row r="1280" spans="2:10" x14ac:dyDescent="0.3">
      <c r="B1280" s="79" t="s">
        <v>371</v>
      </c>
      <c r="C1280" s="79" t="s">
        <v>307</v>
      </c>
      <c r="D1280" s="73" t="s">
        <v>358</v>
      </c>
      <c r="E1280" s="73" t="s">
        <v>161</v>
      </c>
      <c r="F1280" s="74">
        <v>206610</v>
      </c>
      <c r="G1280" s="80">
        <v>0.20660999999999999</v>
      </c>
      <c r="H1280" s="81" t="s">
        <v>127</v>
      </c>
      <c r="I1280" s="81" t="s">
        <v>379</v>
      </c>
      <c r="J1280" s="82" t="s">
        <v>127</v>
      </c>
    </row>
    <row r="1281" spans="2:10" x14ac:dyDescent="0.3">
      <c r="B1281" s="70" t="s">
        <v>371</v>
      </c>
      <c r="C1281" s="70" t="s">
        <v>307</v>
      </c>
      <c r="D1281" s="71" t="s">
        <v>358</v>
      </c>
      <c r="E1281" s="71" t="s">
        <v>161</v>
      </c>
      <c r="F1281" s="72">
        <v>206610</v>
      </c>
      <c r="G1281" s="83">
        <v>0.20660999999999999</v>
      </c>
      <c r="H1281" s="84" t="s">
        <v>127</v>
      </c>
      <c r="I1281" s="84" t="s">
        <v>379</v>
      </c>
      <c r="J1281" s="84" t="s">
        <v>127</v>
      </c>
    </row>
    <row r="1282" spans="2:10" x14ac:dyDescent="0.3">
      <c r="B1282" s="79" t="s">
        <v>371</v>
      </c>
      <c r="C1282" s="79" t="s">
        <v>307</v>
      </c>
      <c r="D1282" s="73" t="s">
        <v>358</v>
      </c>
      <c r="E1282" s="73" t="s">
        <v>161</v>
      </c>
      <c r="F1282" s="74">
        <v>360098</v>
      </c>
      <c r="G1282" s="80">
        <v>0.36009799999999997</v>
      </c>
      <c r="H1282" s="81" t="s">
        <v>127</v>
      </c>
      <c r="I1282" s="81" t="s">
        <v>379</v>
      </c>
      <c r="J1282" s="82" t="s">
        <v>127</v>
      </c>
    </row>
    <row r="1283" spans="2:10" x14ac:dyDescent="0.3">
      <c r="B1283" s="70" t="s">
        <v>371</v>
      </c>
      <c r="C1283" s="70" t="s">
        <v>307</v>
      </c>
      <c r="D1283" s="71" t="s">
        <v>358</v>
      </c>
      <c r="E1283" s="71" t="s">
        <v>161</v>
      </c>
      <c r="F1283" s="72">
        <v>360108</v>
      </c>
      <c r="G1283" s="83">
        <v>0.36010799999999998</v>
      </c>
      <c r="H1283" s="84" t="s">
        <v>127</v>
      </c>
      <c r="I1283" s="84" t="s">
        <v>379</v>
      </c>
      <c r="J1283" s="84" t="s">
        <v>127</v>
      </c>
    </row>
    <row r="1284" spans="2:10" x14ac:dyDescent="0.3">
      <c r="B1284" s="79" t="s">
        <v>371</v>
      </c>
      <c r="C1284" s="79" t="s">
        <v>307</v>
      </c>
      <c r="D1284" s="73" t="s">
        <v>358</v>
      </c>
      <c r="E1284" s="73" t="s">
        <v>161</v>
      </c>
      <c r="F1284" s="74">
        <v>208770</v>
      </c>
      <c r="G1284" s="80">
        <v>0.20877000000000001</v>
      </c>
      <c r="H1284" s="81" t="s">
        <v>127</v>
      </c>
      <c r="I1284" s="81" t="s">
        <v>379</v>
      </c>
      <c r="J1284" s="82" t="s">
        <v>127</v>
      </c>
    </row>
    <row r="1285" spans="2:10" x14ac:dyDescent="0.3">
      <c r="B1285" s="70" t="s">
        <v>371</v>
      </c>
      <c r="C1285" s="70" t="s">
        <v>307</v>
      </c>
      <c r="D1285" s="71" t="s">
        <v>358</v>
      </c>
      <c r="E1285" s="71" t="s">
        <v>161</v>
      </c>
      <c r="F1285" s="72">
        <v>208770</v>
      </c>
      <c r="G1285" s="83">
        <v>0.20877000000000001</v>
      </c>
      <c r="H1285" s="84" t="s">
        <v>127</v>
      </c>
      <c r="I1285" s="84" t="s">
        <v>379</v>
      </c>
      <c r="J1285" s="84" t="s">
        <v>127</v>
      </c>
    </row>
    <row r="1286" spans="2:10" x14ac:dyDescent="0.3">
      <c r="B1286" s="79" t="s">
        <v>371</v>
      </c>
      <c r="C1286" s="79" t="s">
        <v>307</v>
      </c>
      <c r="D1286" s="73" t="s">
        <v>358</v>
      </c>
      <c r="E1286" s="73" t="s">
        <v>161</v>
      </c>
      <c r="F1286" s="74">
        <v>1607628</v>
      </c>
      <c r="G1286" s="80">
        <v>1.6076280000000001</v>
      </c>
      <c r="H1286" s="81" t="s">
        <v>127</v>
      </c>
      <c r="I1286" s="81" t="s">
        <v>379</v>
      </c>
      <c r="J1286" s="82" t="s">
        <v>127</v>
      </c>
    </row>
    <row r="1287" spans="2:10" x14ac:dyDescent="0.3">
      <c r="B1287" s="70" t="s">
        <v>371</v>
      </c>
      <c r="C1287" s="70" t="s">
        <v>307</v>
      </c>
      <c r="D1287" s="71" t="s">
        <v>358</v>
      </c>
      <c r="E1287" s="71" t="s">
        <v>161</v>
      </c>
      <c r="F1287" s="72">
        <v>1607628</v>
      </c>
      <c r="G1287" s="83">
        <v>1.6076280000000001</v>
      </c>
      <c r="H1287" s="84" t="s">
        <v>127</v>
      </c>
      <c r="I1287" s="84" t="s">
        <v>379</v>
      </c>
      <c r="J1287" s="84" t="s">
        <v>127</v>
      </c>
    </row>
    <row r="1288" spans="2:10" x14ac:dyDescent="0.3">
      <c r="B1288" s="79" t="s">
        <v>371</v>
      </c>
      <c r="C1288" s="79" t="s">
        <v>307</v>
      </c>
      <c r="D1288" s="73" t="s">
        <v>358</v>
      </c>
      <c r="E1288" s="73" t="s">
        <v>161</v>
      </c>
      <c r="F1288" s="74">
        <v>443886</v>
      </c>
      <c r="G1288" s="80">
        <v>0.443886</v>
      </c>
      <c r="H1288" s="81" t="s">
        <v>127</v>
      </c>
      <c r="I1288" s="81" t="s">
        <v>379</v>
      </c>
      <c r="J1288" s="82" t="s">
        <v>127</v>
      </c>
    </row>
    <row r="1289" spans="2:10" x14ac:dyDescent="0.3">
      <c r="B1289" s="70" t="s">
        <v>371</v>
      </c>
      <c r="C1289" s="70" t="s">
        <v>307</v>
      </c>
      <c r="D1289" s="71" t="s">
        <v>358</v>
      </c>
      <c r="E1289" s="71" t="s">
        <v>161</v>
      </c>
      <c r="F1289" s="72">
        <v>216315</v>
      </c>
      <c r="G1289" s="83">
        <v>0.21631500000000001</v>
      </c>
      <c r="H1289" s="84" t="s">
        <v>127</v>
      </c>
      <c r="I1289" s="84" t="s">
        <v>379</v>
      </c>
      <c r="J1289" s="84" t="s">
        <v>127</v>
      </c>
    </row>
    <row r="1290" spans="2:10" x14ac:dyDescent="0.3">
      <c r="B1290" s="79" t="s">
        <v>371</v>
      </c>
      <c r="C1290" s="79" t="s">
        <v>307</v>
      </c>
      <c r="D1290" s="73" t="s">
        <v>358</v>
      </c>
      <c r="E1290" s="73" t="s">
        <v>161</v>
      </c>
      <c r="F1290" s="74">
        <v>1607628</v>
      </c>
      <c r="G1290" s="80">
        <v>1.6076280000000001</v>
      </c>
      <c r="H1290" s="81" t="s">
        <v>127</v>
      </c>
      <c r="I1290" s="81" t="s">
        <v>379</v>
      </c>
      <c r="J1290" s="82" t="s">
        <v>127</v>
      </c>
    </row>
    <row r="1291" spans="2:10" x14ac:dyDescent="0.3">
      <c r="B1291" s="70" t="s">
        <v>371</v>
      </c>
      <c r="C1291" s="70" t="s">
        <v>307</v>
      </c>
      <c r="D1291" s="71" t="s">
        <v>358</v>
      </c>
      <c r="E1291" s="71" t="s">
        <v>161</v>
      </c>
      <c r="F1291" s="72">
        <v>634787</v>
      </c>
      <c r="G1291" s="83">
        <v>0.63478699999999999</v>
      </c>
      <c r="H1291" s="84" t="s">
        <v>127</v>
      </c>
      <c r="I1291" s="84" t="s">
        <v>379</v>
      </c>
      <c r="J1291" s="84" t="s">
        <v>127</v>
      </c>
    </row>
    <row r="1292" spans="2:10" x14ac:dyDescent="0.3">
      <c r="B1292" s="79" t="s">
        <v>371</v>
      </c>
      <c r="C1292" s="79" t="s">
        <v>307</v>
      </c>
      <c r="D1292" s="73" t="s">
        <v>358</v>
      </c>
      <c r="E1292" s="73" t="s">
        <v>161</v>
      </c>
      <c r="F1292" s="74">
        <v>338870</v>
      </c>
      <c r="G1292" s="80">
        <v>0.33887</v>
      </c>
      <c r="H1292" s="81" t="s">
        <v>127</v>
      </c>
      <c r="I1292" s="81" t="s">
        <v>379</v>
      </c>
      <c r="J1292" s="82" t="s">
        <v>127</v>
      </c>
    </row>
    <row r="1293" spans="2:10" x14ac:dyDescent="0.3">
      <c r="B1293" s="70" t="s">
        <v>371</v>
      </c>
      <c r="C1293" s="70" t="s">
        <v>307</v>
      </c>
      <c r="D1293" s="71" t="s">
        <v>358</v>
      </c>
      <c r="E1293" s="71" t="s">
        <v>161</v>
      </c>
      <c r="F1293" s="72">
        <v>265586</v>
      </c>
      <c r="G1293" s="83">
        <v>0.26558599999999999</v>
      </c>
      <c r="H1293" s="84" t="s">
        <v>127</v>
      </c>
      <c r="I1293" s="84" t="s">
        <v>379</v>
      </c>
      <c r="J1293" s="84" t="s">
        <v>127</v>
      </c>
    </row>
    <row r="1294" spans="2:10" x14ac:dyDescent="0.3">
      <c r="B1294" s="79" t="s">
        <v>371</v>
      </c>
      <c r="C1294" s="79" t="s">
        <v>307</v>
      </c>
      <c r="D1294" s="73" t="s">
        <v>358</v>
      </c>
      <c r="E1294" s="73" t="s">
        <v>161</v>
      </c>
      <c r="F1294" s="74">
        <v>127867</v>
      </c>
      <c r="G1294" s="80">
        <v>0.12786700000000001</v>
      </c>
      <c r="H1294" s="81" t="s">
        <v>127</v>
      </c>
      <c r="I1294" s="81" t="s">
        <v>379</v>
      </c>
      <c r="J1294" s="82" t="s">
        <v>127</v>
      </c>
    </row>
    <row r="1295" spans="2:10" x14ac:dyDescent="0.3">
      <c r="B1295" s="70" t="s">
        <v>371</v>
      </c>
      <c r="C1295" s="70" t="s">
        <v>307</v>
      </c>
      <c r="D1295" s="71" t="s">
        <v>358</v>
      </c>
      <c r="E1295" s="71" t="s">
        <v>161</v>
      </c>
      <c r="F1295" s="72">
        <v>75873</v>
      </c>
      <c r="G1295" s="83">
        <v>7.5872999999999996E-2</v>
      </c>
      <c r="H1295" s="84" t="s">
        <v>127</v>
      </c>
      <c r="I1295" s="84" t="s">
        <v>379</v>
      </c>
      <c r="J1295" s="84" t="s">
        <v>127</v>
      </c>
    </row>
    <row r="1296" spans="2:10" x14ac:dyDescent="0.3">
      <c r="B1296" s="79" t="s">
        <v>371</v>
      </c>
      <c r="C1296" s="79" t="s">
        <v>307</v>
      </c>
      <c r="D1296" s="73" t="s">
        <v>358</v>
      </c>
      <c r="E1296" s="73" t="s">
        <v>161</v>
      </c>
      <c r="F1296" s="74">
        <v>83986</v>
      </c>
      <c r="G1296" s="80">
        <v>8.3986000000000005E-2</v>
      </c>
      <c r="H1296" s="81" t="s">
        <v>127</v>
      </c>
      <c r="I1296" s="81" t="s">
        <v>379</v>
      </c>
      <c r="J1296" s="82" t="s">
        <v>127</v>
      </c>
    </row>
    <row r="1297" spans="2:10" x14ac:dyDescent="0.3">
      <c r="B1297" s="70" t="s">
        <v>371</v>
      </c>
      <c r="C1297" s="70" t="s">
        <v>307</v>
      </c>
      <c r="D1297" s="71" t="s">
        <v>358</v>
      </c>
      <c r="E1297" s="71" t="s">
        <v>161</v>
      </c>
      <c r="F1297" s="72">
        <v>80659</v>
      </c>
      <c r="G1297" s="83">
        <v>8.0658999999999995E-2</v>
      </c>
      <c r="H1297" s="84" t="s">
        <v>127</v>
      </c>
      <c r="I1297" s="84" t="s">
        <v>379</v>
      </c>
      <c r="J1297" s="84" t="s">
        <v>127</v>
      </c>
    </row>
    <row r="1298" spans="2:10" x14ac:dyDescent="0.3">
      <c r="B1298" s="79" t="s">
        <v>371</v>
      </c>
      <c r="C1298" s="79" t="s">
        <v>331</v>
      </c>
      <c r="D1298" s="73" t="s">
        <v>358</v>
      </c>
      <c r="E1298" s="73" t="s">
        <v>161</v>
      </c>
      <c r="F1298" s="74">
        <v>387841</v>
      </c>
      <c r="G1298" s="80">
        <v>0.38784099999999999</v>
      </c>
      <c r="H1298" s="81" t="s">
        <v>127</v>
      </c>
      <c r="I1298" s="81" t="s">
        <v>379</v>
      </c>
      <c r="J1298" s="82" t="s">
        <v>127</v>
      </c>
    </row>
    <row r="1299" spans="2:10" x14ac:dyDescent="0.3">
      <c r="B1299" s="70" t="s">
        <v>371</v>
      </c>
      <c r="C1299" s="70" t="s">
        <v>331</v>
      </c>
      <c r="D1299" s="71" t="s">
        <v>358</v>
      </c>
      <c r="E1299" s="71" t="s">
        <v>161</v>
      </c>
      <c r="F1299" s="72">
        <v>443183</v>
      </c>
      <c r="G1299" s="83">
        <v>0.44318299999999999</v>
      </c>
      <c r="H1299" s="84" t="s">
        <v>127</v>
      </c>
      <c r="I1299" s="84" t="s">
        <v>379</v>
      </c>
      <c r="J1299" s="84" t="s">
        <v>127</v>
      </c>
    </row>
    <row r="1300" spans="2:10" x14ac:dyDescent="0.3">
      <c r="B1300" s="79" t="s">
        <v>371</v>
      </c>
      <c r="C1300" s="79" t="s">
        <v>331</v>
      </c>
      <c r="D1300" s="73" t="s">
        <v>358</v>
      </c>
      <c r="E1300" s="73" t="s">
        <v>161</v>
      </c>
      <c r="F1300" s="74">
        <v>443182</v>
      </c>
      <c r="G1300" s="80">
        <v>0.44318200000000002</v>
      </c>
      <c r="H1300" s="81" t="s">
        <v>127</v>
      </c>
      <c r="I1300" s="81" t="s">
        <v>379</v>
      </c>
      <c r="J1300" s="82" t="s">
        <v>127</v>
      </c>
    </row>
    <row r="1301" spans="2:10" x14ac:dyDescent="0.3">
      <c r="B1301" s="70" t="s">
        <v>371</v>
      </c>
      <c r="C1301" s="70" t="s">
        <v>331</v>
      </c>
      <c r="D1301" s="71" t="s">
        <v>358</v>
      </c>
      <c r="E1301" s="71" t="s">
        <v>161</v>
      </c>
      <c r="F1301" s="72">
        <v>443184</v>
      </c>
      <c r="G1301" s="83">
        <v>0.44318400000000002</v>
      </c>
      <c r="H1301" s="84" t="s">
        <v>127</v>
      </c>
      <c r="I1301" s="84" t="s">
        <v>379</v>
      </c>
      <c r="J1301" s="84" t="s">
        <v>127</v>
      </c>
    </row>
    <row r="1302" spans="2:10" x14ac:dyDescent="0.3">
      <c r="B1302" s="79" t="s">
        <v>371</v>
      </c>
      <c r="C1302" s="79" t="s">
        <v>320</v>
      </c>
      <c r="D1302" s="73" t="s">
        <v>358</v>
      </c>
      <c r="E1302" s="73" t="s">
        <v>161</v>
      </c>
      <c r="F1302" s="74">
        <v>956285</v>
      </c>
      <c r="G1302" s="80">
        <v>0.95628500000000005</v>
      </c>
      <c r="H1302" s="81" t="s">
        <v>127</v>
      </c>
      <c r="I1302" s="81" t="s">
        <v>379</v>
      </c>
      <c r="J1302" s="82" t="s">
        <v>127</v>
      </c>
    </row>
    <row r="1303" spans="2:10" x14ac:dyDescent="0.3">
      <c r="B1303" s="70" t="s">
        <v>371</v>
      </c>
      <c r="C1303" s="70" t="s">
        <v>320</v>
      </c>
      <c r="D1303" s="71" t="s">
        <v>358</v>
      </c>
      <c r="E1303" s="71" t="s">
        <v>161</v>
      </c>
      <c r="F1303" s="72">
        <v>425882</v>
      </c>
      <c r="G1303" s="83">
        <v>0.42588199999999998</v>
      </c>
      <c r="H1303" s="84" t="s">
        <v>127</v>
      </c>
      <c r="I1303" s="84" t="s">
        <v>379</v>
      </c>
      <c r="J1303" s="84" t="s">
        <v>127</v>
      </c>
    </row>
    <row r="1304" spans="2:10" x14ac:dyDescent="0.3">
      <c r="B1304" s="79" t="s">
        <v>371</v>
      </c>
      <c r="C1304" s="79" t="s">
        <v>320</v>
      </c>
      <c r="D1304" s="73" t="s">
        <v>358</v>
      </c>
      <c r="E1304" s="73" t="s">
        <v>161</v>
      </c>
      <c r="F1304" s="74">
        <v>1021608</v>
      </c>
      <c r="G1304" s="80">
        <v>1.0216080000000001</v>
      </c>
      <c r="H1304" s="81" t="s">
        <v>127</v>
      </c>
      <c r="I1304" s="81" t="s">
        <v>379</v>
      </c>
      <c r="J1304" s="82" t="s">
        <v>127</v>
      </c>
    </row>
    <row r="1305" spans="2:10" x14ac:dyDescent="0.3">
      <c r="B1305" s="70" t="s">
        <v>371</v>
      </c>
      <c r="C1305" s="70" t="s">
        <v>320</v>
      </c>
      <c r="D1305" s="71" t="s">
        <v>358</v>
      </c>
      <c r="E1305" s="71" t="s">
        <v>161</v>
      </c>
      <c r="F1305" s="72">
        <v>458523</v>
      </c>
      <c r="G1305" s="83">
        <v>0.45852300000000001</v>
      </c>
      <c r="H1305" s="84" t="s">
        <v>127</v>
      </c>
      <c r="I1305" s="84" t="s">
        <v>379</v>
      </c>
      <c r="J1305" s="84" t="s">
        <v>127</v>
      </c>
    </row>
    <row r="1306" spans="2:10" x14ac:dyDescent="0.3">
      <c r="B1306" s="79" t="s">
        <v>371</v>
      </c>
      <c r="C1306" s="79" t="s">
        <v>320</v>
      </c>
      <c r="D1306" s="73" t="s">
        <v>358</v>
      </c>
      <c r="E1306" s="73" t="s">
        <v>161</v>
      </c>
      <c r="F1306" s="74">
        <v>464298</v>
      </c>
      <c r="G1306" s="80">
        <v>0.46429799999999999</v>
      </c>
      <c r="H1306" s="81" t="s">
        <v>127</v>
      </c>
      <c r="I1306" s="81" t="s">
        <v>379</v>
      </c>
      <c r="J1306" s="82" t="s">
        <v>127</v>
      </c>
    </row>
    <row r="1307" spans="2:10" x14ac:dyDescent="0.3">
      <c r="B1307" s="70" t="s">
        <v>371</v>
      </c>
      <c r="C1307" s="70" t="s">
        <v>320</v>
      </c>
      <c r="D1307" s="71" t="s">
        <v>358</v>
      </c>
      <c r="E1307" s="71" t="s">
        <v>161</v>
      </c>
      <c r="F1307" s="72">
        <v>1035083</v>
      </c>
      <c r="G1307" s="83">
        <v>1.035083</v>
      </c>
      <c r="H1307" s="84" t="s">
        <v>127</v>
      </c>
      <c r="I1307" s="84" t="s">
        <v>379</v>
      </c>
      <c r="J1307" s="84" t="s">
        <v>127</v>
      </c>
    </row>
    <row r="1308" spans="2:10" x14ac:dyDescent="0.3">
      <c r="B1308" s="79" t="s">
        <v>371</v>
      </c>
      <c r="C1308" s="79" t="s">
        <v>320</v>
      </c>
      <c r="D1308" s="73" t="s">
        <v>358</v>
      </c>
      <c r="E1308" s="73" t="s">
        <v>161</v>
      </c>
      <c r="F1308" s="74">
        <v>497185</v>
      </c>
      <c r="G1308" s="80">
        <v>0.49718499999999999</v>
      </c>
      <c r="H1308" s="81" t="s">
        <v>127</v>
      </c>
      <c r="I1308" s="81" t="s">
        <v>379</v>
      </c>
      <c r="J1308" s="82" t="s">
        <v>127</v>
      </c>
    </row>
    <row r="1309" spans="2:10" x14ac:dyDescent="0.3">
      <c r="B1309" s="70" t="s">
        <v>371</v>
      </c>
      <c r="C1309" s="70" t="s">
        <v>320</v>
      </c>
      <c r="D1309" s="71" t="s">
        <v>358</v>
      </c>
      <c r="E1309" s="71" t="s">
        <v>161</v>
      </c>
      <c r="F1309" s="72">
        <v>1110665</v>
      </c>
      <c r="G1309" s="83">
        <v>1.110665</v>
      </c>
      <c r="H1309" s="84" t="s">
        <v>127</v>
      </c>
      <c r="I1309" s="84" t="s">
        <v>379</v>
      </c>
      <c r="J1309" s="84" t="s">
        <v>127</v>
      </c>
    </row>
    <row r="1310" spans="2:10" x14ac:dyDescent="0.3">
      <c r="B1310" s="79" t="s">
        <v>371</v>
      </c>
      <c r="C1310" s="79" t="s">
        <v>332</v>
      </c>
      <c r="D1310" s="73" t="s">
        <v>358</v>
      </c>
      <c r="E1310" s="73" t="s">
        <v>161</v>
      </c>
      <c r="F1310" s="74">
        <v>55800</v>
      </c>
      <c r="G1310" s="80">
        <v>5.5800000000000002E-2</v>
      </c>
      <c r="H1310" s="81" t="s">
        <v>127</v>
      </c>
      <c r="I1310" s="81" t="s">
        <v>379</v>
      </c>
      <c r="J1310" s="82" t="s">
        <v>127</v>
      </c>
    </row>
    <row r="1311" spans="2:10" x14ac:dyDescent="0.3">
      <c r="B1311" s="70" t="s">
        <v>371</v>
      </c>
      <c r="C1311" s="70" t="s">
        <v>332</v>
      </c>
      <c r="D1311" s="71" t="s">
        <v>358</v>
      </c>
      <c r="E1311" s="71" t="s">
        <v>161</v>
      </c>
      <c r="F1311" s="72">
        <v>256200</v>
      </c>
      <c r="G1311" s="83">
        <v>0.25619999999999998</v>
      </c>
      <c r="H1311" s="84" t="s">
        <v>127</v>
      </c>
      <c r="I1311" s="84" t="s">
        <v>379</v>
      </c>
      <c r="J1311" s="84" t="s">
        <v>127</v>
      </c>
    </row>
    <row r="1312" spans="2:10" x14ac:dyDescent="0.3">
      <c r="B1312" s="79" t="s">
        <v>371</v>
      </c>
      <c r="C1312" s="79" t="s">
        <v>332</v>
      </c>
      <c r="D1312" s="73" t="s">
        <v>358</v>
      </c>
      <c r="E1312" s="73" t="s">
        <v>161</v>
      </c>
      <c r="F1312" s="74">
        <v>28040</v>
      </c>
      <c r="G1312" s="80">
        <v>2.8039999999999999E-2</v>
      </c>
      <c r="H1312" s="81" t="s">
        <v>127</v>
      </c>
      <c r="I1312" s="81" t="s">
        <v>379</v>
      </c>
      <c r="J1312" s="82" t="s">
        <v>127</v>
      </c>
    </row>
    <row r="1313" spans="2:10" x14ac:dyDescent="0.3">
      <c r="B1313" s="70" t="s">
        <v>371</v>
      </c>
      <c r="C1313" s="70" t="s">
        <v>332</v>
      </c>
      <c r="D1313" s="71" t="s">
        <v>358</v>
      </c>
      <c r="E1313" s="71" t="s">
        <v>161</v>
      </c>
      <c r="F1313" s="72">
        <v>51240</v>
      </c>
      <c r="G1313" s="83">
        <v>5.1240000000000001E-2</v>
      </c>
      <c r="H1313" s="84" t="s">
        <v>127</v>
      </c>
      <c r="I1313" s="84" t="s">
        <v>379</v>
      </c>
      <c r="J1313" s="84" t="s">
        <v>127</v>
      </c>
    </row>
    <row r="1314" spans="2:10" x14ac:dyDescent="0.3">
      <c r="B1314" s="79" t="s">
        <v>371</v>
      </c>
      <c r="C1314" s="79" t="s">
        <v>332</v>
      </c>
      <c r="D1314" s="73" t="s">
        <v>358</v>
      </c>
      <c r="E1314" s="73" t="s">
        <v>161</v>
      </c>
      <c r="F1314" s="74">
        <v>12810</v>
      </c>
      <c r="G1314" s="80">
        <v>1.281E-2</v>
      </c>
      <c r="H1314" s="81" t="s">
        <v>127</v>
      </c>
      <c r="I1314" s="81" t="s">
        <v>379</v>
      </c>
      <c r="J1314" s="82" t="s">
        <v>127</v>
      </c>
    </row>
    <row r="1315" spans="2:10" x14ac:dyDescent="0.3">
      <c r="B1315" s="70" t="s">
        <v>371</v>
      </c>
      <c r="C1315" s="70" t="s">
        <v>332</v>
      </c>
      <c r="D1315" s="71" t="s">
        <v>358</v>
      </c>
      <c r="E1315" s="71" t="s">
        <v>161</v>
      </c>
      <c r="F1315" s="72">
        <v>7910</v>
      </c>
      <c r="G1315" s="83">
        <v>7.9100000000000004E-3</v>
      </c>
      <c r="H1315" s="84" t="s">
        <v>127</v>
      </c>
      <c r="I1315" s="84" t="s">
        <v>379</v>
      </c>
      <c r="J1315" s="84" t="s">
        <v>127</v>
      </c>
    </row>
    <row r="1316" spans="2:10" x14ac:dyDescent="0.3">
      <c r="B1316" s="79" t="s">
        <v>371</v>
      </c>
      <c r="C1316" s="79" t="s">
        <v>332</v>
      </c>
      <c r="D1316" s="73" t="s">
        <v>358</v>
      </c>
      <c r="E1316" s="73" t="s">
        <v>161</v>
      </c>
      <c r="F1316" s="74">
        <v>312000</v>
      </c>
      <c r="G1316" s="80">
        <v>0.312</v>
      </c>
      <c r="H1316" s="81" t="s">
        <v>127</v>
      </c>
      <c r="I1316" s="81" t="s">
        <v>379</v>
      </c>
      <c r="J1316" s="82" t="s">
        <v>127</v>
      </c>
    </row>
    <row r="1317" spans="2:10" x14ac:dyDescent="0.3">
      <c r="B1317" s="70" t="s">
        <v>371</v>
      </c>
      <c r="C1317" s="70" t="s">
        <v>332</v>
      </c>
      <c r="D1317" s="71" t="s">
        <v>358</v>
      </c>
      <c r="E1317" s="71" t="s">
        <v>161</v>
      </c>
      <c r="F1317" s="72">
        <v>256200</v>
      </c>
      <c r="G1317" s="83">
        <v>0.25619999999999998</v>
      </c>
      <c r="H1317" s="84" t="s">
        <v>127</v>
      </c>
      <c r="I1317" s="84" t="s">
        <v>379</v>
      </c>
      <c r="J1317" s="84" t="s">
        <v>127</v>
      </c>
    </row>
    <row r="1318" spans="2:10" x14ac:dyDescent="0.3">
      <c r="B1318" s="79" t="s">
        <v>371</v>
      </c>
      <c r="C1318" s="79" t="s">
        <v>332</v>
      </c>
      <c r="D1318" s="73" t="s">
        <v>358</v>
      </c>
      <c r="E1318" s="73" t="s">
        <v>161</v>
      </c>
      <c r="F1318" s="74">
        <v>55800</v>
      </c>
      <c r="G1318" s="80">
        <v>5.5800000000000002E-2</v>
      </c>
      <c r="H1318" s="81" t="s">
        <v>127</v>
      </c>
      <c r="I1318" s="81" t="s">
        <v>379</v>
      </c>
      <c r="J1318" s="82" t="s">
        <v>127</v>
      </c>
    </row>
    <row r="1319" spans="2:10" x14ac:dyDescent="0.3">
      <c r="B1319" s="70" t="s">
        <v>371</v>
      </c>
      <c r="C1319" s="70" t="s">
        <v>332</v>
      </c>
      <c r="D1319" s="71" t="s">
        <v>358</v>
      </c>
      <c r="E1319" s="71" t="s">
        <v>161</v>
      </c>
      <c r="F1319" s="72">
        <v>256200</v>
      </c>
      <c r="G1319" s="83">
        <v>0.25619999999999998</v>
      </c>
      <c r="H1319" s="84" t="s">
        <v>127</v>
      </c>
      <c r="I1319" s="84" t="s">
        <v>379</v>
      </c>
      <c r="J1319" s="84" t="s">
        <v>127</v>
      </c>
    </row>
    <row r="1320" spans="2:10" x14ac:dyDescent="0.3">
      <c r="B1320" s="79" t="s">
        <v>371</v>
      </c>
      <c r="C1320" s="79" t="s">
        <v>332</v>
      </c>
      <c r="D1320" s="73" t="s">
        <v>358</v>
      </c>
      <c r="E1320" s="73" t="s">
        <v>161</v>
      </c>
      <c r="F1320" s="74">
        <v>55800</v>
      </c>
      <c r="G1320" s="80">
        <v>5.5800000000000002E-2</v>
      </c>
      <c r="H1320" s="81" t="s">
        <v>127</v>
      </c>
      <c r="I1320" s="81" t="s">
        <v>379</v>
      </c>
      <c r="J1320" s="82" t="s">
        <v>127</v>
      </c>
    </row>
    <row r="1321" spans="2:10" x14ac:dyDescent="0.3">
      <c r="B1321" s="70" t="s">
        <v>371</v>
      </c>
      <c r="C1321" s="70" t="s">
        <v>332</v>
      </c>
      <c r="D1321" s="71" t="s">
        <v>358</v>
      </c>
      <c r="E1321" s="71" t="s">
        <v>161</v>
      </c>
      <c r="F1321" s="72">
        <v>256200</v>
      </c>
      <c r="G1321" s="83">
        <v>0.25619999999999998</v>
      </c>
      <c r="H1321" s="84" t="s">
        <v>127</v>
      </c>
      <c r="I1321" s="84" t="s">
        <v>379</v>
      </c>
      <c r="J1321" s="84" t="s">
        <v>127</v>
      </c>
    </row>
    <row r="1322" spans="2:10" x14ac:dyDescent="0.3">
      <c r="B1322" s="79" t="s">
        <v>371</v>
      </c>
      <c r="C1322" s="79" t="s">
        <v>332</v>
      </c>
      <c r="D1322" s="73" t="s">
        <v>358</v>
      </c>
      <c r="E1322" s="73" t="s">
        <v>161</v>
      </c>
      <c r="F1322" s="74">
        <v>55800</v>
      </c>
      <c r="G1322" s="80">
        <v>5.5800000000000002E-2</v>
      </c>
      <c r="H1322" s="81" t="s">
        <v>127</v>
      </c>
      <c r="I1322" s="81" t="s">
        <v>379</v>
      </c>
      <c r="J1322" s="82" t="s">
        <v>127</v>
      </c>
    </row>
    <row r="1323" spans="2:10" x14ac:dyDescent="0.3">
      <c r="B1323" s="70" t="s">
        <v>371</v>
      </c>
      <c r="C1323" s="70" t="s">
        <v>302</v>
      </c>
      <c r="D1323" s="71" t="s">
        <v>358</v>
      </c>
      <c r="E1323" s="71" t="s">
        <v>161</v>
      </c>
      <c r="F1323" s="72">
        <v>554400</v>
      </c>
      <c r="G1323" s="83">
        <v>0.5544</v>
      </c>
      <c r="H1323" s="84" t="s">
        <v>127</v>
      </c>
      <c r="I1323" s="84" t="s">
        <v>379</v>
      </c>
      <c r="J1323" s="84" t="s">
        <v>127</v>
      </c>
    </row>
    <row r="1324" spans="2:10" x14ac:dyDescent="0.3">
      <c r="B1324" s="79" t="s">
        <v>371</v>
      </c>
      <c r="C1324" s="79" t="s">
        <v>302</v>
      </c>
      <c r="D1324" s="73" t="s">
        <v>358</v>
      </c>
      <c r="E1324" s="73" t="s">
        <v>161</v>
      </c>
      <c r="F1324" s="74">
        <v>409000</v>
      </c>
      <c r="G1324" s="80">
        <v>0.40899999999999997</v>
      </c>
      <c r="H1324" s="81" t="s">
        <v>127</v>
      </c>
      <c r="I1324" s="81" t="s">
        <v>379</v>
      </c>
      <c r="J1324" s="82" t="s">
        <v>127</v>
      </c>
    </row>
    <row r="1325" spans="2:10" x14ac:dyDescent="0.3">
      <c r="B1325" s="70" t="s">
        <v>371</v>
      </c>
      <c r="C1325" s="70" t="s">
        <v>302</v>
      </c>
      <c r="D1325" s="71" t="s">
        <v>358</v>
      </c>
      <c r="E1325" s="71" t="s">
        <v>161</v>
      </c>
      <c r="F1325" s="72">
        <v>550382</v>
      </c>
      <c r="G1325" s="83">
        <v>0.55038200000000004</v>
      </c>
      <c r="H1325" s="84" t="s">
        <v>127</v>
      </c>
      <c r="I1325" s="84" t="s">
        <v>379</v>
      </c>
      <c r="J1325" s="84" t="s">
        <v>127</v>
      </c>
    </row>
    <row r="1326" spans="2:10" x14ac:dyDescent="0.3">
      <c r="B1326" s="79" t="s">
        <v>371</v>
      </c>
      <c r="C1326" s="79" t="s">
        <v>302</v>
      </c>
      <c r="D1326" s="73" t="s">
        <v>358</v>
      </c>
      <c r="E1326" s="73" t="s">
        <v>161</v>
      </c>
      <c r="F1326" s="74">
        <v>384000</v>
      </c>
      <c r="G1326" s="80">
        <v>0.38400000000000001</v>
      </c>
      <c r="H1326" s="81" t="s">
        <v>127</v>
      </c>
      <c r="I1326" s="81" t="s">
        <v>379</v>
      </c>
      <c r="J1326" s="82" t="s">
        <v>127</v>
      </c>
    </row>
    <row r="1327" spans="2:10" x14ac:dyDescent="0.3">
      <c r="B1327" s="70" t="s">
        <v>371</v>
      </c>
      <c r="C1327" s="70" t="s">
        <v>302</v>
      </c>
      <c r="D1327" s="71" t="s">
        <v>358</v>
      </c>
      <c r="E1327" s="71" t="s">
        <v>161</v>
      </c>
      <c r="F1327" s="72">
        <v>499982</v>
      </c>
      <c r="G1327" s="83">
        <v>0.49998199999999998</v>
      </c>
      <c r="H1327" s="84" t="s">
        <v>127</v>
      </c>
      <c r="I1327" s="84" t="s">
        <v>379</v>
      </c>
      <c r="J1327" s="84" t="s">
        <v>127</v>
      </c>
    </row>
    <row r="1328" spans="2:10" x14ac:dyDescent="0.3">
      <c r="B1328" s="79" t="s">
        <v>371</v>
      </c>
      <c r="C1328" s="79" t="s">
        <v>302</v>
      </c>
      <c r="D1328" s="73" t="s">
        <v>358</v>
      </c>
      <c r="E1328" s="73" t="s">
        <v>161</v>
      </c>
      <c r="F1328" s="74">
        <v>384000</v>
      </c>
      <c r="G1328" s="80">
        <v>0.38400000000000001</v>
      </c>
      <c r="H1328" s="81" t="s">
        <v>127</v>
      </c>
      <c r="I1328" s="81" t="s">
        <v>379</v>
      </c>
      <c r="J1328" s="82" t="s">
        <v>127</v>
      </c>
    </row>
    <row r="1329" spans="2:10" x14ac:dyDescent="0.3">
      <c r="B1329" s="70" t="s">
        <v>371</v>
      </c>
      <c r="C1329" s="70" t="s">
        <v>302</v>
      </c>
      <c r="D1329" s="71" t="s">
        <v>358</v>
      </c>
      <c r="E1329" s="71" t="s">
        <v>161</v>
      </c>
      <c r="F1329" s="72">
        <v>550382</v>
      </c>
      <c r="G1329" s="83">
        <v>0.55038200000000004</v>
      </c>
      <c r="H1329" s="84" t="s">
        <v>127</v>
      </c>
      <c r="I1329" s="84" t="s">
        <v>379</v>
      </c>
      <c r="J1329" s="84" t="s">
        <v>127</v>
      </c>
    </row>
    <row r="1330" spans="2:10" x14ac:dyDescent="0.3">
      <c r="B1330" s="79" t="s">
        <v>371</v>
      </c>
      <c r="C1330" s="79" t="s">
        <v>302</v>
      </c>
      <c r="D1330" s="73" t="s">
        <v>358</v>
      </c>
      <c r="E1330" s="73" t="s">
        <v>161</v>
      </c>
      <c r="F1330" s="74">
        <v>384000</v>
      </c>
      <c r="G1330" s="80">
        <v>0.38400000000000001</v>
      </c>
      <c r="H1330" s="81" t="s">
        <v>127</v>
      </c>
      <c r="I1330" s="81" t="s">
        <v>379</v>
      </c>
      <c r="J1330" s="82" t="s">
        <v>127</v>
      </c>
    </row>
    <row r="1331" spans="2:10" x14ac:dyDescent="0.3">
      <c r="B1331" s="70" t="s">
        <v>371</v>
      </c>
      <c r="C1331" s="70" t="s">
        <v>302</v>
      </c>
      <c r="D1331" s="71" t="s">
        <v>358</v>
      </c>
      <c r="E1331" s="71" t="s">
        <v>161</v>
      </c>
      <c r="F1331" s="72">
        <v>600782</v>
      </c>
      <c r="G1331" s="83">
        <v>0.60078200000000004</v>
      </c>
      <c r="H1331" s="84" t="s">
        <v>127</v>
      </c>
      <c r="I1331" s="84" t="s">
        <v>379</v>
      </c>
      <c r="J1331" s="84" t="s">
        <v>127</v>
      </c>
    </row>
    <row r="1332" spans="2:10" x14ac:dyDescent="0.3">
      <c r="B1332" s="79" t="s">
        <v>371</v>
      </c>
      <c r="C1332" s="79" t="s">
        <v>302</v>
      </c>
      <c r="D1332" s="73" t="s">
        <v>358</v>
      </c>
      <c r="E1332" s="73" t="s">
        <v>161</v>
      </c>
      <c r="F1332" s="74">
        <v>384000</v>
      </c>
      <c r="G1332" s="80">
        <v>0.38400000000000001</v>
      </c>
      <c r="H1332" s="81" t="s">
        <v>127</v>
      </c>
      <c r="I1332" s="81" t="s">
        <v>379</v>
      </c>
      <c r="J1332" s="82" t="s">
        <v>127</v>
      </c>
    </row>
    <row r="1333" spans="2:10" x14ac:dyDescent="0.3">
      <c r="B1333" s="70" t="s">
        <v>371</v>
      </c>
      <c r="C1333" s="70" t="s">
        <v>302</v>
      </c>
      <c r="D1333" s="71" t="s">
        <v>358</v>
      </c>
      <c r="E1333" s="71" t="s">
        <v>161</v>
      </c>
      <c r="F1333" s="72">
        <v>620872</v>
      </c>
      <c r="G1333" s="83">
        <v>0.62087199999999998</v>
      </c>
      <c r="H1333" s="84" t="s">
        <v>127</v>
      </c>
      <c r="I1333" s="84" t="s">
        <v>379</v>
      </c>
      <c r="J1333" s="84" t="s">
        <v>127</v>
      </c>
    </row>
    <row r="1334" spans="2:10" x14ac:dyDescent="0.3">
      <c r="B1334" s="79" t="s">
        <v>371</v>
      </c>
      <c r="C1334" s="79" t="s">
        <v>302</v>
      </c>
      <c r="D1334" s="73" t="s">
        <v>358</v>
      </c>
      <c r="E1334" s="73" t="s">
        <v>161</v>
      </c>
      <c r="F1334" s="74">
        <v>408000</v>
      </c>
      <c r="G1334" s="80">
        <v>0.40799999999999997</v>
      </c>
      <c r="H1334" s="81" t="s">
        <v>127</v>
      </c>
      <c r="I1334" s="81" t="s">
        <v>379</v>
      </c>
      <c r="J1334" s="82" t="s">
        <v>127</v>
      </c>
    </row>
    <row r="1335" spans="2:10" x14ac:dyDescent="0.3">
      <c r="B1335" s="70" t="s">
        <v>371</v>
      </c>
      <c r="C1335" s="70" t="s">
        <v>302</v>
      </c>
      <c r="D1335" s="71" t="s">
        <v>358</v>
      </c>
      <c r="E1335" s="71" t="s">
        <v>161</v>
      </c>
      <c r="F1335" s="72">
        <v>604800</v>
      </c>
      <c r="G1335" s="83">
        <v>0.6048</v>
      </c>
      <c r="H1335" s="84" t="s">
        <v>127</v>
      </c>
      <c r="I1335" s="84" t="s">
        <v>379</v>
      </c>
      <c r="J1335" s="84" t="s">
        <v>127</v>
      </c>
    </row>
    <row r="1336" spans="2:10" x14ac:dyDescent="0.3">
      <c r="B1336" s="79" t="s">
        <v>371</v>
      </c>
      <c r="C1336" s="79" t="s">
        <v>302</v>
      </c>
      <c r="D1336" s="73" t="s">
        <v>358</v>
      </c>
      <c r="E1336" s="73" t="s">
        <v>161</v>
      </c>
      <c r="F1336" s="74">
        <v>388800</v>
      </c>
      <c r="G1336" s="80">
        <v>0.38879999999999998</v>
      </c>
      <c r="H1336" s="81" t="s">
        <v>127</v>
      </c>
      <c r="I1336" s="81" t="s">
        <v>379</v>
      </c>
      <c r="J1336" s="82" t="s">
        <v>127</v>
      </c>
    </row>
    <row r="1337" spans="2:10" x14ac:dyDescent="0.3">
      <c r="B1337" s="70" t="s">
        <v>371</v>
      </c>
      <c r="C1337" s="70" t="s">
        <v>302</v>
      </c>
      <c r="D1337" s="71" t="s">
        <v>358</v>
      </c>
      <c r="E1337" s="71" t="s">
        <v>161</v>
      </c>
      <c r="F1337" s="72">
        <v>604800</v>
      </c>
      <c r="G1337" s="83">
        <v>0.6048</v>
      </c>
      <c r="H1337" s="84" t="s">
        <v>127</v>
      </c>
      <c r="I1337" s="84" t="s">
        <v>379</v>
      </c>
      <c r="J1337" s="84" t="s">
        <v>127</v>
      </c>
    </row>
    <row r="1338" spans="2:10" x14ac:dyDescent="0.3">
      <c r="B1338" s="79" t="s">
        <v>371</v>
      </c>
      <c r="C1338" s="79" t="s">
        <v>302</v>
      </c>
      <c r="D1338" s="73" t="s">
        <v>358</v>
      </c>
      <c r="E1338" s="73" t="s">
        <v>161</v>
      </c>
      <c r="F1338" s="74">
        <v>388800</v>
      </c>
      <c r="G1338" s="80">
        <v>0.38879999999999998</v>
      </c>
      <c r="H1338" s="81" t="s">
        <v>127</v>
      </c>
      <c r="I1338" s="81" t="s">
        <v>379</v>
      </c>
      <c r="J1338" s="82" t="s">
        <v>127</v>
      </c>
    </row>
    <row r="1339" spans="2:10" x14ac:dyDescent="0.3">
      <c r="B1339" s="70" t="s">
        <v>371</v>
      </c>
      <c r="C1339" s="70" t="s">
        <v>302</v>
      </c>
      <c r="D1339" s="71" t="s">
        <v>358</v>
      </c>
      <c r="E1339" s="71" t="s">
        <v>161</v>
      </c>
      <c r="F1339" s="72">
        <v>604800</v>
      </c>
      <c r="G1339" s="83">
        <v>0.6048</v>
      </c>
      <c r="H1339" s="84" t="s">
        <v>127</v>
      </c>
      <c r="I1339" s="84" t="s">
        <v>379</v>
      </c>
      <c r="J1339" s="84" t="s">
        <v>127</v>
      </c>
    </row>
    <row r="1340" spans="2:10" x14ac:dyDescent="0.3">
      <c r="B1340" s="79" t="s">
        <v>371</v>
      </c>
      <c r="C1340" s="79" t="s">
        <v>302</v>
      </c>
      <c r="D1340" s="73" t="s">
        <v>358</v>
      </c>
      <c r="E1340" s="73" t="s">
        <v>161</v>
      </c>
      <c r="F1340" s="74">
        <v>388800</v>
      </c>
      <c r="G1340" s="80">
        <v>0.38879999999999998</v>
      </c>
      <c r="H1340" s="81" t="s">
        <v>127</v>
      </c>
      <c r="I1340" s="81" t="s">
        <v>379</v>
      </c>
      <c r="J1340" s="82" t="s">
        <v>127</v>
      </c>
    </row>
    <row r="1341" spans="2:10" x14ac:dyDescent="0.3">
      <c r="B1341" s="70" t="s">
        <v>371</v>
      </c>
      <c r="C1341" s="70" t="s">
        <v>302</v>
      </c>
      <c r="D1341" s="71" t="s">
        <v>358</v>
      </c>
      <c r="E1341" s="71" t="s">
        <v>161</v>
      </c>
      <c r="F1341" s="72">
        <v>655200</v>
      </c>
      <c r="G1341" s="83">
        <v>0.6552</v>
      </c>
      <c r="H1341" s="84" t="s">
        <v>127</v>
      </c>
      <c r="I1341" s="84" t="s">
        <v>379</v>
      </c>
      <c r="J1341" s="84" t="s">
        <v>127</v>
      </c>
    </row>
    <row r="1342" spans="2:10" x14ac:dyDescent="0.3">
      <c r="B1342" s="79" t="s">
        <v>371</v>
      </c>
      <c r="C1342" s="79" t="s">
        <v>302</v>
      </c>
      <c r="D1342" s="73" t="s">
        <v>358</v>
      </c>
      <c r="E1342" s="73" t="s">
        <v>161</v>
      </c>
      <c r="F1342" s="74">
        <v>388800</v>
      </c>
      <c r="G1342" s="80">
        <v>0.38879999999999998</v>
      </c>
      <c r="H1342" s="81" t="s">
        <v>127</v>
      </c>
      <c r="I1342" s="81" t="s">
        <v>379</v>
      </c>
      <c r="J1342" s="82" t="s">
        <v>127</v>
      </c>
    </row>
    <row r="1343" spans="2:10" x14ac:dyDescent="0.3">
      <c r="B1343" s="70" t="s">
        <v>371</v>
      </c>
      <c r="C1343" s="70" t="s">
        <v>302</v>
      </c>
      <c r="D1343" s="71" t="s">
        <v>358</v>
      </c>
      <c r="E1343" s="71" t="s">
        <v>161</v>
      </c>
      <c r="F1343" s="72">
        <v>655200</v>
      </c>
      <c r="G1343" s="83">
        <v>0.6552</v>
      </c>
      <c r="H1343" s="84" t="s">
        <v>127</v>
      </c>
      <c r="I1343" s="84" t="s">
        <v>379</v>
      </c>
      <c r="J1343" s="84" t="s">
        <v>127</v>
      </c>
    </row>
    <row r="1344" spans="2:10" x14ac:dyDescent="0.3">
      <c r="B1344" s="79" t="s">
        <v>371</v>
      </c>
      <c r="C1344" s="79" t="s">
        <v>302</v>
      </c>
      <c r="D1344" s="73" t="s">
        <v>358</v>
      </c>
      <c r="E1344" s="73" t="s">
        <v>161</v>
      </c>
      <c r="F1344" s="74">
        <v>388800</v>
      </c>
      <c r="G1344" s="80">
        <v>0.38879999999999998</v>
      </c>
      <c r="H1344" s="81" t="s">
        <v>127</v>
      </c>
      <c r="I1344" s="81" t="s">
        <v>379</v>
      </c>
      <c r="J1344" s="82" t="s">
        <v>127</v>
      </c>
    </row>
    <row r="1345" spans="2:10" x14ac:dyDescent="0.3">
      <c r="B1345" s="70" t="s">
        <v>371</v>
      </c>
      <c r="C1345" s="70" t="s">
        <v>302</v>
      </c>
      <c r="D1345" s="71" t="s">
        <v>358</v>
      </c>
      <c r="E1345" s="71" t="s">
        <v>161</v>
      </c>
      <c r="F1345" s="72">
        <v>705600</v>
      </c>
      <c r="G1345" s="83">
        <v>0.7056</v>
      </c>
      <c r="H1345" s="84" t="s">
        <v>127</v>
      </c>
      <c r="I1345" s="84" t="s">
        <v>379</v>
      </c>
      <c r="J1345" s="84" t="s">
        <v>127</v>
      </c>
    </row>
    <row r="1346" spans="2:10" x14ac:dyDescent="0.3">
      <c r="B1346" s="79" t="s">
        <v>371</v>
      </c>
      <c r="C1346" s="79" t="s">
        <v>302</v>
      </c>
      <c r="D1346" s="73" t="s">
        <v>358</v>
      </c>
      <c r="E1346" s="73" t="s">
        <v>161</v>
      </c>
      <c r="F1346" s="74">
        <v>388800</v>
      </c>
      <c r="G1346" s="80">
        <v>0.38879999999999998</v>
      </c>
      <c r="H1346" s="81" t="s">
        <v>127</v>
      </c>
      <c r="I1346" s="81" t="s">
        <v>379</v>
      </c>
      <c r="J1346" s="82" t="s">
        <v>127</v>
      </c>
    </row>
    <row r="1347" spans="2:10" x14ac:dyDescent="0.3">
      <c r="B1347" s="70" t="s">
        <v>371</v>
      </c>
      <c r="C1347" s="70" t="s">
        <v>325</v>
      </c>
      <c r="D1347" s="71" t="s">
        <v>358</v>
      </c>
      <c r="E1347" s="71" t="s">
        <v>161</v>
      </c>
      <c r="F1347" s="72">
        <v>583200</v>
      </c>
      <c r="G1347" s="83">
        <v>0.58320000000000005</v>
      </c>
      <c r="H1347" s="84" t="s">
        <v>127</v>
      </c>
      <c r="I1347" s="84" t="s">
        <v>379</v>
      </c>
      <c r="J1347" s="84" t="s">
        <v>127</v>
      </c>
    </row>
    <row r="1348" spans="2:10" x14ac:dyDescent="0.3">
      <c r="B1348" s="79" t="s">
        <v>371</v>
      </c>
      <c r="C1348" s="79" t="s">
        <v>325</v>
      </c>
      <c r="D1348" s="73" t="s">
        <v>358</v>
      </c>
      <c r="E1348" s="73" t="s">
        <v>161</v>
      </c>
      <c r="F1348" s="74">
        <v>453600</v>
      </c>
      <c r="G1348" s="80">
        <v>0.4536</v>
      </c>
      <c r="H1348" s="81" t="s">
        <v>127</v>
      </c>
      <c r="I1348" s="81" t="s">
        <v>379</v>
      </c>
      <c r="J1348" s="82" t="s">
        <v>127</v>
      </c>
    </row>
    <row r="1349" spans="2:10" x14ac:dyDescent="0.3">
      <c r="B1349" s="70" t="s">
        <v>371</v>
      </c>
      <c r="C1349" s="70" t="s">
        <v>325</v>
      </c>
      <c r="D1349" s="71" t="s">
        <v>358</v>
      </c>
      <c r="E1349" s="71" t="s">
        <v>161</v>
      </c>
      <c r="F1349" s="72">
        <v>453600</v>
      </c>
      <c r="G1349" s="83">
        <v>0.4536</v>
      </c>
      <c r="H1349" s="84" t="s">
        <v>127</v>
      </c>
      <c r="I1349" s="84" t="s">
        <v>379</v>
      </c>
      <c r="J1349" s="84" t="s">
        <v>127</v>
      </c>
    </row>
    <row r="1350" spans="2:10" x14ac:dyDescent="0.3">
      <c r="B1350" s="79" t="s">
        <v>371</v>
      </c>
      <c r="C1350" s="79" t="s">
        <v>325</v>
      </c>
      <c r="D1350" s="73" t="s">
        <v>358</v>
      </c>
      <c r="E1350" s="73" t="s">
        <v>161</v>
      </c>
      <c r="F1350" s="74">
        <v>583200</v>
      </c>
      <c r="G1350" s="80">
        <v>0.58320000000000005</v>
      </c>
      <c r="H1350" s="81" t="s">
        <v>127</v>
      </c>
      <c r="I1350" s="81" t="s">
        <v>379</v>
      </c>
      <c r="J1350" s="82" t="s">
        <v>127</v>
      </c>
    </row>
    <row r="1351" spans="2:10" x14ac:dyDescent="0.3">
      <c r="B1351" s="70" t="s">
        <v>371</v>
      </c>
      <c r="C1351" s="70" t="s">
        <v>325</v>
      </c>
      <c r="D1351" s="71" t="s">
        <v>358</v>
      </c>
      <c r="E1351" s="71" t="s">
        <v>161</v>
      </c>
      <c r="F1351" s="72">
        <v>583200</v>
      </c>
      <c r="G1351" s="83">
        <v>0.58320000000000005</v>
      </c>
      <c r="H1351" s="84" t="s">
        <v>127</v>
      </c>
      <c r="I1351" s="84" t="s">
        <v>379</v>
      </c>
      <c r="J1351" s="84" t="s">
        <v>127</v>
      </c>
    </row>
    <row r="1352" spans="2:10" x14ac:dyDescent="0.3">
      <c r="B1352" s="79" t="s">
        <v>371</v>
      </c>
      <c r="C1352" s="79" t="s">
        <v>325</v>
      </c>
      <c r="D1352" s="73" t="s">
        <v>358</v>
      </c>
      <c r="E1352" s="73" t="s">
        <v>161</v>
      </c>
      <c r="F1352" s="74">
        <v>453600</v>
      </c>
      <c r="G1352" s="80">
        <v>0.4536</v>
      </c>
      <c r="H1352" s="81" t="s">
        <v>127</v>
      </c>
      <c r="I1352" s="81" t="s">
        <v>379</v>
      </c>
      <c r="J1352" s="82" t="s">
        <v>127</v>
      </c>
    </row>
    <row r="1353" spans="2:10" x14ac:dyDescent="0.3">
      <c r="B1353" s="70" t="s">
        <v>371</v>
      </c>
      <c r="C1353" s="70" t="s">
        <v>325</v>
      </c>
      <c r="D1353" s="71" t="s">
        <v>358</v>
      </c>
      <c r="E1353" s="71" t="s">
        <v>161</v>
      </c>
      <c r="F1353" s="72">
        <v>352800</v>
      </c>
      <c r="G1353" s="83">
        <v>0.3528</v>
      </c>
      <c r="H1353" s="84" t="s">
        <v>127</v>
      </c>
      <c r="I1353" s="84" t="s">
        <v>379</v>
      </c>
      <c r="J1353" s="84" t="s">
        <v>127</v>
      </c>
    </row>
    <row r="1354" spans="2:10" x14ac:dyDescent="0.3">
      <c r="B1354" s="79" t="s">
        <v>371</v>
      </c>
      <c r="C1354" s="79" t="s">
        <v>325</v>
      </c>
      <c r="D1354" s="73" t="s">
        <v>358</v>
      </c>
      <c r="E1354" s="73" t="s">
        <v>161</v>
      </c>
      <c r="F1354" s="74">
        <v>453600</v>
      </c>
      <c r="G1354" s="80">
        <v>0.4536</v>
      </c>
      <c r="H1354" s="81" t="s">
        <v>127</v>
      </c>
      <c r="I1354" s="81" t="s">
        <v>379</v>
      </c>
      <c r="J1354" s="82" t="s">
        <v>127</v>
      </c>
    </row>
    <row r="1355" spans="2:10" x14ac:dyDescent="0.3">
      <c r="B1355" s="70" t="s">
        <v>371</v>
      </c>
      <c r="C1355" s="70" t="s">
        <v>291</v>
      </c>
      <c r="D1355" s="71" t="s">
        <v>359</v>
      </c>
      <c r="E1355" s="71" t="s">
        <v>168</v>
      </c>
      <c r="F1355" s="72">
        <v>229147752</v>
      </c>
      <c r="G1355" s="83">
        <v>229.147752</v>
      </c>
      <c r="H1355" s="84" t="s">
        <v>75</v>
      </c>
      <c r="I1355" s="84" t="s">
        <v>75</v>
      </c>
      <c r="J1355" s="84" t="s">
        <v>75</v>
      </c>
    </row>
    <row r="1356" spans="2:10" x14ac:dyDescent="0.3">
      <c r="B1356" s="79" t="s">
        <v>371</v>
      </c>
      <c r="C1356" s="79" t="s">
        <v>291</v>
      </c>
      <c r="D1356" s="73" t="s">
        <v>359</v>
      </c>
      <c r="E1356" s="73" t="s">
        <v>168</v>
      </c>
      <c r="F1356" s="74">
        <v>517534030</v>
      </c>
      <c r="G1356" s="80">
        <v>517.53403000000003</v>
      </c>
      <c r="H1356" s="81" t="s">
        <v>75</v>
      </c>
      <c r="I1356" s="81" t="s">
        <v>75</v>
      </c>
      <c r="J1356" s="82" t="s">
        <v>75</v>
      </c>
    </row>
    <row r="1357" spans="2:10" x14ac:dyDescent="0.3">
      <c r="B1357" s="70" t="s">
        <v>371</v>
      </c>
      <c r="C1357" s="70" t="s">
        <v>291</v>
      </c>
      <c r="D1357" s="71" t="s">
        <v>359</v>
      </c>
      <c r="E1357" s="71" t="s">
        <v>168</v>
      </c>
      <c r="F1357" s="72">
        <v>196174692</v>
      </c>
      <c r="G1357" s="83">
        <v>196.17469199999999</v>
      </c>
      <c r="H1357" s="84" t="s">
        <v>75</v>
      </c>
      <c r="I1357" s="84" t="s">
        <v>75</v>
      </c>
      <c r="J1357" s="84" t="s">
        <v>75</v>
      </c>
    </row>
    <row r="1358" spans="2:10" x14ac:dyDescent="0.3">
      <c r="B1358" s="79" t="s">
        <v>371</v>
      </c>
      <c r="C1358" s="79" t="s">
        <v>292</v>
      </c>
      <c r="D1358" s="73" t="s">
        <v>359</v>
      </c>
      <c r="E1358" s="73" t="s">
        <v>168</v>
      </c>
      <c r="F1358" s="74">
        <v>109689672</v>
      </c>
      <c r="G1358" s="80">
        <v>109.689672</v>
      </c>
      <c r="H1358" s="81" t="s">
        <v>75</v>
      </c>
      <c r="I1358" s="81" t="s">
        <v>75</v>
      </c>
      <c r="J1358" s="82" t="s">
        <v>75</v>
      </c>
    </row>
    <row r="1359" spans="2:10" x14ac:dyDescent="0.3">
      <c r="B1359" s="70" t="s">
        <v>371</v>
      </c>
      <c r="C1359" s="70" t="s">
        <v>316</v>
      </c>
      <c r="D1359" s="71" t="s">
        <v>359</v>
      </c>
      <c r="E1359" s="71" t="s">
        <v>168</v>
      </c>
      <c r="F1359" s="72">
        <v>7283504</v>
      </c>
      <c r="G1359" s="83">
        <v>7.2835039999999998</v>
      </c>
      <c r="H1359" s="84" t="s">
        <v>75</v>
      </c>
      <c r="I1359" s="84" t="s">
        <v>75</v>
      </c>
      <c r="J1359" s="84" t="s">
        <v>75</v>
      </c>
    </row>
    <row r="1360" spans="2:10" x14ac:dyDescent="0.3">
      <c r="B1360" s="79" t="s">
        <v>371</v>
      </c>
      <c r="C1360" s="79" t="s">
        <v>308</v>
      </c>
      <c r="D1360" s="73" t="s">
        <v>364</v>
      </c>
      <c r="E1360" s="73" t="s">
        <v>168</v>
      </c>
      <c r="F1360" s="74">
        <v>9027349</v>
      </c>
      <c r="G1360" s="80">
        <v>9.0273489999999992</v>
      </c>
      <c r="H1360" s="81" t="s">
        <v>75</v>
      </c>
      <c r="I1360" s="81" t="s">
        <v>75</v>
      </c>
      <c r="J1360" s="82" t="s">
        <v>75</v>
      </c>
    </row>
    <row r="1361" spans="2:10" x14ac:dyDescent="0.3">
      <c r="B1361" s="70" t="s">
        <v>371</v>
      </c>
      <c r="C1361" s="70" t="s">
        <v>310</v>
      </c>
      <c r="D1361" s="71" t="s">
        <v>364</v>
      </c>
      <c r="E1361" s="71" t="s">
        <v>168</v>
      </c>
      <c r="F1361" s="72">
        <v>8995421</v>
      </c>
      <c r="G1361" s="83">
        <v>8.9954210000000003</v>
      </c>
      <c r="H1361" s="84" t="s">
        <v>75</v>
      </c>
      <c r="I1361" s="84" t="s">
        <v>75</v>
      </c>
      <c r="J1361" s="84" t="s">
        <v>75</v>
      </c>
    </row>
    <row r="1362" spans="2:10" x14ac:dyDescent="0.3">
      <c r="B1362" s="79" t="s">
        <v>371</v>
      </c>
      <c r="C1362" s="79" t="s">
        <v>309</v>
      </c>
      <c r="D1362" s="73" t="s">
        <v>364</v>
      </c>
      <c r="E1362" s="73" t="s">
        <v>168</v>
      </c>
      <c r="F1362" s="74">
        <v>9016821</v>
      </c>
      <c r="G1362" s="80">
        <v>9.0168210000000002</v>
      </c>
      <c r="H1362" s="81" t="s">
        <v>75</v>
      </c>
      <c r="I1362" s="81" t="s">
        <v>75</v>
      </c>
      <c r="J1362" s="82" t="s">
        <v>75</v>
      </c>
    </row>
    <row r="1363" spans="2:10" x14ac:dyDescent="0.3">
      <c r="B1363" s="70" t="s">
        <v>371</v>
      </c>
      <c r="C1363" s="70" t="s">
        <v>312</v>
      </c>
      <c r="D1363" s="71" t="s">
        <v>364</v>
      </c>
      <c r="E1363" s="71" t="s">
        <v>168</v>
      </c>
      <c r="F1363" s="72">
        <v>8221350</v>
      </c>
      <c r="G1363" s="83">
        <v>8.2213499999999993</v>
      </c>
      <c r="H1363" s="84" t="s">
        <v>75</v>
      </c>
      <c r="I1363" s="84" t="s">
        <v>75</v>
      </c>
      <c r="J1363" s="84" t="s">
        <v>75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48012-6D2C-48D1-B770-7DF64B20ED1C}">
  <sheetPr>
    <tabColor rgb="FF92D050"/>
  </sheetPr>
  <dimension ref="A1:E71"/>
  <sheetViews>
    <sheetView showGridLines="0" zoomScaleNormal="100" workbookViewId="0">
      <selection activeCell="C14" sqref="C14"/>
    </sheetView>
  </sheetViews>
  <sheetFormatPr baseColWidth="10" defaultColWidth="12.6328125" defaultRowHeight="11.5" x14ac:dyDescent="0.25"/>
  <cols>
    <col min="1" max="1" width="3.90625" style="85" bestFit="1" customWidth="1"/>
    <col min="2" max="2" width="61.81640625" style="85" bestFit="1" customWidth="1"/>
    <col min="3" max="3" width="11.6328125" style="85" bestFit="1" customWidth="1"/>
    <col min="4" max="4" width="15.90625" style="85" bestFit="1" customWidth="1"/>
    <col min="5" max="5" width="8" style="85" bestFit="1" customWidth="1"/>
    <col min="6" max="16384" width="12.6328125" style="85"/>
  </cols>
  <sheetData>
    <row r="1" spans="1:5" ht="19" x14ac:dyDescent="0.25">
      <c r="A1" s="44" t="s">
        <v>380</v>
      </c>
    </row>
    <row r="3" spans="1:5" ht="23.5" thickBot="1" x14ac:dyDescent="0.3">
      <c r="A3" s="86" t="s">
        <v>381</v>
      </c>
      <c r="B3" s="87" t="s">
        <v>58</v>
      </c>
      <c r="C3" s="86" t="s">
        <v>382</v>
      </c>
      <c r="D3" s="86" t="s">
        <v>383</v>
      </c>
      <c r="E3" s="86" t="s">
        <v>384</v>
      </c>
    </row>
    <row r="4" spans="1:5" ht="12" thickBot="1" x14ac:dyDescent="0.3">
      <c r="A4" s="88" t="s">
        <v>65</v>
      </c>
      <c r="B4" s="89"/>
      <c r="C4" s="90"/>
      <c r="D4" s="91" t="s">
        <v>385</v>
      </c>
      <c r="E4" s="91" t="s">
        <v>386</v>
      </c>
    </row>
    <row r="5" spans="1:5" x14ac:dyDescent="0.25">
      <c r="A5" s="92">
        <v>1</v>
      </c>
      <c r="B5" s="93" t="s">
        <v>66</v>
      </c>
      <c r="C5" s="92" t="s">
        <v>387</v>
      </c>
      <c r="D5" s="94">
        <v>0</v>
      </c>
      <c r="E5" s="94">
        <v>0</v>
      </c>
    </row>
    <row r="6" spans="1:5" x14ac:dyDescent="0.25">
      <c r="A6" s="95">
        <v>2</v>
      </c>
      <c r="B6" s="96" t="s">
        <v>67</v>
      </c>
      <c r="C6" s="95" t="s">
        <v>387</v>
      </c>
      <c r="D6" s="94">
        <v>0</v>
      </c>
      <c r="E6" s="94">
        <v>0</v>
      </c>
    </row>
    <row r="7" spans="1:5" ht="23.5" thickBot="1" x14ac:dyDescent="0.3">
      <c r="A7" s="97" t="s">
        <v>381</v>
      </c>
      <c r="B7" s="87" t="s">
        <v>58</v>
      </c>
      <c r="C7" s="97" t="s">
        <v>382</v>
      </c>
      <c r="D7" s="86" t="s">
        <v>383</v>
      </c>
      <c r="E7" s="86" t="s">
        <v>384</v>
      </c>
    </row>
    <row r="8" spans="1:5" ht="12" thickBot="1" x14ac:dyDescent="0.3">
      <c r="A8" s="98" t="s">
        <v>68</v>
      </c>
      <c r="B8" s="89"/>
      <c r="C8" s="90"/>
      <c r="D8" s="91" t="s">
        <v>386</v>
      </c>
      <c r="E8" s="91" t="s">
        <v>388</v>
      </c>
    </row>
    <row r="9" spans="1:5" x14ac:dyDescent="0.25">
      <c r="A9" s="92">
        <v>3</v>
      </c>
      <c r="B9" s="93" t="s">
        <v>389</v>
      </c>
      <c r="C9" s="92" t="s">
        <v>69</v>
      </c>
      <c r="D9" s="94">
        <v>0</v>
      </c>
      <c r="E9" s="94">
        <v>0</v>
      </c>
    </row>
    <row r="10" spans="1:5" x14ac:dyDescent="0.25">
      <c r="A10" s="99">
        <v>4</v>
      </c>
      <c r="B10" s="100" t="s">
        <v>71</v>
      </c>
      <c r="C10" s="99" t="s">
        <v>69</v>
      </c>
      <c r="D10" s="94">
        <v>0</v>
      </c>
      <c r="E10" s="94">
        <v>0</v>
      </c>
    </row>
    <row r="11" spans="1:5" x14ac:dyDescent="0.25">
      <c r="A11" s="95">
        <v>5</v>
      </c>
      <c r="B11" s="100" t="s">
        <v>390</v>
      </c>
      <c r="C11" s="99" t="s">
        <v>69</v>
      </c>
      <c r="D11" s="94">
        <v>0</v>
      </c>
      <c r="E11" s="94">
        <v>0</v>
      </c>
    </row>
    <row r="12" spans="1:5" x14ac:dyDescent="0.25">
      <c r="A12" s="95">
        <v>6</v>
      </c>
      <c r="B12" s="100" t="s">
        <v>391</v>
      </c>
      <c r="C12" s="99" t="s">
        <v>69</v>
      </c>
      <c r="D12" s="94">
        <v>0</v>
      </c>
      <c r="E12" s="94">
        <v>0</v>
      </c>
    </row>
    <row r="13" spans="1:5" ht="12" thickBot="1" x14ac:dyDescent="0.3">
      <c r="A13" s="101">
        <v>7</v>
      </c>
      <c r="B13" s="102" t="s">
        <v>74</v>
      </c>
      <c r="C13" s="95" t="s">
        <v>69</v>
      </c>
      <c r="D13" s="94">
        <v>0</v>
      </c>
      <c r="E13" s="94">
        <v>0</v>
      </c>
    </row>
    <row r="14" spans="1:5" ht="23.5" thickBot="1" x14ac:dyDescent="0.3">
      <c r="A14" s="103" t="s">
        <v>381</v>
      </c>
      <c r="B14" s="104" t="s">
        <v>58</v>
      </c>
      <c r="C14" s="105" t="s">
        <v>382</v>
      </c>
      <c r="D14" s="105" t="s">
        <v>383</v>
      </c>
      <c r="E14" s="105" t="s">
        <v>384</v>
      </c>
    </row>
    <row r="15" spans="1:5" x14ac:dyDescent="0.25">
      <c r="A15" s="106">
        <v>8</v>
      </c>
      <c r="B15" s="107" t="s">
        <v>392</v>
      </c>
      <c r="C15" s="92" t="s">
        <v>75</v>
      </c>
      <c r="D15" s="94">
        <v>0</v>
      </c>
      <c r="E15" s="94">
        <v>0</v>
      </c>
    </row>
    <row r="16" spans="1:5" x14ac:dyDescent="0.25">
      <c r="A16" s="108">
        <v>9</v>
      </c>
      <c r="B16" s="109" t="s">
        <v>393</v>
      </c>
      <c r="C16" s="92" t="s">
        <v>75</v>
      </c>
      <c r="D16" s="94">
        <v>0</v>
      </c>
      <c r="E16" s="94">
        <v>0</v>
      </c>
    </row>
    <row r="17" spans="1:5" x14ac:dyDescent="0.25">
      <c r="A17" s="108">
        <v>10</v>
      </c>
      <c r="B17" s="109" t="s">
        <v>362</v>
      </c>
      <c r="C17" s="92" t="s">
        <v>75</v>
      </c>
      <c r="D17" s="94">
        <v>0</v>
      </c>
      <c r="E17" s="94">
        <v>0</v>
      </c>
    </row>
    <row r="18" spans="1:5" x14ac:dyDescent="0.25">
      <c r="A18" s="108">
        <v>11</v>
      </c>
      <c r="B18" s="110" t="s">
        <v>78</v>
      </c>
      <c r="C18" s="92" t="s">
        <v>75</v>
      </c>
      <c r="D18" s="94">
        <v>0</v>
      </c>
      <c r="E18" s="94">
        <v>0</v>
      </c>
    </row>
    <row r="19" spans="1:5" x14ac:dyDescent="0.25">
      <c r="A19" s="108">
        <v>12</v>
      </c>
      <c r="B19" s="109" t="s">
        <v>394</v>
      </c>
      <c r="C19" s="92" t="s">
        <v>75</v>
      </c>
      <c r="D19" s="94">
        <v>0</v>
      </c>
      <c r="E19" s="94">
        <v>0</v>
      </c>
    </row>
    <row r="20" spans="1:5" x14ac:dyDescent="0.25">
      <c r="A20" s="108">
        <v>13</v>
      </c>
      <c r="B20" s="110" t="s">
        <v>395</v>
      </c>
      <c r="C20" s="92" t="s">
        <v>75</v>
      </c>
      <c r="D20" s="94">
        <v>0</v>
      </c>
      <c r="E20" s="94">
        <v>0</v>
      </c>
    </row>
    <row r="21" spans="1:5" x14ac:dyDescent="0.25">
      <c r="A21" s="108">
        <v>14</v>
      </c>
      <c r="B21" s="110" t="s">
        <v>81</v>
      </c>
      <c r="C21" s="92" t="s">
        <v>75</v>
      </c>
      <c r="D21" s="94">
        <v>0</v>
      </c>
      <c r="E21" s="94">
        <v>0</v>
      </c>
    </row>
    <row r="22" spans="1:5" x14ac:dyDescent="0.25">
      <c r="A22" s="108">
        <v>15</v>
      </c>
      <c r="B22" s="110" t="s">
        <v>82</v>
      </c>
      <c r="C22" s="92" t="s">
        <v>75</v>
      </c>
      <c r="D22" s="94">
        <v>0</v>
      </c>
      <c r="E22" s="94">
        <v>0</v>
      </c>
    </row>
    <row r="23" spans="1:5" ht="12" thickBot="1" x14ac:dyDescent="0.3">
      <c r="A23" s="108">
        <v>16</v>
      </c>
      <c r="B23" s="111" t="s">
        <v>83</v>
      </c>
      <c r="C23" s="112" t="s">
        <v>75</v>
      </c>
      <c r="D23" s="94">
        <v>0</v>
      </c>
      <c r="E23" s="94">
        <v>0</v>
      </c>
    </row>
    <row r="24" spans="1:5" ht="23.5" thickBot="1" x14ac:dyDescent="0.3">
      <c r="A24" s="103" t="s">
        <v>381</v>
      </c>
      <c r="B24" s="104" t="s">
        <v>58</v>
      </c>
      <c r="C24" s="105" t="s">
        <v>382</v>
      </c>
      <c r="D24" s="105" t="s">
        <v>383</v>
      </c>
      <c r="E24" s="105" t="s">
        <v>384</v>
      </c>
    </row>
    <row r="25" spans="1:5" x14ac:dyDescent="0.25">
      <c r="A25" s="106">
        <v>17</v>
      </c>
      <c r="B25" s="107" t="s">
        <v>79</v>
      </c>
      <c r="C25" s="92" t="s">
        <v>84</v>
      </c>
      <c r="D25" s="94">
        <v>0</v>
      </c>
      <c r="E25" s="94">
        <v>0</v>
      </c>
    </row>
    <row r="26" spans="1:5" x14ac:dyDescent="0.25">
      <c r="A26" s="106">
        <v>18</v>
      </c>
      <c r="B26" s="107" t="s">
        <v>396</v>
      </c>
      <c r="C26" s="112" t="s">
        <v>84</v>
      </c>
      <c r="D26" s="94">
        <v>0</v>
      </c>
      <c r="E26" s="94">
        <v>0</v>
      </c>
    </row>
    <row r="27" spans="1:5" x14ac:dyDescent="0.25">
      <c r="A27" s="106">
        <v>19</v>
      </c>
      <c r="B27" s="110" t="s">
        <v>397</v>
      </c>
      <c r="C27" s="95" t="s">
        <v>84</v>
      </c>
      <c r="D27" s="94">
        <v>0</v>
      </c>
      <c r="E27" s="94">
        <v>0</v>
      </c>
    </row>
    <row r="28" spans="1:5" x14ac:dyDescent="0.25">
      <c r="A28" s="106">
        <v>20</v>
      </c>
      <c r="B28" s="110" t="s">
        <v>86</v>
      </c>
      <c r="C28" s="95" t="s">
        <v>84</v>
      </c>
      <c r="D28" s="94">
        <v>0</v>
      </c>
      <c r="E28" s="94">
        <v>0</v>
      </c>
    </row>
    <row r="29" spans="1:5" x14ac:dyDescent="0.25">
      <c r="A29" s="106">
        <v>21</v>
      </c>
      <c r="B29" s="110" t="s">
        <v>87</v>
      </c>
      <c r="C29" s="95" t="s">
        <v>84</v>
      </c>
      <c r="D29" s="94">
        <v>0</v>
      </c>
      <c r="E29" s="94">
        <v>0</v>
      </c>
    </row>
    <row r="30" spans="1:5" x14ac:dyDescent="0.25">
      <c r="A30" s="106">
        <v>22</v>
      </c>
      <c r="B30" s="110" t="s">
        <v>398</v>
      </c>
      <c r="C30" s="95" t="s">
        <v>84</v>
      </c>
      <c r="D30" s="94">
        <v>0</v>
      </c>
      <c r="E30" s="94">
        <v>0</v>
      </c>
    </row>
    <row r="31" spans="1:5" x14ac:dyDescent="0.25">
      <c r="A31" s="106">
        <v>23</v>
      </c>
      <c r="B31" s="113" t="s">
        <v>392</v>
      </c>
      <c r="C31" s="95" t="s">
        <v>84</v>
      </c>
      <c r="D31" s="94">
        <v>0</v>
      </c>
      <c r="E31" s="94">
        <v>0</v>
      </c>
    </row>
    <row r="32" spans="1:5" x14ac:dyDescent="0.25">
      <c r="A32" s="106">
        <v>24</v>
      </c>
      <c r="B32" s="110" t="s">
        <v>399</v>
      </c>
      <c r="C32" s="99" t="s">
        <v>84</v>
      </c>
      <c r="D32" s="94">
        <v>0</v>
      </c>
      <c r="E32" s="94">
        <v>0</v>
      </c>
    </row>
    <row r="33" spans="1:5" x14ac:dyDescent="0.25">
      <c r="A33" s="106">
        <v>25</v>
      </c>
      <c r="B33" s="107" t="s">
        <v>91</v>
      </c>
      <c r="C33" s="99" t="s">
        <v>84</v>
      </c>
      <c r="D33" s="94">
        <v>0</v>
      </c>
      <c r="E33" s="94">
        <v>0</v>
      </c>
    </row>
    <row r="34" spans="1:5" ht="12" thickBot="1" x14ac:dyDescent="0.3">
      <c r="A34" s="106">
        <v>26</v>
      </c>
      <c r="B34" s="107" t="s">
        <v>400</v>
      </c>
      <c r="C34" s="99" t="s">
        <v>84</v>
      </c>
      <c r="D34" s="94">
        <v>0</v>
      </c>
      <c r="E34" s="94">
        <v>0</v>
      </c>
    </row>
    <row r="35" spans="1:5" ht="23.5" thickBot="1" x14ac:dyDescent="0.3">
      <c r="A35" s="103" t="s">
        <v>381</v>
      </c>
      <c r="B35" s="114" t="s">
        <v>58</v>
      </c>
      <c r="C35" s="105" t="s">
        <v>382</v>
      </c>
      <c r="D35" s="105" t="s">
        <v>383</v>
      </c>
      <c r="E35" s="105" t="s">
        <v>384</v>
      </c>
    </row>
    <row r="36" spans="1:5" x14ac:dyDescent="0.25">
      <c r="A36" s="108">
        <v>27</v>
      </c>
      <c r="B36" s="107" t="s">
        <v>95</v>
      </c>
      <c r="C36" s="92" t="s">
        <v>94</v>
      </c>
      <c r="D36" s="94">
        <v>0</v>
      </c>
      <c r="E36" s="94">
        <v>0</v>
      </c>
    </row>
    <row r="37" spans="1:5" x14ac:dyDescent="0.25">
      <c r="A37" s="108">
        <v>28</v>
      </c>
      <c r="B37" s="110" t="s">
        <v>96</v>
      </c>
      <c r="C37" s="99" t="s">
        <v>94</v>
      </c>
      <c r="D37" s="94">
        <v>0</v>
      </c>
      <c r="E37" s="94">
        <v>0</v>
      </c>
    </row>
    <row r="38" spans="1:5" x14ac:dyDescent="0.25">
      <c r="A38" s="108">
        <v>29</v>
      </c>
      <c r="B38" s="110" t="s">
        <v>97</v>
      </c>
      <c r="C38" s="99" t="s">
        <v>94</v>
      </c>
      <c r="D38" s="94">
        <v>0</v>
      </c>
      <c r="E38" s="94">
        <v>0</v>
      </c>
    </row>
    <row r="39" spans="1:5" x14ac:dyDescent="0.25">
      <c r="A39" s="108">
        <v>30</v>
      </c>
      <c r="B39" s="110" t="s">
        <v>98</v>
      </c>
      <c r="C39" s="99" t="s">
        <v>94</v>
      </c>
      <c r="D39" s="94">
        <v>0</v>
      </c>
      <c r="E39" s="94">
        <v>0</v>
      </c>
    </row>
    <row r="40" spans="1:5" x14ac:dyDescent="0.25">
      <c r="A40" s="108">
        <v>31</v>
      </c>
      <c r="B40" s="110" t="s">
        <v>99</v>
      </c>
      <c r="C40" s="99" t="s">
        <v>94</v>
      </c>
      <c r="D40" s="94">
        <v>0</v>
      </c>
      <c r="E40" s="94">
        <v>0</v>
      </c>
    </row>
    <row r="41" spans="1:5" x14ac:dyDescent="0.25">
      <c r="A41" s="108">
        <v>32</v>
      </c>
      <c r="B41" s="110" t="s">
        <v>100</v>
      </c>
      <c r="C41" s="99" t="s">
        <v>94</v>
      </c>
      <c r="D41" s="94">
        <v>0</v>
      </c>
      <c r="E41" s="94">
        <v>0</v>
      </c>
    </row>
    <row r="42" spans="1:5" x14ac:dyDescent="0.25">
      <c r="A42" s="108">
        <v>33</v>
      </c>
      <c r="B42" s="110" t="s">
        <v>101</v>
      </c>
      <c r="C42" s="99" t="s">
        <v>94</v>
      </c>
      <c r="D42" s="94">
        <v>0</v>
      </c>
      <c r="E42" s="94">
        <v>0</v>
      </c>
    </row>
    <row r="43" spans="1:5" x14ac:dyDescent="0.25">
      <c r="A43" s="108">
        <v>34</v>
      </c>
      <c r="B43" s="110" t="s">
        <v>102</v>
      </c>
      <c r="C43" s="99" t="s">
        <v>94</v>
      </c>
      <c r="D43" s="94">
        <v>0</v>
      </c>
      <c r="E43" s="94">
        <v>0</v>
      </c>
    </row>
    <row r="44" spans="1:5" x14ac:dyDescent="0.25">
      <c r="A44" s="108">
        <v>35</v>
      </c>
      <c r="B44" s="110" t="s">
        <v>103</v>
      </c>
      <c r="C44" s="99" t="s">
        <v>94</v>
      </c>
      <c r="D44" s="94">
        <v>0</v>
      </c>
      <c r="E44" s="94">
        <v>0</v>
      </c>
    </row>
    <row r="45" spans="1:5" x14ac:dyDescent="0.25">
      <c r="A45" s="108">
        <v>36</v>
      </c>
      <c r="B45" s="110" t="s">
        <v>104</v>
      </c>
      <c r="C45" s="99" t="s">
        <v>94</v>
      </c>
      <c r="D45" s="94">
        <v>0</v>
      </c>
      <c r="E45" s="94">
        <v>0</v>
      </c>
    </row>
    <row r="46" spans="1:5" x14ac:dyDescent="0.25">
      <c r="A46" s="108">
        <v>37</v>
      </c>
      <c r="B46" s="110" t="s">
        <v>401</v>
      </c>
      <c r="C46" s="99" t="s">
        <v>94</v>
      </c>
      <c r="D46" s="94">
        <v>0</v>
      </c>
      <c r="E46" s="94">
        <v>0</v>
      </c>
    </row>
    <row r="47" spans="1:5" x14ac:dyDescent="0.25">
      <c r="A47" s="108">
        <v>38</v>
      </c>
      <c r="B47" s="110" t="s">
        <v>392</v>
      </c>
      <c r="C47" s="99" t="s">
        <v>94</v>
      </c>
      <c r="D47" s="94">
        <v>0</v>
      </c>
      <c r="E47" s="94">
        <v>0</v>
      </c>
    </row>
    <row r="48" spans="1:5" x14ac:dyDescent="0.25">
      <c r="A48" s="108">
        <v>39</v>
      </c>
      <c r="B48" s="110" t="s">
        <v>107</v>
      </c>
      <c r="C48" s="99" t="s">
        <v>94</v>
      </c>
      <c r="D48" s="94">
        <v>0</v>
      </c>
      <c r="E48" s="94">
        <v>0</v>
      </c>
    </row>
    <row r="49" spans="1:5" x14ac:dyDescent="0.25">
      <c r="A49" s="108">
        <v>40</v>
      </c>
      <c r="B49" s="111" t="s">
        <v>91</v>
      </c>
      <c r="C49" s="99" t="s">
        <v>94</v>
      </c>
      <c r="D49" s="94">
        <v>0</v>
      </c>
      <c r="E49" s="94">
        <v>0</v>
      </c>
    </row>
    <row r="50" spans="1:5" x14ac:dyDescent="0.25">
      <c r="A50" s="108">
        <v>41</v>
      </c>
      <c r="B50" s="110" t="s">
        <v>108</v>
      </c>
      <c r="C50" s="99" t="s">
        <v>94</v>
      </c>
      <c r="D50" s="94">
        <v>0</v>
      </c>
      <c r="E50" s="94">
        <v>0</v>
      </c>
    </row>
    <row r="51" spans="1:5" ht="12" thickBot="1" x14ac:dyDescent="0.3">
      <c r="A51" s="108">
        <v>42</v>
      </c>
      <c r="B51" s="115" t="s">
        <v>284</v>
      </c>
      <c r="C51" s="116" t="s">
        <v>94</v>
      </c>
      <c r="D51" s="94">
        <v>0</v>
      </c>
      <c r="E51" s="94">
        <v>0</v>
      </c>
    </row>
    <row r="52" spans="1:5" ht="23.5" thickBot="1" x14ac:dyDescent="0.3">
      <c r="A52" s="103" t="s">
        <v>381</v>
      </c>
      <c r="B52" s="104" t="s">
        <v>58</v>
      </c>
      <c r="C52" s="105" t="s">
        <v>382</v>
      </c>
      <c r="D52" s="105" t="s">
        <v>383</v>
      </c>
      <c r="E52" s="105" t="s">
        <v>384</v>
      </c>
    </row>
    <row r="53" spans="1:5" x14ac:dyDescent="0.25">
      <c r="A53" s="106">
        <v>43</v>
      </c>
      <c r="B53" s="107" t="s">
        <v>402</v>
      </c>
      <c r="C53" s="92" t="s">
        <v>403</v>
      </c>
      <c r="D53" s="94">
        <v>0</v>
      </c>
      <c r="E53" s="94">
        <v>0</v>
      </c>
    </row>
    <row r="54" spans="1:5" x14ac:dyDescent="0.25">
      <c r="A54" s="106">
        <v>44</v>
      </c>
      <c r="B54" s="107" t="s">
        <v>404</v>
      </c>
      <c r="C54" s="92" t="s">
        <v>403</v>
      </c>
      <c r="D54" s="94">
        <v>0</v>
      </c>
      <c r="E54" s="94">
        <v>0</v>
      </c>
    </row>
    <row r="55" spans="1:5" x14ac:dyDescent="0.25">
      <c r="A55" s="106">
        <v>45</v>
      </c>
      <c r="B55" s="107" t="s">
        <v>113</v>
      </c>
      <c r="C55" s="92" t="s">
        <v>403</v>
      </c>
      <c r="D55" s="94">
        <v>0</v>
      </c>
      <c r="E55" s="94">
        <v>0</v>
      </c>
    </row>
    <row r="56" spans="1:5" x14ac:dyDescent="0.25">
      <c r="A56" s="106">
        <v>46</v>
      </c>
      <c r="B56" s="107" t="s">
        <v>114</v>
      </c>
      <c r="C56" s="92" t="s">
        <v>403</v>
      </c>
      <c r="D56" s="94">
        <v>0</v>
      </c>
      <c r="E56" s="94">
        <v>0</v>
      </c>
    </row>
    <row r="57" spans="1:5" x14ac:dyDescent="0.25">
      <c r="A57" s="106">
        <v>47</v>
      </c>
      <c r="B57" s="107" t="s">
        <v>405</v>
      </c>
      <c r="C57" s="92" t="s">
        <v>403</v>
      </c>
      <c r="D57" s="94">
        <v>0</v>
      </c>
      <c r="E57" s="94">
        <v>0</v>
      </c>
    </row>
    <row r="58" spans="1:5" x14ac:dyDescent="0.25">
      <c r="A58" s="106">
        <v>48</v>
      </c>
      <c r="B58" s="107" t="s">
        <v>406</v>
      </c>
      <c r="C58" s="92" t="s">
        <v>403</v>
      </c>
      <c r="D58" s="94">
        <v>0</v>
      </c>
      <c r="E58" s="94">
        <v>0</v>
      </c>
    </row>
    <row r="59" spans="1:5" x14ac:dyDescent="0.25">
      <c r="A59" s="106">
        <v>49</v>
      </c>
      <c r="B59" s="107" t="s">
        <v>407</v>
      </c>
      <c r="C59" s="92" t="s">
        <v>403</v>
      </c>
      <c r="D59" s="94">
        <v>0</v>
      </c>
      <c r="E59" s="94">
        <v>0</v>
      </c>
    </row>
    <row r="60" spans="1:5" x14ac:dyDescent="0.25">
      <c r="A60" s="106">
        <v>50</v>
      </c>
      <c r="B60" s="107" t="s">
        <v>118</v>
      </c>
      <c r="C60" s="92" t="s">
        <v>403</v>
      </c>
      <c r="D60" s="94">
        <v>0</v>
      </c>
      <c r="E60" s="94">
        <v>0</v>
      </c>
    </row>
    <row r="61" spans="1:5" x14ac:dyDescent="0.25">
      <c r="A61" s="106">
        <v>51</v>
      </c>
      <c r="B61" s="107" t="s">
        <v>120</v>
      </c>
      <c r="C61" s="92" t="s">
        <v>119</v>
      </c>
      <c r="D61" s="94">
        <v>0</v>
      </c>
      <c r="E61" s="94">
        <v>0</v>
      </c>
    </row>
    <row r="62" spans="1:5" x14ac:dyDescent="0.25">
      <c r="A62" s="106">
        <v>52</v>
      </c>
      <c r="B62" s="100" t="s">
        <v>121</v>
      </c>
      <c r="C62" s="99" t="s">
        <v>119</v>
      </c>
      <c r="D62" s="94">
        <v>0</v>
      </c>
      <c r="E62" s="94">
        <v>0</v>
      </c>
    </row>
    <row r="63" spans="1:5" x14ac:dyDescent="0.25">
      <c r="A63" s="106">
        <v>53</v>
      </c>
      <c r="B63" s="117" t="s">
        <v>408</v>
      </c>
      <c r="C63" s="112" t="s">
        <v>119</v>
      </c>
      <c r="D63" s="94">
        <v>0</v>
      </c>
      <c r="E63" s="94">
        <v>0</v>
      </c>
    </row>
    <row r="64" spans="1:5" x14ac:dyDescent="0.25">
      <c r="A64" s="106">
        <v>54</v>
      </c>
      <c r="B64" s="100" t="s">
        <v>124</v>
      </c>
      <c r="C64" s="99" t="s">
        <v>287</v>
      </c>
      <c r="D64" s="94">
        <v>0</v>
      </c>
      <c r="E64" s="94">
        <v>0</v>
      </c>
    </row>
    <row r="65" spans="1:5" x14ac:dyDescent="0.25">
      <c r="A65" s="106">
        <v>55</v>
      </c>
      <c r="B65" s="117" t="s">
        <v>408</v>
      </c>
      <c r="C65" s="112" t="s">
        <v>287</v>
      </c>
      <c r="D65" s="94">
        <v>0</v>
      </c>
      <c r="E65" s="94">
        <v>0</v>
      </c>
    </row>
    <row r="66" spans="1:5" x14ac:dyDescent="0.25">
      <c r="A66" s="106">
        <v>56</v>
      </c>
      <c r="B66" s="100" t="s">
        <v>409</v>
      </c>
      <c r="C66" s="99" t="s">
        <v>125</v>
      </c>
      <c r="D66" s="94">
        <v>0</v>
      </c>
      <c r="E66" s="94">
        <v>0</v>
      </c>
    </row>
    <row r="67" spans="1:5" x14ac:dyDescent="0.25">
      <c r="A67" s="106">
        <v>57</v>
      </c>
      <c r="B67" s="100" t="s">
        <v>409</v>
      </c>
      <c r="C67" s="99" t="s">
        <v>127</v>
      </c>
      <c r="D67" s="94">
        <v>0</v>
      </c>
      <c r="E67" s="94">
        <v>0</v>
      </c>
    </row>
    <row r="68" spans="1:5" ht="12" thickBot="1" x14ac:dyDescent="0.3">
      <c r="A68" s="106">
        <v>58</v>
      </c>
      <c r="B68" s="118" t="s">
        <v>410</v>
      </c>
      <c r="C68" s="99" t="s">
        <v>411</v>
      </c>
      <c r="D68" s="94">
        <v>0</v>
      </c>
      <c r="E68" s="94">
        <v>0</v>
      </c>
    </row>
    <row r="69" spans="1:5" x14ac:dyDescent="0.25">
      <c r="A69" s="119"/>
      <c r="B69" s="120" t="s">
        <v>412</v>
      </c>
      <c r="C69" s="121"/>
      <c r="D69" s="121">
        <f>SUM(D53:D68)</f>
        <v>0</v>
      </c>
      <c r="E69" s="121">
        <v>0</v>
      </c>
    </row>
    <row r="70" spans="1:5" x14ac:dyDescent="0.25">
      <c r="A70" s="106">
        <v>59</v>
      </c>
      <c r="B70" s="100" t="s">
        <v>413</v>
      </c>
      <c r="C70" s="99"/>
      <c r="D70" s="94">
        <v>0</v>
      </c>
      <c r="E70" s="94">
        <v>0</v>
      </c>
    </row>
    <row r="71" spans="1:5" x14ac:dyDescent="0.25">
      <c r="A71" s="106">
        <v>60</v>
      </c>
      <c r="B71" s="100" t="s">
        <v>414</v>
      </c>
      <c r="C71" s="99"/>
      <c r="D71" s="94">
        <v>0</v>
      </c>
      <c r="E71" s="94">
        <v>0</v>
      </c>
    </row>
  </sheetData>
  <mergeCells count="2">
    <mergeCell ref="A4:B4"/>
    <mergeCell ref="A8:B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33</vt:i4>
      </vt:variant>
    </vt:vector>
  </HeadingPairs>
  <TitlesOfParts>
    <vt:vector size="33" baseType="lpstr">
      <vt:lpstr>Annexe 12</vt:lpstr>
      <vt:lpstr>Annexe 12-(1)</vt:lpstr>
      <vt:lpstr>Annexe 12-(2)</vt:lpstr>
      <vt:lpstr>Annexe 12-(3)</vt:lpstr>
      <vt:lpstr>Annexe 12-(4)</vt:lpstr>
      <vt:lpstr>Annexe 12-(5)</vt:lpstr>
      <vt:lpstr>Annexe 12-(6)</vt:lpstr>
      <vt:lpstr>Annexe 12-(7)</vt:lpstr>
      <vt:lpstr>Annexe 12-(8)</vt:lpstr>
      <vt:lpstr>Annexe 12-(9)</vt:lpstr>
      <vt:lpstr>Annexe 12-(10)</vt:lpstr>
      <vt:lpstr>Annexe 12-(11)</vt:lpstr>
      <vt:lpstr>Annexe 12-(12)</vt:lpstr>
      <vt:lpstr>Annexe 12-(13)</vt:lpstr>
      <vt:lpstr>Annexe 12-(14)</vt:lpstr>
      <vt:lpstr>Annexe 12-(15)</vt:lpstr>
      <vt:lpstr>Annexe 12-(16)</vt:lpstr>
      <vt:lpstr>Annexe 12-(17)</vt:lpstr>
      <vt:lpstr>Annexe 12-(18)</vt:lpstr>
      <vt:lpstr>Annexe 12-(19)</vt:lpstr>
      <vt:lpstr>Annexe 12-(20)</vt:lpstr>
      <vt:lpstr>Annexe 12-(21)</vt:lpstr>
      <vt:lpstr>Annexe 12-(22)</vt:lpstr>
      <vt:lpstr>Annexe 12-(23)</vt:lpstr>
      <vt:lpstr>Annexe 12-(24)</vt:lpstr>
      <vt:lpstr>Annexe 12-(25)</vt:lpstr>
      <vt:lpstr>Annexe 12-(26)</vt:lpstr>
      <vt:lpstr>Annexe 13</vt:lpstr>
      <vt:lpstr>Annexe 14</vt:lpstr>
      <vt:lpstr>Annexe 15</vt:lpstr>
      <vt:lpstr>Annexe 16</vt:lpstr>
      <vt:lpstr>Annexe 17</vt:lpstr>
      <vt:lpstr>Annexe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2026-07-16T15:26:06Z</dcterms:created>
  <dcterms:modified xsi:type="dcterms:W3CDTF">2026-07-16T15:26:36Z</dcterms:modified>
</cp:coreProperties>
</file>