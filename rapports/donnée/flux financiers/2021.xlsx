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flux financiers\"/>
    </mc:Choice>
  </mc:AlternateContent>
  <xr:revisionPtr revIDLastSave="0" documentId="8_{FC570DF3-9B4F-4936-890E-4DA9E28EA01E}" xr6:coauthVersionLast="47" xr6:coauthVersionMax="47" xr10:uidLastSave="{00000000-0000-0000-0000-000000000000}"/>
  <bookViews>
    <workbookView xWindow="-110" yWindow="-110" windowWidth="19420" windowHeight="10300" xr2:uid="{7C42A7C0-272F-43AA-81AC-363F56598000}"/>
  </bookViews>
  <sheets>
    <sheet name="Annexe 11" sheetId="1" r:id="rId1"/>
    <sheet name="Annexe 11-(1)" sheetId="2" r:id="rId2"/>
    <sheet name="Annexe 11-(2)" sheetId="3" r:id="rId3"/>
    <sheet name="Annexe 11-(3)" sheetId="4" r:id="rId4"/>
    <sheet name="Annexe 11-(4)" sheetId="5" r:id="rId5"/>
    <sheet name="Annexe 11-(5)" sheetId="6" r:id="rId6"/>
    <sheet name="Annexe 11-(6)" sheetId="7" r:id="rId7"/>
    <sheet name="Annexe 11-(7)" sheetId="8" r:id="rId8"/>
    <sheet name="Annexe 11-(8)" sheetId="9" r:id="rId9"/>
    <sheet name="Annexe 11-(9)" sheetId="10" r:id="rId10"/>
    <sheet name="Annexe 11-(10)" sheetId="11" r:id="rId11"/>
    <sheet name="Annexe 11-(11)" sheetId="12" r:id="rId12"/>
    <sheet name="Annexe 11-(12)" sheetId="13" r:id="rId13"/>
    <sheet name="Annexe 11-(13)" sheetId="14" r:id="rId14"/>
    <sheet name="Annexe 11-(14)" sheetId="15" r:id="rId15"/>
    <sheet name="Annexe 11-(15)" sheetId="16" r:id="rId16"/>
    <sheet name="Annexe 11-(16)" sheetId="17" r:id="rId17"/>
    <sheet name="Annexe 11-(17)" sheetId="18" r:id="rId18"/>
    <sheet name="Annexe 11-(18)" sheetId="19" r:id="rId19"/>
    <sheet name="Annexe 11-(19)" sheetId="20" r:id="rId20"/>
    <sheet name="Annexe 11-(20)" sheetId="21" r:id="rId21"/>
    <sheet name="Annexe 11-(21)" sheetId="22" r:id="rId22"/>
    <sheet name="Annexe 11-(22)" sheetId="23" r:id="rId23"/>
    <sheet name="Annexe 11-(23)" sheetId="24" r:id="rId24"/>
    <sheet name="Annexe 11-(24)" sheetId="25" r:id="rId25"/>
    <sheet name="Annexe 11-(25)" sheetId="26" r:id="rId26"/>
    <sheet name="Annexe 11-(26)" sheetId="27" r:id="rId27"/>
    <sheet name="Annexe 11-(27)" sheetId="28" r:id="rId28"/>
    <sheet name="Annexe 11-(28)" sheetId="29" r:id="rId29"/>
    <sheet name="Annexe 11-(29)" sheetId="30" r:id="rId30"/>
    <sheet name="Annexe 12" sheetId="31" r:id="rId31"/>
    <sheet name="Annexe 13" sheetId="32" r:id="rId32"/>
    <sheet name="Annexe 14" sheetId="33" r:id="rId33"/>
    <sheet name="Annexe 15" sheetId="34" r:id="rId34"/>
    <sheet name="Annexe 16" sheetId="35" r:id="rId35"/>
    <sheet name="Annexe 17" sheetId="36" r:id="rId36"/>
  </sheets>
  <externalReferences>
    <externalReference r:id="rId37"/>
    <externalReference r:id="rId38"/>
  </externalReferences>
  <definedNames>
    <definedName name="_xlnm._FilterDatabase" localSheetId="30" hidden="1">'Annexe 12'!$A$4:$D$50</definedName>
    <definedName name="_xlnm._FilterDatabase" localSheetId="31" hidden="1">'Annexe 13'!$B$3:$D$36</definedName>
    <definedName name="_xlnm._FilterDatabase" localSheetId="32" hidden="1">'Annexe 14'!$B$3:$E$106</definedName>
    <definedName name="_xlnm._FilterDatabase" localSheetId="33" hidden="1">'Annexe 15'!$B$3:$D$56</definedName>
    <definedName name="Compadjust">[2]Lists!$A$71:$A$79</definedName>
    <definedName name="FinalDiff">[2]Lists!$A$94:$A$105</definedName>
    <definedName name="Govadjust">[2]Lists!$A$83:$A$90</definedName>
    <definedName name="Taxes">[2]Lists!$A$7:$A$49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36" l="1"/>
  <c r="C59" i="34"/>
  <c r="E108" i="33"/>
  <c r="D37" i="32"/>
  <c r="D52" i="31"/>
  <c r="G605" i="30"/>
  <c r="J2" i="30"/>
  <c r="G605" i="29"/>
  <c r="J2" i="29"/>
  <c r="G605" i="28"/>
  <c r="J2" i="28"/>
  <c r="G605" i="27"/>
  <c r="J2" i="27"/>
  <c r="G605" i="26"/>
  <c r="J2" i="26"/>
  <c r="G605" i="25"/>
  <c r="J2" i="25"/>
  <c r="G605" i="24"/>
  <c r="J2" i="24"/>
  <c r="G605" i="23"/>
  <c r="J2" i="23"/>
  <c r="G605" i="22"/>
  <c r="J2" i="22"/>
  <c r="G605" i="21"/>
  <c r="J2" i="21"/>
  <c r="G605" i="20"/>
  <c r="J2" i="20"/>
  <c r="G605" i="19"/>
  <c r="J2" i="19"/>
  <c r="G605" i="18"/>
  <c r="J2" i="18"/>
  <c r="G605" i="17"/>
  <c r="J2" i="17"/>
  <c r="G605" i="16"/>
  <c r="J2" i="16"/>
  <c r="G605" i="15"/>
  <c r="J2" i="15"/>
  <c r="G605" i="14"/>
  <c r="J2" i="14"/>
  <c r="G605" i="13"/>
  <c r="J2" i="13"/>
  <c r="G605" i="12"/>
  <c r="J2" i="12"/>
  <c r="G605" i="11"/>
  <c r="J2" i="11"/>
  <c r="G605" i="10"/>
  <c r="J2" i="10"/>
  <c r="G605" i="9"/>
  <c r="J2" i="9"/>
  <c r="G605" i="8"/>
  <c r="J2" i="8"/>
  <c r="G605" i="7"/>
  <c r="J2" i="7"/>
  <c r="G605" i="6"/>
  <c r="J2" i="6"/>
  <c r="G605" i="5"/>
  <c r="J2" i="5"/>
  <c r="G605" i="4"/>
  <c r="K1" i="4"/>
  <c r="F1" i="4"/>
  <c r="E1" i="4"/>
  <c r="G605" i="3"/>
  <c r="K1" i="3"/>
  <c r="F1" i="3"/>
  <c r="E1" i="3"/>
  <c r="K1" i="2"/>
  <c r="F1" i="2"/>
  <c r="E1" i="2"/>
</calcChain>
</file>

<file path=xl/sharedStrings.xml><?xml version="1.0" encoding="utf-8"?>
<sst xmlns="http://schemas.openxmlformats.org/spreadsheetml/2006/main" count="4412" uniqueCount="343">
  <si>
    <t>Annexe 12 – Fiche de conciliation par société</t>
  </si>
  <si>
    <t>Annexe 11-(1)</t>
  </si>
  <si>
    <t>La Société des Mines de Fer du Sénégal Oriental (MIFERSO)</t>
  </si>
  <si>
    <t>Annexe 11-(2)</t>
  </si>
  <si>
    <t>Société de Commercialisation du Ciment (SOCOCIM)</t>
  </si>
  <si>
    <t>Annexe 11-(3)</t>
  </si>
  <si>
    <t>Sabodala Gold Operations (SGO)</t>
  </si>
  <si>
    <t>Annexe 11-(4)</t>
  </si>
  <si>
    <t>Ciments du Sahel (CDS)</t>
  </si>
  <si>
    <t>Annexe 11-(5)</t>
  </si>
  <si>
    <t>Grande Côte Opérations (GCO)</t>
  </si>
  <si>
    <t>Annexe 11-(6)</t>
  </si>
  <si>
    <t>Société Sénégalaise des Phosphates de Thiès (SSPT)</t>
  </si>
  <si>
    <t>Annexe 11-(7)</t>
  </si>
  <si>
    <t>Industries Chimiques du Sénégal (ICS)</t>
  </si>
  <si>
    <t>Annexe 11-(8)</t>
  </si>
  <si>
    <t>Dangote Industries Sénégal SA (DANGOTE)</t>
  </si>
  <si>
    <t>Annexe 11-(9)</t>
  </si>
  <si>
    <t>Petowal Mining Company (PMC) SA</t>
  </si>
  <si>
    <t>Annexe 11-(10)</t>
  </si>
  <si>
    <t>Société Minière de la Vallée du fleuve Sénégal (SOMIVA)</t>
  </si>
  <si>
    <t>Annexe 11-(11)</t>
  </si>
  <si>
    <t>SORED Mines</t>
  </si>
  <si>
    <t>Annexe 11-(12)</t>
  </si>
  <si>
    <t>Iamgold BOTO</t>
  </si>
  <si>
    <t>Annexe 11-(13)</t>
  </si>
  <si>
    <t>G-PHOS SA</t>
  </si>
  <si>
    <t>Annexe 11-(14)</t>
  </si>
  <si>
    <t>Baobab Mining and Chemical Corp SA</t>
  </si>
  <si>
    <t>Annexe 11-(15)</t>
  </si>
  <si>
    <t>Agem Sénégal Exploration SUARL (AGEM)</t>
  </si>
  <si>
    <t>Annexe 11-(16)</t>
  </si>
  <si>
    <t>Sabodala Mining Company (SMC)</t>
  </si>
  <si>
    <t>Annexe 11-(17)</t>
  </si>
  <si>
    <t>Barrick Gold</t>
  </si>
  <si>
    <t>Annexe 11-(18)</t>
  </si>
  <si>
    <t>Sephos Senegal SA (SEPHOS)</t>
  </si>
  <si>
    <t>Annexe 11-(19)</t>
  </si>
  <si>
    <t>African Investment Group SA (AIG)</t>
  </si>
  <si>
    <t>Annexe 11-(20)</t>
  </si>
  <si>
    <t>Compagnie Générale d'Exploitation de Carrière (COGECA)</t>
  </si>
  <si>
    <t>Annexe 11-(21)</t>
  </si>
  <si>
    <t>Gécamines (GECAMINES)</t>
  </si>
  <si>
    <t>Annexe 11-(22)</t>
  </si>
  <si>
    <t>Talix Mines</t>
  </si>
  <si>
    <t>Annexe 11-(23)</t>
  </si>
  <si>
    <t>Société des Pétroles du Sénégal (PETROSEN)</t>
  </si>
  <si>
    <t>Annexe 11-(24)</t>
  </si>
  <si>
    <t>Fortesa International Senegal</t>
  </si>
  <si>
    <t>Annexe 11-(25)</t>
  </si>
  <si>
    <t xml:space="preserve">Kosmos Energy Senegal </t>
  </si>
  <si>
    <t>Annexe 11-(26)</t>
  </si>
  <si>
    <t xml:space="preserve">Oranto Petroleum </t>
  </si>
  <si>
    <t>Annexe 11-(27)</t>
  </si>
  <si>
    <t xml:space="preserve">Total E&amp;P Sénégal </t>
  </si>
  <si>
    <t>Annexe 11-(28)</t>
  </si>
  <si>
    <t>BP Sénégal Investments Limited</t>
  </si>
  <si>
    <t>Annexe 11-(29)</t>
  </si>
  <si>
    <t xml:space="preserve">Woodside Energy Senegal </t>
  </si>
  <si>
    <t xml:space="preserve"> </t>
  </si>
  <si>
    <t>Nom de la société</t>
  </si>
  <si>
    <t>Année</t>
  </si>
  <si>
    <t>N°</t>
  </si>
  <si>
    <t>Nomenclature des flux</t>
  </si>
  <si>
    <t>Sociétés</t>
  </si>
  <si>
    <t>Gouvernement</t>
  </si>
  <si>
    <t>Différence Finale</t>
  </si>
  <si>
    <t>Initial</t>
  </si>
  <si>
    <t>Ajustements</t>
  </si>
  <si>
    <t>Final</t>
  </si>
  <si>
    <t>Paiements en nature</t>
  </si>
  <si>
    <t xml:space="preserve">Part de la production de l'État (Profit Oil État) </t>
  </si>
  <si>
    <t xml:space="preserve">Part de la production de PETROSEN (Profit Oil - Cost Oil PETROSEN) </t>
  </si>
  <si>
    <t>Paiements en numéraire</t>
  </si>
  <si>
    <t>DMG</t>
  </si>
  <si>
    <t xml:space="preserve">Redevance minière </t>
  </si>
  <si>
    <t>Appui institutionnel</t>
  </si>
  <si>
    <t>Droits d'entrée fixes</t>
  </si>
  <si>
    <t>Bonus (DMG)</t>
  </si>
  <si>
    <t>Redevance superficiaire</t>
  </si>
  <si>
    <t>PETROSEN</t>
  </si>
  <si>
    <t>Bonus (PETROSEN)</t>
  </si>
  <si>
    <t xml:space="preserve">Appui à la formation </t>
  </si>
  <si>
    <t>Appui à la promotion de la recherche et de l'exploitation</t>
  </si>
  <si>
    <t>Appui à l'équipement</t>
  </si>
  <si>
    <t>Revenus issus de la commercialisation de la Part de la production de l'État P</t>
  </si>
  <si>
    <t xml:space="preserve">Loyer superficiaire </t>
  </si>
  <si>
    <t>Pénalités versées à PETROSEN</t>
  </si>
  <si>
    <t>Redevance</t>
  </si>
  <si>
    <t>Achat de données sismiques</t>
  </si>
  <si>
    <t>DGCPT</t>
  </si>
  <si>
    <t xml:space="preserve">Revenus issus de la commercialisation de la Part de la production de l'État </t>
  </si>
  <si>
    <t>Patente</t>
  </si>
  <si>
    <t>Contribution foncière des propriétés bâties (CFPB)</t>
  </si>
  <si>
    <t>Contribution foncière des propriétés non bâties (CFPNB)</t>
  </si>
  <si>
    <t xml:space="preserve">Appui institutionnel aux collectivités locales </t>
  </si>
  <si>
    <t xml:space="preserve">Impôt du minimum fiscal </t>
  </si>
  <si>
    <t xml:space="preserve">Dividendes versés à l'Etat </t>
  </si>
  <si>
    <t>Frais d'inscription d'une concession minière ou d'un permis d'exploitation</t>
  </si>
  <si>
    <t>Bonus (DGCPT)</t>
  </si>
  <si>
    <t xml:space="preserve">Contribution économique locale (CEL VA et CEL VL) </t>
  </si>
  <si>
    <t>DGID</t>
  </si>
  <si>
    <t>Taxe sur la valeur ajoutée reversée</t>
  </si>
  <si>
    <t>Retenues à la source sur salaires (IR, TRIMF et CFCE)</t>
  </si>
  <si>
    <t>Redressements fiscaux</t>
  </si>
  <si>
    <t>Impôt sur les sociétés</t>
  </si>
  <si>
    <t>Impôt sur les sociétés (bénéfices non pétroliers/miniers )</t>
  </si>
  <si>
    <t>Retenues à la source sur bénéfice non commercial</t>
  </si>
  <si>
    <t>Contribution spéciale sur les produits des mines et des carrières (CSMC)</t>
  </si>
  <si>
    <t>Retenue à la source sur sommes versées à des tiers</t>
  </si>
  <si>
    <t>Taxe sur la valeur ajoutée précomptée</t>
  </si>
  <si>
    <t>Impôt minimum forfaitaire</t>
  </si>
  <si>
    <t>Bonus (DGID)</t>
  </si>
  <si>
    <t xml:space="preserve">Surtaxe foncière </t>
  </si>
  <si>
    <t>Impôt sur le revenu des valeurs mobilières</t>
  </si>
  <si>
    <t>Taxe spéciale sur le ciment</t>
  </si>
  <si>
    <t xml:space="preserve">Frais d'inscription d'une concession minière ou d'un permis d'exploitation </t>
  </si>
  <si>
    <t>Taxe sur le ciment</t>
  </si>
  <si>
    <t>DGD</t>
  </si>
  <si>
    <t xml:space="preserve">Taxe sur la valeur ajoutée 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</si>
  <si>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</si>
  <si>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</si>
  <si>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</si>
  <si>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</si>
  <si>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</si>
  <si>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 xml:space="preserve">Taxe d'enregistrement des véhicules </t>
  </si>
  <si>
    <t>Amendes, pénalités et redressements douaniers</t>
  </si>
  <si>
    <t>DEEC</t>
  </si>
  <si>
    <t>Taxe superficiaire</t>
  </si>
  <si>
    <t>Taxe à la pollution</t>
  </si>
  <si>
    <t xml:space="preserve">Appui Institutionnel (DEEC) </t>
  </si>
  <si>
    <t>DEFCCS</t>
  </si>
  <si>
    <t>Taxes d'abattage</t>
  </si>
  <si>
    <t xml:space="preserve">Appui Institutionnel (Fonds d'appui au Mini. De l'Env) </t>
  </si>
  <si>
    <t>CSS</t>
  </si>
  <si>
    <t xml:space="preserve">Cotisations sociales (y compris les pénalités) </t>
  </si>
  <si>
    <t>IPRES</t>
  </si>
  <si>
    <t>Cotisations sociales (y compris les pénalités)(IPRES)</t>
  </si>
  <si>
    <t>Autres</t>
  </si>
  <si>
    <t>Autres flux de paiements significatifs (&gt; 25 millions de  FCFA) (reconciliables)</t>
  </si>
  <si>
    <t>l</t>
  </si>
  <si>
    <t>Cours</t>
  </si>
  <si>
    <t>0325995 2G3</t>
  </si>
  <si>
    <t>2849258 2G3</t>
  </si>
  <si>
    <t>0028797 2G3</t>
  </si>
  <si>
    <t>0022955 2G3</t>
  </si>
  <si>
    <t>2707208 2G3</t>
  </si>
  <si>
    <t>005844700</t>
  </si>
  <si>
    <t>4475142 2G3</t>
  </si>
  <si>
    <t>IAMGOLD BOTO SA</t>
  </si>
  <si>
    <t>4151750 2Y2</t>
  </si>
  <si>
    <t>004716033</t>
  </si>
  <si>
    <t>2464410 0G2</t>
  </si>
  <si>
    <t>006378732 G2</t>
  </si>
  <si>
    <t>4013041 2G3</t>
  </si>
  <si>
    <t>4507995 2G3</t>
  </si>
  <si>
    <t>0196784</t>
  </si>
  <si>
    <t>2292168 2G3</t>
  </si>
  <si>
    <t>0224498 2G3</t>
  </si>
  <si>
    <t>0415770 2G3</t>
  </si>
  <si>
    <t xml:space="preserve"> 005251822 2G2 </t>
  </si>
  <si>
    <t>N/A</t>
  </si>
  <si>
    <t xml:space="preserve"> TOTAL E&amp;P Senegal </t>
  </si>
  <si>
    <t>BP SENEGAL INVESTMENTS LIMITED</t>
  </si>
  <si>
    <t xml:space="preserve">006420509 2A2 </t>
  </si>
  <si>
    <t>Annexe 12 –  Détail des revenus budgétaires par société extractive</t>
  </si>
  <si>
    <t>Périmètre</t>
  </si>
  <si>
    <t>Société</t>
  </si>
  <si>
    <t>Secteur</t>
  </si>
  <si>
    <t>Paiement en FCFA</t>
  </si>
  <si>
    <t>SOCOCIM</t>
  </si>
  <si>
    <t>Minier</t>
  </si>
  <si>
    <t>SGO</t>
  </si>
  <si>
    <t>CDS</t>
  </si>
  <si>
    <t>PMC</t>
  </si>
  <si>
    <t>Dangote</t>
  </si>
  <si>
    <t>GCO</t>
  </si>
  <si>
    <t>ICS</t>
  </si>
  <si>
    <t>Woodside Energy</t>
  </si>
  <si>
    <t>Hydrocarbures</t>
  </si>
  <si>
    <t>BP Sénégal</t>
  </si>
  <si>
    <t>GECAMINES</t>
  </si>
  <si>
    <t>COGECA</t>
  </si>
  <si>
    <t>SOMIVA</t>
  </si>
  <si>
    <t>IAMGOLD BOTO</t>
  </si>
  <si>
    <t>SSPT</t>
  </si>
  <si>
    <t>AGEM</t>
  </si>
  <si>
    <t>SMC</t>
  </si>
  <si>
    <t>SEPHOS</t>
  </si>
  <si>
    <t>Kosmos Energy</t>
  </si>
  <si>
    <t>Hors Périmètre</t>
  </si>
  <si>
    <t>CSE GRANULATS SA</t>
  </si>
  <si>
    <t>COMPAGNIE DES PRODUITS CHIMIQUES ET MATERIAUX</t>
  </si>
  <si>
    <t>SENEGAL Mines SA</t>
  </si>
  <si>
    <t>SODEVIT</t>
  </si>
  <si>
    <t>EIFFAGE</t>
  </si>
  <si>
    <t>FORTESA</t>
  </si>
  <si>
    <t>AIG</t>
  </si>
  <si>
    <t>CAPRICORN</t>
  </si>
  <si>
    <t>STRATEX EMC SA</t>
  </si>
  <si>
    <t>CONSORTIUM D'ENTREPRISES (CDE)</t>
  </si>
  <si>
    <t>International Trading Company</t>
  </si>
  <si>
    <t>GADD BISSIK</t>
  </si>
  <si>
    <t>African Petroleum</t>
  </si>
  <si>
    <t xml:space="preserve">CIMAF </t>
  </si>
  <si>
    <t>JEAN LEFEVRE SENEGAL</t>
  </si>
  <si>
    <t>ABN HOLDING-SARL</t>
  </si>
  <si>
    <t xml:space="preserve">AFRICAN STAR SARL       </t>
  </si>
  <si>
    <t>GENERAL SERVICES S.A</t>
  </si>
  <si>
    <t>GIE KEDOUGOU DENTAL</t>
  </si>
  <si>
    <t>GH Mining</t>
  </si>
  <si>
    <t>BOYA SA</t>
  </si>
  <si>
    <t>Compagnie Sahélienne d'Entreprise</t>
  </si>
  <si>
    <t xml:space="preserve">AFRIGOLD SARL </t>
  </si>
  <si>
    <t>Annexe 13 –  Détail des revenus budgétaires par flux de paiement</t>
  </si>
  <si>
    <t>Flux</t>
  </si>
  <si>
    <t>régie</t>
  </si>
  <si>
    <t>Total</t>
  </si>
  <si>
    <t>DGM</t>
  </si>
  <si>
    <t>Prélèvement PROMAD</t>
  </si>
  <si>
    <t>Taxe d'abattage</t>
  </si>
  <si>
    <t>Interets de retard</t>
  </si>
  <si>
    <t>Droits d'accicses sur véhicules</t>
  </si>
  <si>
    <t>Taxe d'enregistrement véhicules</t>
  </si>
  <si>
    <t>Taxe Intérieure</t>
  </si>
  <si>
    <t>Taxe Acompte BIC</t>
  </si>
  <si>
    <t>Droits d'accicses sur les sachets plastiques</t>
  </si>
  <si>
    <t>Annexe 14 –  Détail des paiements des entreprises par société extractive</t>
  </si>
  <si>
    <t>BMCC</t>
  </si>
  <si>
    <t>GEOPARTNERS Ltd</t>
  </si>
  <si>
    <t>CLARION ENERGY LIMITED</t>
  </si>
  <si>
    <t xml:space="preserve">TALIX MINES </t>
  </si>
  <si>
    <t>FAMY SENEGAL SUARL</t>
  </si>
  <si>
    <t>TETACAR SARL</t>
  </si>
  <si>
    <t>TRANSPORTS AHMED D.GAZAL&amp;FILS</t>
  </si>
  <si>
    <t>MIFERSO</t>
  </si>
  <si>
    <t>GLOBAL AFRICINVEST SARL</t>
  </si>
  <si>
    <t>GLOBAL IMMO SENEGAL SARL</t>
  </si>
  <si>
    <t>ALBINA SENEGAL</t>
  </si>
  <si>
    <t>A.G.C GUINEE BISSAU SENEGAL</t>
  </si>
  <si>
    <t xml:space="preserve">FAMY SENEGAL SUARL      </t>
  </si>
  <si>
    <t>SOCIETE D'EQUIPEMENT ET DE CONSTRUCTION (SOECO)</t>
  </si>
  <si>
    <t>PROCHIMAT</t>
  </si>
  <si>
    <t>TRANSPORT AHMED DJOUMA GAZAL</t>
  </si>
  <si>
    <t>ROYAL SENEGAL MINES ET EQUIPEM</t>
  </si>
  <si>
    <t>GAZAL CARRIERRES</t>
  </si>
  <si>
    <t xml:space="preserve">SOCIETE DES TERRES NEUVES SARL </t>
  </si>
  <si>
    <t>SOFAMAC SA</t>
  </si>
  <si>
    <t>HARMONY GROUP SUARL</t>
  </si>
  <si>
    <t>GAZAL CARRIERES SARL</t>
  </si>
  <si>
    <t>GRAVITA SENEGAL SAU</t>
  </si>
  <si>
    <t>IAMGOLD CORPORATION SENEGAL</t>
  </si>
  <si>
    <t>ROYAL SENEGAL MINES ET EQUIPEMENTS</t>
  </si>
  <si>
    <t>DIENG &amp; CO ENGINEERING SAS</t>
  </si>
  <si>
    <t>CONSULTING BUSNESS AGENCY SARL</t>
  </si>
  <si>
    <t>ENERGY MINING CORPORATION SA</t>
  </si>
  <si>
    <t>AFRIGEM SUARL</t>
  </si>
  <si>
    <t xml:space="preserve">GLOBAL AFRICINVEST </t>
  </si>
  <si>
    <t>SOCIETE DE CONCASSAGE ET DE BETON SARL</t>
  </si>
  <si>
    <t>LES MINIERES DU DIOBASS SA</t>
  </si>
  <si>
    <t xml:space="preserve">GRAVITA SENEGAL S.A.U </t>
  </si>
  <si>
    <t>VAPROM AFRICA SA</t>
  </si>
  <si>
    <t>CWE Sénégal SUARL</t>
  </si>
  <si>
    <t>SERPM SA</t>
  </si>
  <si>
    <t>INSTITUT GEOSCIENCES DE DAKAR</t>
  </si>
  <si>
    <t>SOFAMAC</t>
  </si>
  <si>
    <t xml:space="preserve">SOCIETE DE SERVICES BAT </t>
  </si>
  <si>
    <t>FAR SENEGAL RSSD SA</t>
  </si>
  <si>
    <t xml:space="preserve">DIENG &amp; CO ENGINEERING SAS </t>
  </si>
  <si>
    <t>C.B.A. CONSULTING BU</t>
  </si>
  <si>
    <t>KANSALA RESOURCES S.A</t>
  </si>
  <si>
    <t>HARMONY GROUP SARL</t>
  </si>
  <si>
    <t xml:space="preserve">SYPROM SA </t>
  </si>
  <si>
    <t>SAREQ GROUP(STE AMEN REP EQUIP</t>
  </si>
  <si>
    <t>SOCIETE CIVILE IMMOBILIERE</t>
  </si>
  <si>
    <t>SOCAM SARL</t>
  </si>
  <si>
    <t xml:space="preserve">SAREQ GROUP   SARL </t>
  </si>
  <si>
    <t>GPHOS</t>
  </si>
  <si>
    <t>MRL INTERNATIONAL IND.SARL</t>
  </si>
  <si>
    <t>MLR INTERNATIONAL INDUSTRIES SARL</t>
  </si>
  <si>
    <t>LES SPECIALISTES DU BATIMENTS &amp; TP (100%)</t>
  </si>
  <si>
    <t>SCI DE LA BAIE</t>
  </si>
  <si>
    <t>ENTREPRISE SIMEC</t>
  </si>
  <si>
    <t>FIRST CITY BUILDING OF SENEGAL</t>
  </si>
  <si>
    <t>Annexe 15 –  Détail des paiements des entreprises par flux de paiement</t>
  </si>
  <si>
    <t>Paiements sociaux volontaires en numéraire</t>
  </si>
  <si>
    <t>Autres Bénéficiaires PSV</t>
  </si>
  <si>
    <t>Paiements sociaux volontaires en nature</t>
  </si>
  <si>
    <t>Paiements sociaux obligatoires en nature</t>
  </si>
  <si>
    <t>Autres Bénéficiaires PSO</t>
  </si>
  <si>
    <t>Paiements aux Fonds re réabilitation de sites miniers</t>
  </si>
  <si>
    <t>CDC</t>
  </si>
  <si>
    <t>Paiements sociaux obligatoires en numéraire</t>
  </si>
  <si>
    <t>Paiements envronnementaux en nature</t>
  </si>
  <si>
    <t>Autres Bénéficiaires PEn</t>
  </si>
  <si>
    <t>Paiements envronnementaux en numéraire</t>
  </si>
  <si>
    <t>Annexe 16 – Détail de la déclaration Unilatérale de l’Etat</t>
  </si>
  <si>
    <t>Montant en FCFA</t>
  </si>
  <si>
    <t>Montant en Millions de FCFA</t>
  </si>
  <si>
    <t>Régie</t>
  </si>
  <si>
    <t>Affectation</t>
  </si>
  <si>
    <t>Affectation 2</t>
  </si>
  <si>
    <t>Trésor</t>
  </si>
  <si>
    <t>Budget</t>
  </si>
  <si>
    <t>UEMOA</t>
  </si>
  <si>
    <t>COSEC</t>
  </si>
  <si>
    <t>CEDEAO</t>
  </si>
  <si>
    <t>SENEGAL MINES SA</t>
  </si>
  <si>
    <t>Annexe 17 – Formulaire de déclaration 2021</t>
  </si>
  <si>
    <t>Réf</t>
  </si>
  <si>
    <t>Payé à/reçu par</t>
  </si>
  <si>
    <t>Montant/Volume</t>
  </si>
  <si>
    <t>Montant</t>
  </si>
  <si>
    <t>m3</t>
  </si>
  <si>
    <t>FCFA</t>
  </si>
  <si>
    <t>-</t>
  </si>
  <si>
    <t>USD</t>
  </si>
  <si>
    <t>Redevance minière (y compris la taxe à l’extraction)</t>
  </si>
  <si>
    <t>Droits d'entrée/fixes</t>
  </si>
  <si>
    <t>Bonus (y compris le bonus sur reserve supplémentaire)</t>
  </si>
  <si>
    <t>Bonus</t>
  </si>
  <si>
    <t>Appui à la formation</t>
  </si>
  <si>
    <t>Revenus issus de la commercialisation de la Part de la production de PETROSEN</t>
  </si>
  <si>
    <t>Loyer superficiel</t>
  </si>
  <si>
    <t>PATENTE</t>
  </si>
  <si>
    <t>Appui institutionnel aux collectivités locales</t>
  </si>
  <si>
    <t>Impôt du minimum fiscal</t>
  </si>
  <si>
    <t>Dividendes versés à l'Etat</t>
  </si>
  <si>
    <t>Contribution économique locale (CEL VA et CEL VL)</t>
  </si>
  <si>
    <t>Surtaxe foncière</t>
  </si>
  <si>
    <t>Taxe sur la valeur ajoutée</t>
  </si>
  <si>
    <t>DGD/DGCPT</t>
  </si>
  <si>
    <t>Prélèvement communautaire solidaire UEMOA</t>
  </si>
  <si>
    <t>Prélèvement communautaire CEDEAO</t>
  </si>
  <si>
    <t>Prélèvement pour le Conseil Sénégalais des Chargeurs (COSEC)</t>
  </si>
  <si>
    <t>Taxe d'enregistrement des véhicules</t>
  </si>
  <si>
    <t>Appui Institutionnel (Fonds d'appui au Mini. De l'Env)</t>
  </si>
  <si>
    <t>Cotisations sociales (y compris les pénalités)</t>
  </si>
  <si>
    <t>Autres flux de paiements significatifs (&gt; 25 millions de  FCFA)</t>
  </si>
  <si>
    <t>Tous</t>
  </si>
  <si>
    <t>Total Paiements en numéraire</t>
  </si>
  <si>
    <t xml:space="preserve">Paiements sociaux obligatoires </t>
  </si>
  <si>
    <t xml:space="preserve">Paiements sociaux volontaires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</si>
</sst>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;\(&quot;&quot;#,##0\);_-* &quot;-&quot;??_-;_-@_-"/>
    <numFmt numFmtId="165" formatCode="[$-40C]mmm\-yy;@"/>
    <numFmt numFmtId="166" formatCode="_(* #,##0_);_(* \(#,##0\);_(* &quot;-&quot;??_);_(@_)"/>
    <numFmt numFmtId="167" formatCode="#,##0_ ;[Red]\-#,##0\ "/>
    <numFmt numFmtId="168" formatCode="_-* #,##0.00\ _€_-;\-* #,##0.00\ _€_-;_-* &quot;-&quot;??\ _€_-;_-@_-"/>
    <numFmt numFmtId="169" formatCode="_-* #,##0\ _€_-;\-* #,##0\ _€_-;_-* &quot;-&quot;??\ _€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Kohinoor Devanagari"/>
      <family val="3"/>
    </font>
    <font>
      <sz val="11"/>
      <color theme="1"/>
      <name val="Kohinoor Devanagari"/>
      <family val="3"/>
    </font>
    <font>
      <sz val="9"/>
      <color theme="1"/>
      <name val="Kohinoor Devanagari"/>
      <family val="3"/>
    </font>
    <font>
      <u/>
      <sz val="11"/>
      <color theme="10"/>
      <name val="Kohinoor Devanagari"/>
      <family val="3"/>
    </font>
    <font>
      <i/>
      <sz val="11"/>
      <color theme="1"/>
      <name val="Kohinoor Devanagari"/>
      <family val="3"/>
    </font>
    <font>
      <sz val="8"/>
      <name val="Kohinoor Devanagari"/>
      <family val="3"/>
    </font>
    <font>
      <b/>
      <sz val="8"/>
      <name val="Kohinoor Devanagari"/>
      <family val="3"/>
    </font>
    <font>
      <b/>
      <sz val="8"/>
      <color theme="0"/>
      <name val="Kohinoor Devanagari"/>
      <family val="3"/>
    </font>
    <font>
      <b/>
      <sz val="8"/>
      <color rgb="FFFFFFFF"/>
      <name val="Kohinoor Devanagari"/>
      <family val="3"/>
    </font>
    <font>
      <sz val="11"/>
      <color rgb="FF000000"/>
      <name val="Calibri"/>
      <family val="2"/>
    </font>
    <font>
      <sz val="8"/>
      <color theme="0"/>
      <name val="Kohinoor Devanagari"/>
      <family val="3"/>
    </font>
    <font>
      <sz val="8"/>
      <color theme="1"/>
      <name val="Kohinoor Devanagari"/>
      <family val="3"/>
    </font>
    <font>
      <b/>
      <u/>
      <sz val="8"/>
      <name val="Kohinoor Devanagari"/>
      <family val="3"/>
    </font>
    <font>
      <b/>
      <u val="singleAccounting"/>
      <sz val="8"/>
      <name val="Kohinoor Devanagari"/>
      <family val="3"/>
    </font>
    <font>
      <sz val="10"/>
      <name val="Arial"/>
      <family val="2"/>
    </font>
    <font>
      <b/>
      <sz val="9"/>
      <color rgb="FFFFFFFF"/>
      <name val="Kohinoor Devanagari"/>
      <family val="3"/>
    </font>
    <font>
      <sz val="9"/>
      <name val="Kohinoor Devanagari"/>
      <family val="3"/>
    </font>
    <font>
      <sz val="14"/>
      <color theme="1"/>
      <name val="Kohinoor Devanagari"/>
      <family val="3"/>
    </font>
    <font>
      <b/>
      <sz val="9"/>
      <color theme="0"/>
      <name val="Kohinoor Devanagari"/>
      <family val="3"/>
    </font>
    <font>
      <sz val="9"/>
      <color theme="0"/>
      <name val="Kohinoor Devanagari"/>
      <family val="3"/>
    </font>
  </fonts>
  <fills count="10">
    <fill>
      <patternFill patternType="none"/>
    </fill>
    <fill>
      <patternFill patternType="gray125"/>
    </fill>
    <fill>
      <patternFill patternType="solid">
        <fgColor rgb="FF657C9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rgb="FFFF0000"/>
      </bottom>
      <diagonal/>
    </border>
    <border>
      <left/>
      <right/>
      <top style="thin">
        <color theme="0"/>
      </top>
      <bottom style="medium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2" fillId="0" borderId="0"/>
    <xf numFmtId="0" fontId="1" fillId="0" borderId="0"/>
    <xf numFmtId="0" fontId="17" fillId="0" borderId="0"/>
  </cellStyleXfs>
  <cellXfs count="10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2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 wrapText="1"/>
    </xf>
    <xf numFmtId="164" fontId="11" fillId="3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164" fontId="8" fillId="4" borderId="0" xfId="3" applyNumberFormat="1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64" fontId="8" fillId="0" borderId="0" xfId="3" applyNumberFormat="1" applyFont="1" applyAlignment="1">
      <alignment vertical="center"/>
    </xf>
    <xf numFmtId="0" fontId="9" fillId="5" borderId="0" xfId="0" applyFont="1" applyFill="1" applyAlignment="1">
      <alignment vertical="center"/>
    </xf>
    <xf numFmtId="0" fontId="9" fillId="5" borderId="0" xfId="0" applyFont="1" applyFill="1" applyAlignment="1">
      <alignment vertical="center" wrapText="1"/>
    </xf>
    <xf numFmtId="164" fontId="9" fillId="5" borderId="0" xfId="0" applyNumberFormat="1" applyFont="1" applyFill="1" applyAlignment="1">
      <alignment vertical="center"/>
    </xf>
    <xf numFmtId="164" fontId="10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3" fontId="14" fillId="0" borderId="0" xfId="4" applyNumberFormat="1" applyFont="1" applyAlignment="1">
      <alignment horizontal="right" vertical="center"/>
    </xf>
    <xf numFmtId="165" fontId="14" fillId="0" borderId="0" xfId="0" applyNumberFormat="1" applyFont="1"/>
    <xf numFmtId="0" fontId="9" fillId="6" borderId="0" xfId="0" applyFont="1" applyFill="1" applyAlignment="1">
      <alignment horizontal="right" vertical="center"/>
    </xf>
    <xf numFmtId="0" fontId="15" fillId="6" borderId="0" xfId="0" applyFont="1" applyFill="1" applyAlignment="1">
      <alignment horizontal="right" vertical="center"/>
    </xf>
    <xf numFmtId="164" fontId="16" fillId="6" borderId="0" xfId="0" applyNumberFormat="1" applyFont="1" applyFill="1" applyAlignment="1">
      <alignment vertical="center"/>
    </xf>
    <xf numFmtId="166" fontId="11" fillId="3" borderId="0" xfId="0" applyNumberFormat="1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167" fontId="8" fillId="4" borderId="0" xfId="5" applyNumberFormat="1" applyFont="1" applyFill="1" applyAlignment="1">
      <alignment horizontal="left" vertical="center" wrapText="1"/>
    </xf>
    <xf numFmtId="167" fontId="8" fillId="0" borderId="0" xfId="5" applyNumberFormat="1" applyFont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7" fontId="8" fillId="4" borderId="0" xfId="5" applyNumberFormat="1" applyFont="1" applyFill="1" applyAlignment="1">
      <alignment horizontal="left" vertical="center"/>
    </xf>
    <xf numFmtId="3" fontId="8" fillId="4" borderId="0" xfId="0" applyNumberFormat="1" applyFont="1" applyFill="1" applyAlignment="1">
      <alignment horizontal="right" vertical="center"/>
    </xf>
    <xf numFmtId="167" fontId="8" fillId="0" borderId="0" xfId="5" applyNumberFormat="1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3" fontId="4" fillId="0" borderId="0" xfId="0" applyNumberFormat="1" applyFont="1"/>
    <xf numFmtId="0" fontId="18" fillId="2" borderId="4" xfId="0" applyFont="1" applyFill="1" applyBorder="1" applyAlignment="1">
      <alignment horizontal="center" vertical="center"/>
    </xf>
    <xf numFmtId="168" fontId="18" fillId="2" borderId="4" xfId="1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167" fontId="19" fillId="4" borderId="0" xfId="5" applyNumberFormat="1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3" fontId="19" fillId="4" borderId="0" xfId="0" applyNumberFormat="1" applyFont="1" applyFill="1" applyAlignment="1">
      <alignment horizontal="right" vertical="center"/>
    </xf>
    <xf numFmtId="167" fontId="19" fillId="0" borderId="0" xfId="5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3" fontId="19" fillId="0" borderId="0" xfId="0" applyNumberFormat="1" applyFont="1" applyAlignment="1">
      <alignment horizontal="right" vertical="center"/>
    </xf>
    <xf numFmtId="3" fontId="5" fillId="0" borderId="0" xfId="0" applyNumberFormat="1" applyFont="1"/>
    <xf numFmtId="0" fontId="20" fillId="0" borderId="0" xfId="0" applyFont="1"/>
    <xf numFmtId="0" fontId="18" fillId="2" borderId="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168" fontId="19" fillId="0" borderId="0" xfId="1" applyFont="1" applyFill="1" applyBorder="1" applyAlignment="1">
      <alignment vertical="center"/>
    </xf>
    <xf numFmtId="169" fontId="19" fillId="0" borderId="0" xfId="1" applyNumberFormat="1" applyFont="1" applyFill="1" applyBorder="1" applyAlignment="1">
      <alignment vertical="center"/>
    </xf>
    <xf numFmtId="169" fontId="5" fillId="0" borderId="0" xfId="0" applyNumberFormat="1" applyFont="1"/>
    <xf numFmtId="168" fontId="19" fillId="4" borderId="0" xfId="1" applyFont="1" applyFill="1" applyBorder="1" applyAlignment="1">
      <alignment vertical="center"/>
    </xf>
    <xf numFmtId="169" fontId="19" fillId="4" borderId="0" xfId="1" applyNumberFormat="1" applyFont="1" applyFill="1" applyBorder="1" applyAlignment="1">
      <alignment vertical="center"/>
    </xf>
    <xf numFmtId="0" fontId="21" fillId="7" borderId="6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left" vertical="center"/>
    </xf>
    <xf numFmtId="0" fontId="21" fillId="8" borderId="9" xfId="0" applyFont="1" applyFill="1" applyBorder="1" applyAlignment="1">
      <alignment horizontal="left" vertical="center"/>
    </xf>
    <xf numFmtId="0" fontId="5" fillId="8" borderId="10" xfId="0" applyFont="1" applyFill="1" applyBorder="1" applyAlignment="1">
      <alignment horizontal="center" vertical="center"/>
    </xf>
    <xf numFmtId="166" fontId="21" fillId="8" borderId="10" xfId="0" applyNumberFormat="1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168" fontId="19" fillId="0" borderId="11" xfId="1" applyFont="1" applyBorder="1" applyAlignment="1">
      <alignment vertical="center"/>
    </xf>
    <xf numFmtId="0" fontId="19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21" fillId="7" borderId="12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left" vertical="center"/>
    </xf>
    <xf numFmtId="0" fontId="19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left" vertical="center"/>
    </xf>
    <xf numFmtId="0" fontId="21" fillId="7" borderId="15" xfId="0" applyFont="1" applyFill="1" applyBorder="1" applyAlignment="1">
      <alignment horizontal="center" vertical="center" wrapText="1"/>
    </xf>
    <xf numFmtId="0" fontId="21" fillId="7" borderId="13" xfId="0" applyFont="1" applyFill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left" vertical="center"/>
    </xf>
    <xf numFmtId="0" fontId="19" fillId="9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left" vertical="center" wrapText="1"/>
    </xf>
    <xf numFmtId="0" fontId="19" fillId="9" borderId="14" xfId="0" applyFont="1" applyFill="1" applyBorder="1" applyAlignment="1">
      <alignment horizontal="left" vertical="center"/>
    </xf>
    <xf numFmtId="0" fontId="19" fillId="9" borderId="12" xfId="0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19" fillId="9" borderId="16" xfId="0" applyFont="1" applyFill="1" applyBorder="1" applyAlignment="1">
      <alignment horizontal="left" vertical="center"/>
    </xf>
    <xf numFmtId="0" fontId="21" fillId="7" borderId="17" xfId="0" applyFont="1" applyFill="1" applyBorder="1" applyAlignment="1">
      <alignment horizontal="center" vertical="center" wrapText="1"/>
    </xf>
    <xf numFmtId="0" fontId="19" fillId="9" borderId="18" xfId="0" applyFont="1" applyFill="1" applyBorder="1" applyAlignment="1">
      <alignment horizontal="left" vertical="center"/>
    </xf>
    <xf numFmtId="0" fontId="19" fillId="0" borderId="19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9" borderId="17" xfId="0" applyFont="1" applyFill="1" applyBorder="1" applyAlignment="1">
      <alignment horizontal="left" vertical="center"/>
    </xf>
    <xf numFmtId="0" fontId="22" fillId="7" borderId="11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166" fontId="21" fillId="7" borderId="11" xfId="0" applyNumberFormat="1" applyFont="1" applyFill="1" applyBorder="1" applyAlignment="1">
      <alignment vertical="center"/>
    </xf>
  </cellXfs>
  <cellStyles count="6">
    <cellStyle name="Lien hypertexte" xfId="2" builtinId="8"/>
    <cellStyle name="Milliers" xfId="1" builtinId="3"/>
    <cellStyle name="Normal" xfId="0" builtinId="0"/>
    <cellStyle name="Normal 2" xfId="4" xr:uid="{7141CF33-B62B-4E27-9368-F5709BF77743}"/>
    <cellStyle name="Normal 2 5" xfId="5" xr:uid="{00E7B5F7-6279-4A87-8366-725506066C53}"/>
    <cellStyle name="Normal 5" xfId="3" xr:uid="{28CA7A67-BB40-4A3F-BA2B-3253B0EBD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0e973c6f13dd50d/BDO/01-Assignment/28%20-%20Senegal%20-%20EITI%202021/Reporting/Pr&#233;-final/Pr&#233;final%20-%2020-12-2022/Database_ITIE%20S&#233;n&#233;gal_2021_10.11.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586591ac1fcef3e/02.%20Worls%202021/04-%20BDO_Consulting/02-%20ITIE%20S&#233;n&#233;gal/03-%20Travaux/03-%20Reporting/05.Pr&#233;final%20rapport/Database_ITIE%20S&#233;n&#233;gal_2019_%20(Pr&#233;-fina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Follow-up"/>
      <sheetName val="Taxes"/>
      <sheetName val="Lists"/>
      <sheetName val="Cours"/>
      <sheetName val="C (1)"/>
      <sheetName val="Production"/>
      <sheetName val="Exportation"/>
      <sheetName val="C (2)"/>
      <sheetName val="C (3)"/>
      <sheetName val="C (4)"/>
      <sheetName val="C (5)"/>
      <sheetName val="C (6)"/>
      <sheetName val="C (7)"/>
      <sheetName val="C (8)"/>
      <sheetName val="C (9)"/>
      <sheetName val="C (10)"/>
      <sheetName val="cv"/>
      <sheetName val="C (11)"/>
      <sheetName val="C (12)"/>
      <sheetName val="C (13)"/>
      <sheetName val="C (14)"/>
      <sheetName val="C (15)"/>
      <sheetName val="C (16)"/>
      <sheetName val="C (17)"/>
      <sheetName val="C (18)"/>
      <sheetName val="C (19)"/>
      <sheetName val="C (20)"/>
      <sheetName val="C (21)"/>
      <sheetName val="C (22)"/>
      <sheetName val="C (23)"/>
      <sheetName val="C (24)"/>
      <sheetName val="C (25)"/>
      <sheetName val="C (26)"/>
      <sheetName val="C (27)"/>
      <sheetName val="C (28)"/>
      <sheetName val="C (29)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"/>
      <sheetName val="Ajust par Comp (C)"/>
      <sheetName val="Ajust par Taxe (C)"/>
      <sheetName val="Ajust par Comp (Gov)"/>
      <sheetName val="Ajust par Taxe (Gov)"/>
      <sheetName val="Unrec diff Comp"/>
      <sheetName val="Unrec diff Tax"/>
      <sheetName val="Déclaration unilatérale"/>
      <sheetName val="Budget de l'ETAT "/>
      <sheetName val="Octroi"/>
      <sheetName val="Unrec diff Tax vs Comp"/>
      <sheetName val="Unrec diff Comp vs Tax"/>
    </sheetNames>
    <sheetDataSet>
      <sheetData sheetId="0">
        <row r="3">
          <cell r="B3" t="str">
            <v>La Société des Mines de Fer du Sénégal Oriental (MIFERSO)</v>
          </cell>
          <cell r="C3" t="str">
            <v>0023896 2G3</v>
          </cell>
        </row>
        <row r="4">
          <cell r="B4" t="str">
            <v>Société de Commercialisation du Ciment (SOCOCIM)</v>
          </cell>
          <cell r="C4" t="str">
            <v>0016627 2G3</v>
          </cell>
        </row>
        <row r="5">
          <cell r="B5" t="str">
            <v>Sabodala Gold Operations (SGO)</v>
          </cell>
          <cell r="C5" t="str">
            <v>2850023 2G3</v>
          </cell>
        </row>
      </sheetData>
      <sheetData sheetId="1"/>
      <sheetData sheetId="2"/>
      <sheetData sheetId="3">
        <row r="3">
          <cell r="A3">
            <v>2021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Follow-up"/>
      <sheetName val="Taxes"/>
      <sheetName val="Govt Ag"/>
      <sheetName val="Lists"/>
      <sheetName val="Cours"/>
      <sheetName val="C (1)"/>
      <sheetName val="Minerals &amp; Products"/>
      <sheetName val="Companies info"/>
      <sheetName val="Profil des société"/>
      <sheetName val="Paiements Sociaux"/>
      <sheetName val="Tableau des effectifs"/>
      <sheetName val="Audit "/>
      <sheetName val="Production"/>
      <sheetName val="Exportation"/>
      <sheetName val="Mail"/>
      <sheetName val="Titre Minier"/>
      <sheetName val="C (2)"/>
      <sheetName val="Sheet1"/>
      <sheetName val="C (3)"/>
      <sheetName val="C (4)"/>
      <sheetName val="C (5)"/>
      <sheetName val="C (6)"/>
      <sheetName val="C (7)"/>
      <sheetName val="C (8)"/>
      <sheetName val="C (9)"/>
      <sheetName val="C (10)"/>
      <sheetName val="c"/>
      <sheetName val="cv"/>
      <sheetName val="C (11)"/>
      <sheetName val="C (12)"/>
      <sheetName val="C (13)"/>
      <sheetName val="ccc"/>
      <sheetName val="C (14)"/>
      <sheetName val="C (15)"/>
      <sheetName val="C (16)"/>
      <sheetName val="C (17)"/>
      <sheetName val="C (18)"/>
      <sheetName val="C (19)"/>
      <sheetName val="C (20) nat"/>
      <sheetName val="C (20)"/>
      <sheetName val="C (21)"/>
      <sheetName val="C (22)"/>
      <sheetName val="C (23)"/>
      <sheetName val="C (24)"/>
      <sheetName val="C (25)"/>
      <sheetName val="C (26)"/>
      <sheetName val="Section 1-1"/>
      <sheetName val="Paiement Sociaux"/>
      <sheetName val="Tableau 4"/>
      <sheetName val="Annex 9 2018 (2)"/>
      <sheetName val="5.3"/>
      <sheetName val="5.4"/>
      <sheetName val="Section 1"/>
      <sheetName val="6.1.1"/>
      <sheetName val="6.1.2 Pétrolier"/>
      <sheetName val="6.1.2 minier"/>
      <sheetName val="6.2"/>
      <sheetName val="6.1.3"/>
      <sheetName val="6.4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Feuil2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 (2)"/>
      <sheetName val="Total Ajust"/>
      <sheetName val="Ajust par Comp (C)"/>
      <sheetName val="Ajust par Taxe (C)"/>
      <sheetName val="Ajust par Comp (Gov)"/>
      <sheetName val="Ajust par Taxe (Gov)"/>
      <sheetName val="Results Pétrole"/>
      <sheetName val="Results Mine"/>
      <sheetName val="Secteur Extractif"/>
      <sheetName val="Paiement 2012"/>
      <sheetName val="Secteur Extractif en Million"/>
      <sheetName val="Reporting by Comp Mandat"/>
      <sheetName val="COTCO"/>
      <sheetName val="Contextuel"/>
      <sheetName val="Production Rapport"/>
      <sheetName val="Paiement Sociaux (Rapp)"/>
      <sheetName val="Transferts Infra"/>
      <sheetName val="Contextual"/>
      <sheetName val="Etat permis d'exploitation"/>
      <sheetName val="Etat permis de recherche"/>
      <sheetName val="Unrec diff Tax vs Comp"/>
      <sheetName val="Unrec diff Comp"/>
      <sheetName val="Unrec diff Tax"/>
      <sheetName val="Annexes 1-2"/>
      <sheetName val="Annexes 3-4"/>
      <sheetName val="Annexes 5-6"/>
      <sheetName val="Annexes Fsseurs"/>
      <sheetName val="Annexes 7-8"/>
      <sheetName val="Feuil1"/>
      <sheetName val="Annexe 9 2017"/>
      <sheetName val="Déclaration unilatérale"/>
      <sheetName val="Annexe 10"/>
      <sheetName val="Section 1,1"/>
      <sheetName val="Budget de l'ETAT "/>
      <sheetName val="Annexe 10 (2)"/>
      <sheetName val="Annexes 11-12"/>
      <sheetName val="Annexe 14"/>
      <sheetName val="Annexe 15"/>
      <sheetName val="Annexe 17"/>
      <sheetName val="Annexe 18"/>
      <sheetName val="Octroi"/>
      <sheetName val="Annexes parties 6"/>
      <sheetName val="Unrec diff Comp vs Tax"/>
      <sheetName val="Nbr Comp per activity"/>
      <sheetName val="Recommendations"/>
      <sheetName val="Recomm"/>
      <sheetName val="News"/>
    </sheetNames>
    <sheetDataSet>
      <sheetData sheetId="0"/>
      <sheetData sheetId="1"/>
      <sheetData sheetId="2"/>
      <sheetData sheetId="3"/>
      <sheetData sheetId="4">
        <row r="7">
          <cell r="A7" t="str">
            <v xml:space="preserve">1- Part de la production de l'État (Profit Oil État) </v>
          </cell>
        </row>
        <row r="8">
          <cell r="A8" t="str">
            <v xml:space="preserve">2- Part de la production de PETROSEN (Profit Oil - Cost Oil PETROSEN) </v>
          </cell>
        </row>
        <row r="9">
          <cell r="A9" t="str">
            <v xml:space="preserve">3- Redevance minière </v>
          </cell>
        </row>
        <row r="10">
          <cell r="A10" t="str">
            <v>4- Appui institutionnel</v>
          </cell>
        </row>
        <row r="11">
          <cell r="A11" t="str">
            <v>5- Droits d'entrée fixes</v>
          </cell>
        </row>
        <row r="12">
          <cell r="A12" t="str">
            <v>6- Bonus (DMG)</v>
          </cell>
        </row>
        <row r="13">
          <cell r="A13" t="str">
            <v>7- Redevance superficiaire</v>
          </cell>
        </row>
        <row r="14">
          <cell r="A14" t="str">
            <v>8- Bonus (PETROSEN)</v>
          </cell>
        </row>
        <row r="15">
          <cell r="A15" t="str">
            <v xml:space="preserve">9- Appui à la formation </v>
          </cell>
        </row>
        <row r="16">
          <cell r="A16" t="str">
            <v>10- Appui à l'équipement</v>
          </cell>
        </row>
        <row r="17">
          <cell r="A17" t="str">
            <v xml:space="preserve">11- Revenus issus de la commercialisation de la Part de la production de l'État </v>
          </cell>
        </row>
        <row r="18">
          <cell r="A18" t="str">
            <v xml:space="preserve">12- Loyer superficiaire </v>
          </cell>
        </row>
        <row r="19">
          <cell r="A19" t="str">
            <v>13- Pénalités versées à PETROSEN</v>
          </cell>
        </row>
        <row r="20">
          <cell r="A20" t="str">
            <v>14- Redevance</v>
          </cell>
        </row>
        <row r="21">
          <cell r="A21" t="str">
            <v>15- Achat de données sismiques</v>
          </cell>
        </row>
        <row r="22">
          <cell r="A22" t="str">
            <v xml:space="preserve">16- Revenus issus de la commercialisation de la Part de la production de l'État </v>
          </cell>
        </row>
        <row r="23">
          <cell r="A23" t="str">
            <v>17- Patente</v>
          </cell>
        </row>
        <row r="24">
          <cell r="A24" t="str">
            <v>18- Contribution foncière des propriétés bâties (CFPB)</v>
          </cell>
        </row>
        <row r="25">
          <cell r="A25" t="str">
            <v>19- Contribution foncière des propriétés non bâties (CFPNB)</v>
          </cell>
        </row>
        <row r="26">
          <cell r="A26" t="str">
            <v xml:space="preserve">20- Appui institutionnel aux collectivités locales </v>
          </cell>
        </row>
        <row r="27">
          <cell r="A27" t="str">
            <v xml:space="preserve">21- Impôt du minimum fiscal </v>
          </cell>
        </row>
        <row r="28">
          <cell r="A28" t="str">
            <v xml:space="preserve">22- Dividendes versés à l'Etat </v>
          </cell>
        </row>
        <row r="29">
          <cell r="A29" t="str">
            <v>23- Frais d'inscription d'une concession minière ou d'un permis d'exploitation</v>
          </cell>
        </row>
        <row r="30">
          <cell r="A30" t="str">
            <v>24- Bonus (DGCPT)</v>
          </cell>
        </row>
        <row r="31">
          <cell r="A31" t="str">
            <v xml:space="preserve">25- Contribution économique locale (CEL VA et CEL VL) </v>
          </cell>
        </row>
        <row r="32">
          <cell r="A32" t="str">
            <v>26- Taxe sur la valeur ajoutée reversée</v>
          </cell>
        </row>
        <row r="33">
          <cell r="A33" t="str">
            <v>27- Retenues à la source sur salaires (IR, TRIMF et CFCE)</v>
          </cell>
        </row>
        <row r="34">
          <cell r="A34" t="str">
            <v>28- Redressements fiscaux</v>
          </cell>
        </row>
        <row r="35">
          <cell r="A35" t="str">
            <v>29 - (a)- Impôt sur les sociétés</v>
          </cell>
        </row>
        <row r="36">
          <cell r="A36" t="str">
            <v>29 - (b)- Impôt sur les sociétés (bénéfices non pétroliers/miniers )</v>
          </cell>
        </row>
        <row r="37">
          <cell r="A37" t="str">
            <v>30- Retenues à la source sur bénéfice non commercial</v>
          </cell>
        </row>
        <row r="38">
          <cell r="A38" t="str">
            <v>31- Contribution spéciale sur les produits des mines et des carrières (CSMC)</v>
          </cell>
        </row>
        <row r="39">
          <cell r="A39" t="str">
            <v>32- Retenue à la source sur sommes versées à des tiers</v>
          </cell>
        </row>
        <row r="40">
          <cell r="A40" t="str">
            <v>33- Taxe sur la valeur ajoutée précomptée</v>
          </cell>
        </row>
        <row r="41">
          <cell r="A41" t="str">
            <v>34- Impôt minimum forfaitaire</v>
          </cell>
        </row>
        <row r="42">
          <cell r="A42" t="str">
            <v>35- Bonus (DGID)</v>
          </cell>
        </row>
        <row r="43">
          <cell r="A43" t="str">
            <v xml:space="preserve">36- Surtaxe foncière </v>
          </cell>
        </row>
        <row r="44">
          <cell r="A44" t="str">
            <v>37- Impôt sur le revenu des valeurs mobilières</v>
          </cell>
        </row>
        <row r="45">
          <cell r="A45" t="str">
            <v>38- Taxe spéciale sur le ciment</v>
          </cell>
        </row>
        <row r="46">
          <cell r="A46" t="str">
            <v xml:space="preserve">39- Frais d'inscription d'une concession minière ou d'un permis d'exploitation </v>
          </cell>
        </row>
        <row r="47">
          <cell r="A47" t="str">
            <v xml:space="preserve">40- Taxe sur la valeur ajoutée </v>
          </cell>
        </row>
        <row r="48">
          <cell r="A48" t="str">
            <v xml:space="preserve">41- Prélèvement communautaire solidaire UEMOA </v>
          </cell>
        </row>
        <row r="49">
          <cell r="A49" t="str">
            <v>42- Redevance statistique UEMOA</v>
          </cell>
        </row>
        <row r="71">
          <cell r="A71" t="str">
            <v>Taxes payées non reportées</v>
          </cell>
        </row>
        <row r="72">
          <cell r="A72" t="str">
            <v>Taxes payées hors période de réconciliation</v>
          </cell>
        </row>
        <row r="73">
          <cell r="A73" t="str">
            <v>Taxes hors périmètre de réconciliation</v>
          </cell>
        </row>
        <row r="74">
          <cell r="A74" t="str">
            <v>Erreur de reporting (montant et détail)</v>
          </cell>
        </row>
        <row r="75">
          <cell r="A75" t="str">
            <v>Taxes reportées non payées</v>
          </cell>
        </row>
        <row r="76">
          <cell r="A76" t="str">
            <v>Montant doublement déclaré</v>
          </cell>
        </row>
        <row r="77">
          <cell r="A77" t="str">
            <v>Erreur de classification</v>
          </cell>
        </row>
        <row r="78">
          <cell r="A78" t="str">
            <v>Taxes payées sous un autre UFI</v>
          </cell>
        </row>
        <row r="79">
          <cell r="A79" t="str">
            <v>Différence de change</v>
          </cell>
        </row>
        <row r="83">
          <cell r="A83" t="str">
            <v>Taxes perçues non reportées par l'Etat</v>
          </cell>
        </row>
        <row r="84">
          <cell r="A84" t="str">
            <v>Montant doublement déclaré</v>
          </cell>
        </row>
        <row r="85">
          <cell r="A85" t="str">
            <v>Taxes perçues hors de la période de réconciliation</v>
          </cell>
        </row>
        <row r="86">
          <cell r="A86" t="str">
            <v>Erreur de reporting (montant et détail)</v>
          </cell>
        </row>
        <row r="87">
          <cell r="A87" t="str">
            <v>Taxe reportée par l'Etat non réellement encaissée</v>
          </cell>
        </row>
        <row r="88">
          <cell r="A88" t="str">
            <v>Erreur de classification</v>
          </cell>
        </row>
        <row r="89">
          <cell r="A89" t="str">
            <v>Taxes payées par la Ste sur un autre IFU non reporté par l'Etat</v>
          </cell>
        </row>
        <row r="90">
          <cell r="A90" t="str">
            <v>Taxes hors périmètre de réconciliation</v>
          </cell>
        </row>
        <row r="94">
          <cell r="A94" t="str">
            <v>FD non soumis par la Société</v>
          </cell>
        </row>
        <row r="95">
          <cell r="A95" t="str">
            <v>FD non soumis par l'Etat</v>
          </cell>
        </row>
        <row r="96">
          <cell r="A96" t="str">
            <v>Différences provenant de détail soumis par la société et non soumis par l'Etat d'un coté et détail soumis pas l'Etat et non soumis par la société de l'autre coté</v>
          </cell>
        </row>
        <row r="97">
          <cell r="A97" t="str">
            <v>Supporting documents do not match Govt Body report</v>
          </cell>
        </row>
        <row r="98">
          <cell r="A98" t="str">
            <v xml:space="preserve">Détail par quittance non soumis par l'Entreprise Extractive </v>
          </cell>
        </row>
        <row r="99">
          <cell r="A99" t="str">
            <v>Détail non soumis par l'Etat</v>
          </cell>
        </row>
        <row r="100">
          <cell r="A100" t="str">
            <v>Taxes non reportées par l'Entreprise Extractive</v>
          </cell>
        </row>
        <row r="101">
          <cell r="A101" t="str">
            <v>Taxes non reportées par l'Etat</v>
          </cell>
        </row>
        <row r="102">
          <cell r="A102" t="str">
            <v>Montants non reportés par l'Etat</v>
          </cell>
        </row>
        <row r="103">
          <cell r="A103" t="str">
            <v>Différence de classification</v>
          </cell>
        </row>
        <row r="104">
          <cell r="A104" t="str">
            <v>Montants non reportés par la société</v>
          </cell>
        </row>
        <row r="105">
          <cell r="A105" t="str">
            <v>Non significatif &lt; 500 000 FCFA</v>
          </cell>
        </row>
      </sheetData>
      <sheetData sheetId="5">
        <row r="4">
          <cell r="E4">
            <v>585.96749999999997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C9F7-EB63-49FB-B037-8995833C5F80}">
  <dimension ref="B2:C32"/>
  <sheetViews>
    <sheetView showGridLines="0" tabSelected="1" zoomScale="80" zoomScaleNormal="80" workbookViewId="0">
      <selection activeCell="H8" sqref="H8"/>
    </sheetView>
  </sheetViews>
  <sheetFormatPr baseColWidth="10" defaultColWidth="12.36328125" defaultRowHeight="14.5"/>
  <cols>
    <col min="1" max="1" width="6.90625" style="2" customWidth="1"/>
    <col min="2" max="2" width="19.7265625" style="2" customWidth="1"/>
    <col min="3" max="16384" width="12.36328125" style="2"/>
  </cols>
  <sheetData>
    <row r="2" spans="2:3" ht="18.5">
      <c r="B2" s="1" t="s">
        <v>0</v>
      </c>
    </row>
    <row r="3" spans="2:3">
      <c r="B3" s="3"/>
    </row>
    <row r="4" spans="2:3">
      <c r="B4" s="4" t="s">
        <v>1</v>
      </c>
      <c r="C4" s="5" t="s">
        <v>2</v>
      </c>
    </row>
    <row r="5" spans="2:3">
      <c r="B5" s="4" t="s">
        <v>3</v>
      </c>
      <c r="C5" s="5" t="s">
        <v>4</v>
      </c>
    </row>
    <row r="6" spans="2:3">
      <c r="B6" s="4" t="s">
        <v>5</v>
      </c>
      <c r="C6" s="5" t="s">
        <v>6</v>
      </c>
    </row>
    <row r="7" spans="2:3">
      <c r="B7" s="4" t="s">
        <v>7</v>
      </c>
      <c r="C7" s="5" t="s">
        <v>8</v>
      </c>
    </row>
    <row r="8" spans="2:3">
      <c r="B8" s="4" t="s">
        <v>9</v>
      </c>
      <c r="C8" s="5" t="s">
        <v>10</v>
      </c>
    </row>
    <row r="9" spans="2:3">
      <c r="B9" s="4" t="s">
        <v>11</v>
      </c>
      <c r="C9" s="5" t="s">
        <v>12</v>
      </c>
    </row>
    <row r="10" spans="2:3">
      <c r="B10" s="4" t="s">
        <v>13</v>
      </c>
      <c r="C10" s="5" t="s">
        <v>14</v>
      </c>
    </row>
    <row r="11" spans="2:3">
      <c r="B11" s="4" t="s">
        <v>15</v>
      </c>
      <c r="C11" s="5" t="s">
        <v>16</v>
      </c>
    </row>
    <row r="12" spans="2:3">
      <c r="B12" s="4" t="s">
        <v>17</v>
      </c>
      <c r="C12" s="5" t="s">
        <v>18</v>
      </c>
    </row>
    <row r="13" spans="2:3">
      <c r="B13" s="4" t="s">
        <v>19</v>
      </c>
      <c r="C13" s="5" t="s">
        <v>20</v>
      </c>
    </row>
    <row r="14" spans="2:3">
      <c r="B14" s="4" t="s">
        <v>21</v>
      </c>
      <c r="C14" s="5" t="s">
        <v>22</v>
      </c>
    </row>
    <row r="15" spans="2:3">
      <c r="B15" s="4" t="s">
        <v>23</v>
      </c>
      <c r="C15" s="5" t="s">
        <v>24</v>
      </c>
    </row>
    <row r="16" spans="2:3">
      <c r="B16" s="4" t="s">
        <v>25</v>
      </c>
      <c r="C16" s="5" t="s">
        <v>26</v>
      </c>
    </row>
    <row r="17" spans="2:3">
      <c r="B17" s="4" t="s">
        <v>27</v>
      </c>
      <c r="C17" s="5" t="s">
        <v>28</v>
      </c>
    </row>
    <row r="18" spans="2:3">
      <c r="B18" s="4" t="s">
        <v>29</v>
      </c>
      <c r="C18" s="5" t="s">
        <v>30</v>
      </c>
    </row>
    <row r="19" spans="2:3">
      <c r="B19" s="4" t="s">
        <v>31</v>
      </c>
      <c r="C19" s="5" t="s">
        <v>32</v>
      </c>
    </row>
    <row r="20" spans="2:3">
      <c r="B20" s="4" t="s">
        <v>33</v>
      </c>
      <c r="C20" s="5" t="s">
        <v>34</v>
      </c>
    </row>
    <row r="21" spans="2:3">
      <c r="B21" s="4" t="s">
        <v>35</v>
      </c>
      <c r="C21" s="5" t="s">
        <v>36</v>
      </c>
    </row>
    <row r="22" spans="2:3">
      <c r="B22" s="4" t="s">
        <v>37</v>
      </c>
      <c r="C22" s="5" t="s">
        <v>38</v>
      </c>
    </row>
    <row r="23" spans="2:3">
      <c r="B23" s="4" t="s">
        <v>39</v>
      </c>
      <c r="C23" s="5" t="s">
        <v>40</v>
      </c>
    </row>
    <row r="24" spans="2:3">
      <c r="B24" s="4" t="s">
        <v>41</v>
      </c>
      <c r="C24" s="5" t="s">
        <v>42</v>
      </c>
    </row>
    <row r="25" spans="2:3">
      <c r="B25" s="4" t="s">
        <v>43</v>
      </c>
      <c r="C25" s="5" t="s">
        <v>44</v>
      </c>
    </row>
    <row r="26" spans="2:3">
      <c r="B26" s="4" t="s">
        <v>45</v>
      </c>
      <c r="C26" s="5" t="s">
        <v>46</v>
      </c>
    </row>
    <row r="27" spans="2:3">
      <c r="B27" s="4" t="s">
        <v>47</v>
      </c>
      <c r="C27" s="5" t="s">
        <v>48</v>
      </c>
    </row>
    <row r="28" spans="2:3">
      <c r="B28" s="4" t="s">
        <v>49</v>
      </c>
      <c r="C28" s="5" t="s">
        <v>50</v>
      </c>
    </row>
    <row r="29" spans="2:3">
      <c r="B29" s="4" t="s">
        <v>51</v>
      </c>
      <c r="C29" s="5" t="s">
        <v>52</v>
      </c>
    </row>
    <row r="30" spans="2:3">
      <c r="B30" s="4" t="s">
        <v>53</v>
      </c>
      <c r="C30" s="2" t="s">
        <v>54</v>
      </c>
    </row>
    <row r="31" spans="2:3">
      <c r="B31" s="4" t="s">
        <v>55</v>
      </c>
      <c r="C31" s="2" t="s">
        <v>56</v>
      </c>
    </row>
    <row r="32" spans="2:3">
      <c r="B32" s="4" t="s">
        <v>57</v>
      </c>
      <c r="C32" s="2" t="s">
        <v>58</v>
      </c>
    </row>
  </sheetData>
  <hyperlinks>
    <hyperlink ref="B4" location="'Annexe 11-(1)'!A1" display="Annexe 11-(1)" xr:uid="{380655DF-3C5C-4154-9D1E-1BF33B14D82E}"/>
    <hyperlink ref="B5" location="'Annexe 11-(2)'!A1" display="Annexe 11-(2)" xr:uid="{5C076FAD-AE13-49FA-8E40-5441FA629A4D}"/>
    <hyperlink ref="B6" location="'Annexe 11-(3)'!A1" display="Annexe 11-(3)" xr:uid="{BF58F54C-6811-4039-8CE1-2AA7501A9455}"/>
    <hyperlink ref="B7" location="'Annexe 11-(4)'!A1" display="Annexe 11-(4)" xr:uid="{31FAC4C6-ECF5-4D22-A714-728057F04D99}"/>
    <hyperlink ref="B8" location="'Annexe 11-(5)'!A1" display="Annexe 11-(5)" xr:uid="{F8CBD2C6-2E77-41A3-BDCA-D14622F4C8ED}"/>
    <hyperlink ref="B9" location="'Annexe 11-(6)'!A1" display="Annexe 11-(6)" xr:uid="{D0554B55-56DE-4F52-97AD-1A2EE8CAA51F}"/>
    <hyperlink ref="B10" location="'Annexe 11-(7)'!A1" display="Annexe 11-(7)" xr:uid="{FE102C92-8115-4DCC-8F4E-3A212A81A784}"/>
    <hyperlink ref="B11" location="'Annexe 11-(8)'!A1" display="Annexe 11-(8)" xr:uid="{AA2D1468-59A0-43F7-B4F2-F1AA815C0942}"/>
    <hyperlink ref="B12" location="'Annexe 11-(9)'!A1" display="Annexe 11-(9)" xr:uid="{F8DCB58E-B922-429E-9EC3-D9E19EA7CA02}"/>
    <hyperlink ref="B13" location="'Annexe 11-(10)'!A1" display="Annexe 11-(10)" xr:uid="{112D80F3-72B1-4A3D-A544-45BC59F398B5}"/>
    <hyperlink ref="B14" location="'Annexe 11-(11)'!A1" display="Annexe 11-(11)" xr:uid="{166B327A-1439-4003-9246-3FF5649AFA30}"/>
    <hyperlink ref="B15" location="'Annexe 11-(12)'!A1" display="Annexe 11-(12)" xr:uid="{DE887B80-1BB2-419B-8492-775297FC1260}"/>
    <hyperlink ref="B16" location="'Annexe 11-(13)'!A1" display="Annexe 11-(13)" xr:uid="{C541AA76-E8E8-4C34-A1AE-E427FCC61EC8}"/>
    <hyperlink ref="B17" location="'Annexe 11-(14)'!A1" display="Annexe 11-(14)" xr:uid="{D69941BB-A722-4DA6-8401-BAF3A7CCFA8F}"/>
    <hyperlink ref="B18" location="'Annexe 11-(15)'!A1" display="Annexe 11-(15)" xr:uid="{E7D7819E-8264-484C-8AEE-42DE7BA575D7}"/>
    <hyperlink ref="B19" location="'Annexe 11-(16)'!A1" display="Annexe 11-(16)" xr:uid="{8BE5F037-5D1E-4FDF-9D8B-D765DB97B6EB}"/>
    <hyperlink ref="B20" location="'Annexe 11-(17)'!A1" display="Annexe 11-(17)" xr:uid="{67A1C76B-515C-4A04-9DFC-D401D763F832}"/>
    <hyperlink ref="B21" location="'Annexe 11-(18)'!A1" display="Annexe 11-(18)" xr:uid="{B28AD862-077B-46D9-8F4B-7E220550013F}"/>
    <hyperlink ref="B22" location="'Annexe 11-(19)'!A1" display="Annexe 11-(19)" xr:uid="{BAC9245B-6668-4EBC-A314-FE7EA4E1F61E}"/>
    <hyperlink ref="B23" location="'Annexe 11-(20)'!A1" display="Annexe 11-(20)" xr:uid="{C8E5FA86-2CEF-425E-9EEE-D04C388D35F6}"/>
    <hyperlink ref="B24" location="'Annexe 11-(21)'!A1" display="Annexe 11-(21)" xr:uid="{9E6BA6E5-360E-4A40-BAAF-4B7CAA075DAD}"/>
    <hyperlink ref="B25" location="'Annexe 11-(22)'!A1" display="Annexe 11-(22)" xr:uid="{5E9857C4-9B85-4687-9CD1-C2A71D2432E1}"/>
    <hyperlink ref="B26" location="'Annexe 11-(23)'!A1" display="Annexe 11-(23)" xr:uid="{3A969B79-DE30-4C39-AD47-3BF1134AED04}"/>
    <hyperlink ref="B27" location="'Annexe 11-(24)'!A1" display="Annexe 11-(24)" xr:uid="{5D43BC91-F364-4D42-9855-E30F30AF2B1A}"/>
    <hyperlink ref="B28" location="'Annexe 11-(25)'!A1" display="Annexe 11-(25)" xr:uid="{5273A7C6-39D5-4E68-AF4E-1C395EDF2EC0}"/>
    <hyperlink ref="B29" location="'Annexe 11-(26)'!A1" display="Annexe 11-(26)" xr:uid="{C1B61991-C18E-4AB9-9422-A1FB57C0F998}"/>
    <hyperlink ref="B30:B32" location="'Annexe 12-(26)'!A1" display="Annexe 12-(26)" xr:uid="{63B02120-0C0F-4464-8C80-6799864E2930}"/>
    <hyperlink ref="B30" location="'Annexe 11-(27)'!A1" display="Annexe 11-(27)" xr:uid="{6FBE0EDC-D1AD-44EB-AE00-2C00A1BDC77E}"/>
    <hyperlink ref="B31" location="'Annexe 11-(28)'!A1" display="Annexe 11-(28)" xr:uid="{A79F6AF4-D9CA-42C3-9BED-93F924C735D2}"/>
    <hyperlink ref="B32" location="'Annexe 11-(29)'!A1" display="Annexe 11-(29)" xr:uid="{808F6772-233B-4469-86E5-53EA59D606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8C6D-A564-4B6C-AF8F-C7322B61DE57}">
  <dimension ref="A1:M76"/>
  <sheetViews>
    <sheetView showGridLines="0" zoomScale="80" zoomScaleNormal="80" workbookViewId="0">
      <selection activeCell="C21" sqref="C21"/>
    </sheetView>
  </sheetViews>
  <sheetFormatPr baseColWidth="10" defaultColWidth="12.36328125" defaultRowHeight="12"/>
  <cols>
    <col min="1" max="1" width="6.90625" style="3" customWidth="1"/>
    <col min="2" max="2" width="6.6328125" style="6" customWidth="1"/>
    <col min="3" max="3" width="62.1796875" style="33" customWidth="1"/>
    <col min="4" max="4" width="0.90625" style="8" customWidth="1"/>
    <col min="5" max="5" width="16.7265625" style="8" customWidth="1"/>
    <col min="6" max="6" width="14.81640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3.453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36328125" style="3"/>
  </cols>
  <sheetData>
    <row r="1" spans="2:13" ht="44">
      <c r="B1" s="6" t="s">
        <v>59</v>
      </c>
      <c r="C1" s="7" t="s">
        <v>60</v>
      </c>
      <c r="E1" s="9" t="str">
        <f>[1]Companies!B3</f>
        <v>La Société des Mines de Fer du Sénégal Oriental (MIFERSO)</v>
      </c>
      <c r="F1" s="9" t="str">
        <f>[1]Companies!C3</f>
        <v>0023896 2G3</v>
      </c>
      <c r="G1" s="10"/>
      <c r="J1" s="10" t="s">
        <v>61</v>
      </c>
      <c r="K1" s="10">
        <f>+[1]Lists!A3</f>
        <v>2021</v>
      </c>
    </row>
    <row r="2" spans="2:13">
      <c r="C2" s="11"/>
      <c r="F2" s="8"/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10288645</v>
      </c>
      <c r="F8" s="19">
        <v>0</v>
      </c>
      <c r="G8" s="19">
        <v>10288645</v>
      </c>
      <c r="I8" s="19">
        <v>24618298</v>
      </c>
      <c r="J8" s="19">
        <v>0</v>
      </c>
      <c r="K8" s="19">
        <v>24618298</v>
      </c>
      <c r="M8" s="19">
        <v>-14329653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2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23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2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23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2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6">
        <v>8</v>
      </c>
      <c r="C16" s="23" t="s">
        <v>81</v>
      </c>
      <c r="E16" s="24">
        <v>0</v>
      </c>
      <c r="F16" s="24">
        <v>0</v>
      </c>
      <c r="G16" s="24">
        <v>0</v>
      </c>
      <c r="I16" s="24">
        <v>0</v>
      </c>
      <c r="J16" s="24">
        <v>0</v>
      </c>
      <c r="K16" s="24">
        <v>0</v>
      </c>
      <c r="M16" s="24">
        <v>0</v>
      </c>
    </row>
    <row r="17" spans="2:13">
      <c r="B17" s="20">
        <v>9</v>
      </c>
      <c r="C17" s="21" t="s">
        <v>82</v>
      </c>
      <c r="E17" s="22">
        <v>0</v>
      </c>
      <c r="F17" s="22">
        <v>0</v>
      </c>
      <c r="G17" s="22">
        <v>0</v>
      </c>
      <c r="I17" s="22">
        <v>0</v>
      </c>
      <c r="J17" s="22">
        <v>0</v>
      </c>
      <c r="K17" s="22">
        <v>0</v>
      </c>
      <c r="M17" s="22">
        <v>0</v>
      </c>
    </row>
    <row r="18" spans="2:13">
      <c r="B18" s="6">
        <v>10</v>
      </c>
      <c r="C18" s="23" t="s">
        <v>83</v>
      </c>
      <c r="E18" s="24">
        <v>0</v>
      </c>
      <c r="F18" s="24">
        <v>0</v>
      </c>
      <c r="G18" s="24">
        <v>0</v>
      </c>
      <c r="I18" s="24">
        <v>0</v>
      </c>
      <c r="J18" s="24">
        <v>0</v>
      </c>
      <c r="K18" s="24">
        <v>0</v>
      </c>
      <c r="M18" s="24">
        <v>0</v>
      </c>
    </row>
    <row r="19" spans="2:13">
      <c r="B19" s="20">
        <v>11</v>
      </c>
      <c r="C19" s="21" t="s">
        <v>84</v>
      </c>
      <c r="E19" s="22">
        <v>0</v>
      </c>
      <c r="F19" s="22">
        <v>0</v>
      </c>
      <c r="G19" s="22">
        <v>0</v>
      </c>
      <c r="I19" s="22">
        <v>0</v>
      </c>
      <c r="J19" s="22">
        <v>0</v>
      </c>
      <c r="K19" s="22">
        <v>0</v>
      </c>
      <c r="M19" s="22">
        <v>0</v>
      </c>
    </row>
    <row r="20" spans="2:13">
      <c r="B20" s="6">
        <v>12</v>
      </c>
      <c r="C20" s="23" t="s">
        <v>85</v>
      </c>
      <c r="E20" s="24">
        <v>0</v>
      </c>
      <c r="F20" s="24">
        <v>0</v>
      </c>
      <c r="G20" s="24">
        <v>0</v>
      </c>
      <c r="I20" s="24">
        <v>0</v>
      </c>
      <c r="J20" s="24">
        <v>0</v>
      </c>
      <c r="K20" s="24">
        <v>0</v>
      </c>
      <c r="M20" s="24">
        <v>0</v>
      </c>
    </row>
    <row r="21" spans="2:13">
      <c r="B21" s="20">
        <v>13</v>
      </c>
      <c r="C21" s="21" t="s">
        <v>86</v>
      </c>
      <c r="E21" s="22">
        <v>0</v>
      </c>
      <c r="F21" s="22">
        <v>0</v>
      </c>
      <c r="G21" s="22">
        <v>0</v>
      </c>
      <c r="I21" s="22">
        <v>0</v>
      </c>
      <c r="J21" s="22">
        <v>0</v>
      </c>
      <c r="K21" s="22">
        <v>0</v>
      </c>
      <c r="M21" s="22">
        <v>0</v>
      </c>
    </row>
    <row r="22" spans="2:13">
      <c r="B22" s="6">
        <v>14</v>
      </c>
      <c r="C22" s="23" t="s">
        <v>87</v>
      </c>
      <c r="E22" s="24">
        <v>0</v>
      </c>
      <c r="F22" s="24">
        <v>0</v>
      </c>
      <c r="G22" s="24">
        <v>0</v>
      </c>
      <c r="I22" s="24">
        <v>0</v>
      </c>
      <c r="J22" s="24">
        <v>0</v>
      </c>
      <c r="K22" s="24">
        <v>0</v>
      </c>
      <c r="M22" s="24">
        <v>0</v>
      </c>
    </row>
    <row r="23" spans="2:13">
      <c r="B23" s="20">
        <v>15</v>
      </c>
      <c r="C23" s="21" t="s">
        <v>88</v>
      </c>
      <c r="E23" s="22">
        <v>0</v>
      </c>
      <c r="F23" s="22">
        <v>0</v>
      </c>
      <c r="G23" s="22">
        <v>0</v>
      </c>
      <c r="I23" s="22">
        <v>0</v>
      </c>
      <c r="J23" s="22">
        <v>0</v>
      </c>
      <c r="K23" s="22">
        <v>0</v>
      </c>
      <c r="M23" s="22">
        <v>0</v>
      </c>
    </row>
    <row r="24" spans="2:13">
      <c r="B24" s="6">
        <v>16</v>
      </c>
      <c r="C24" s="23" t="s">
        <v>89</v>
      </c>
      <c r="E24" s="24">
        <v>0</v>
      </c>
      <c r="F24" s="24">
        <v>0</v>
      </c>
      <c r="G24" s="24">
        <v>0</v>
      </c>
      <c r="I24" s="24">
        <v>0</v>
      </c>
      <c r="J24" s="24">
        <v>0</v>
      </c>
      <c r="K24" s="24">
        <v>0</v>
      </c>
      <c r="M24" s="24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>
      <c r="B26" s="20">
        <v>17</v>
      </c>
      <c r="C26" s="2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6">
        <v>18</v>
      </c>
      <c r="C27" s="23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20">
        <v>19</v>
      </c>
      <c r="C28" s="2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6">
        <v>20</v>
      </c>
      <c r="C29" s="23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20">
        <v>21</v>
      </c>
      <c r="C30" s="2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6">
        <v>22</v>
      </c>
      <c r="C31" s="23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20">
        <v>23</v>
      </c>
      <c r="C32" s="2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>
      <c r="B33" s="6">
        <v>24</v>
      </c>
      <c r="C33" s="23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20">
        <v>25</v>
      </c>
      <c r="C34" s="2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6">
        <v>26</v>
      </c>
      <c r="C35" s="23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0</v>
      </c>
      <c r="F36" s="27">
        <v>0</v>
      </c>
      <c r="G36" s="27">
        <v>0</v>
      </c>
      <c r="I36" s="27">
        <v>0</v>
      </c>
      <c r="J36" s="27">
        <v>0</v>
      </c>
      <c r="K36" s="27">
        <v>0</v>
      </c>
      <c r="M36" s="27">
        <v>0</v>
      </c>
    </row>
    <row r="37" spans="2:13">
      <c r="B37" s="20">
        <v>27</v>
      </c>
      <c r="C37" s="2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6">
        <v>28</v>
      </c>
      <c r="C38" s="23" t="s">
        <v>103</v>
      </c>
      <c r="E38" s="24">
        <v>0</v>
      </c>
      <c r="F38" s="24">
        <v>0</v>
      </c>
      <c r="G38" s="24">
        <v>0</v>
      </c>
      <c r="I38" s="24">
        <v>0</v>
      </c>
      <c r="J38" s="24">
        <v>0</v>
      </c>
      <c r="K38" s="24">
        <v>0</v>
      </c>
      <c r="M38" s="24">
        <v>0</v>
      </c>
    </row>
    <row r="39" spans="2:13">
      <c r="B39" s="20">
        <v>29</v>
      </c>
      <c r="C39" s="2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6">
        <v>30</v>
      </c>
      <c r="C40" s="23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20">
        <v>31</v>
      </c>
      <c r="C41" s="2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6">
        <v>32</v>
      </c>
      <c r="C42" s="23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>
      <c r="B43" s="20">
        <v>33</v>
      </c>
      <c r="C43" s="2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6">
        <v>34</v>
      </c>
      <c r="C44" s="23" t="s">
        <v>109</v>
      </c>
      <c r="E44" s="24">
        <v>0</v>
      </c>
      <c r="F44" s="24">
        <v>0</v>
      </c>
      <c r="G44" s="24">
        <v>0</v>
      </c>
      <c r="I44" s="24">
        <v>0</v>
      </c>
      <c r="J44" s="24">
        <v>0</v>
      </c>
      <c r="K44" s="24">
        <v>0</v>
      </c>
      <c r="M44" s="24">
        <v>0</v>
      </c>
    </row>
    <row r="45" spans="2:13">
      <c r="B45" s="20">
        <v>35</v>
      </c>
      <c r="C45" s="2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6">
        <v>36</v>
      </c>
      <c r="C46" s="23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20">
        <v>37</v>
      </c>
      <c r="C47" s="2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6">
        <v>38</v>
      </c>
      <c r="C48" s="23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20">
        <v>39</v>
      </c>
      <c r="C49" s="2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6">
        <v>40</v>
      </c>
      <c r="C50" s="23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>
      <c r="B51" s="20">
        <v>41</v>
      </c>
      <c r="C51" s="2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6">
        <v>42</v>
      </c>
      <c r="C52" s="23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0</v>
      </c>
      <c r="J53" s="27">
        <v>0</v>
      </c>
      <c r="K53" s="27">
        <v>0</v>
      </c>
      <c r="M53" s="27">
        <v>0</v>
      </c>
    </row>
    <row r="54" spans="2:13">
      <c r="B54" s="20">
        <v>43</v>
      </c>
      <c r="C54" s="2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6">
        <v>44</v>
      </c>
      <c r="C55" s="23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20">
        <v>45</v>
      </c>
      <c r="C56" s="2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6">
        <v>46</v>
      </c>
      <c r="C57" s="23" t="s">
        <v>122</v>
      </c>
      <c r="E57" s="24">
        <v>0</v>
      </c>
      <c r="F57" s="24">
        <v>0</v>
      </c>
      <c r="G57" s="24">
        <v>0</v>
      </c>
      <c r="I57" s="24">
        <v>0</v>
      </c>
      <c r="J57" s="24">
        <v>0</v>
      </c>
      <c r="K57" s="24">
        <v>0</v>
      </c>
      <c r="M57" s="24">
        <v>0</v>
      </c>
    </row>
    <row r="58" spans="2:13">
      <c r="B58" s="20">
        <v>47</v>
      </c>
      <c r="C58" s="2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6">
        <v>48</v>
      </c>
      <c r="C59" s="23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20">
        <v>49</v>
      </c>
      <c r="C60" s="2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6">
        <v>50</v>
      </c>
      <c r="C61" s="23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20">
        <v>51</v>
      </c>
      <c r="C63" s="2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6">
        <v>52</v>
      </c>
      <c r="C64" s="23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1:13">
      <c r="B65" s="20">
        <v>53</v>
      </c>
      <c r="C65" s="2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1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1:13">
      <c r="B67" s="6">
        <v>54</v>
      </c>
      <c r="C67" s="23" t="s">
        <v>132</v>
      </c>
      <c r="E67" s="24">
        <v>0</v>
      </c>
      <c r="F67" s="24">
        <v>0</v>
      </c>
      <c r="G67" s="24">
        <v>0</v>
      </c>
      <c r="I67" s="24">
        <v>0</v>
      </c>
      <c r="J67" s="24">
        <v>0</v>
      </c>
      <c r="K67" s="24">
        <v>0</v>
      </c>
      <c r="M67" s="24">
        <v>0</v>
      </c>
    </row>
    <row r="68" spans="1:13">
      <c r="B68" s="20">
        <v>55</v>
      </c>
      <c r="C68" s="21" t="s">
        <v>133</v>
      </c>
      <c r="E68" s="22">
        <v>0</v>
      </c>
      <c r="F68" s="22">
        <v>0</v>
      </c>
      <c r="G68" s="22">
        <v>0</v>
      </c>
      <c r="I68" s="22">
        <v>0</v>
      </c>
      <c r="J68" s="22">
        <v>0</v>
      </c>
      <c r="K68" s="22">
        <v>0</v>
      </c>
      <c r="M68" s="22">
        <v>0</v>
      </c>
    </row>
    <row r="69" spans="1:13">
      <c r="B69" s="25"/>
      <c r="C69" s="26" t="s">
        <v>134</v>
      </c>
      <c r="E69" s="27">
        <v>740880</v>
      </c>
      <c r="F69" s="27">
        <v>514080</v>
      </c>
      <c r="G69" s="27">
        <v>1254960</v>
      </c>
      <c r="I69" s="27">
        <v>1254960</v>
      </c>
      <c r="J69" s="27">
        <v>0</v>
      </c>
      <c r="K69" s="27">
        <v>1254960</v>
      </c>
      <c r="M69" s="27">
        <v>0</v>
      </c>
    </row>
    <row r="70" spans="1:13">
      <c r="B70" s="6">
        <v>56</v>
      </c>
      <c r="C70" s="23" t="s">
        <v>135</v>
      </c>
      <c r="E70" s="24">
        <v>740880</v>
      </c>
      <c r="F70" s="24">
        <v>514080</v>
      </c>
      <c r="G70" s="24">
        <v>1254960</v>
      </c>
      <c r="I70" s="24">
        <v>1254960</v>
      </c>
      <c r="J70" s="24">
        <v>0</v>
      </c>
      <c r="K70" s="24">
        <v>1254960</v>
      </c>
      <c r="M70" s="24">
        <v>0</v>
      </c>
    </row>
    <row r="71" spans="1:13">
      <c r="B71" s="25"/>
      <c r="C71" s="26" t="s">
        <v>136</v>
      </c>
      <c r="E71" s="27">
        <v>9547765</v>
      </c>
      <c r="F71" s="27">
        <v>-514080</v>
      </c>
      <c r="G71" s="27">
        <v>9033685</v>
      </c>
      <c r="I71" s="27">
        <v>23363338</v>
      </c>
      <c r="J71" s="27">
        <v>0</v>
      </c>
      <c r="K71" s="27">
        <v>23363338</v>
      </c>
      <c r="M71" s="27">
        <v>-14329653</v>
      </c>
    </row>
    <row r="72" spans="1:13">
      <c r="B72" s="20">
        <v>57</v>
      </c>
      <c r="C72" s="21" t="s">
        <v>137</v>
      </c>
      <c r="E72" s="22">
        <v>9547765</v>
      </c>
      <c r="F72" s="22">
        <v>-514080</v>
      </c>
      <c r="G72" s="22">
        <v>9033685</v>
      </c>
      <c r="I72" s="22">
        <v>23363338</v>
      </c>
      <c r="J72" s="22">
        <v>0</v>
      </c>
      <c r="K72" s="22">
        <v>23363338</v>
      </c>
      <c r="M72" s="22">
        <v>-14329653</v>
      </c>
    </row>
    <row r="73" spans="1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1:13" ht="24.75" customHeight="1">
      <c r="B74" s="6">
        <v>58</v>
      </c>
      <c r="C74" s="23" t="s">
        <v>139</v>
      </c>
      <c r="E74" s="24">
        <v>0</v>
      </c>
      <c r="F74" s="24">
        <v>0</v>
      </c>
      <c r="G74" s="24">
        <v>0</v>
      </c>
      <c r="I74" s="24">
        <v>0</v>
      </c>
      <c r="J74" s="24">
        <v>0</v>
      </c>
      <c r="K74" s="24">
        <v>0</v>
      </c>
      <c r="M74" s="24">
        <v>0</v>
      </c>
    </row>
    <row r="75" spans="1:13">
      <c r="B75" s="29"/>
      <c r="C75" s="30"/>
      <c r="D75" s="10"/>
      <c r="E75" s="31"/>
      <c r="F75" s="31"/>
      <c r="G75" s="31"/>
      <c r="H75" s="32"/>
      <c r="I75" s="31"/>
      <c r="J75" s="31"/>
      <c r="K75" s="31"/>
      <c r="L75" s="32"/>
      <c r="M75" s="31"/>
    </row>
    <row r="76" spans="1:13">
      <c r="A76" s="3" t="s">
        <v>140</v>
      </c>
    </row>
  </sheetData>
  <mergeCells count="5">
    <mergeCell ref="B3:B4"/>
    <mergeCell ref="C3:C4"/>
    <mergeCell ref="E3:G3"/>
    <mergeCell ref="I3:K3"/>
    <mergeCell ref="M3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0598-977C-4549-8250-DA6369792EC5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4.81640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44">
      <c r="C1" s="7" t="s">
        <v>60</v>
      </c>
      <c r="E1" s="9" t="str">
        <f>[1]Companies!B4</f>
        <v>Société de Commercialisation du Ciment (SOCOCIM)</v>
      </c>
      <c r="F1" s="9" t="str">
        <f>[1]Companies!C4</f>
        <v>0016627 2G3</v>
      </c>
      <c r="G1" s="10"/>
      <c r="J1" s="10" t="s">
        <v>61</v>
      </c>
      <c r="K1" s="10">
        <f>+[1]Lists!A3</f>
        <v>2021</v>
      </c>
    </row>
    <row r="2" spans="2:13">
      <c r="C2" s="11"/>
      <c r="F2" s="8"/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44168694837</v>
      </c>
      <c r="F8" s="19">
        <v>1935291721</v>
      </c>
      <c r="G8" s="19">
        <v>46103986558</v>
      </c>
      <c r="I8" s="19">
        <v>46028399966</v>
      </c>
      <c r="J8" s="19">
        <v>-108094119</v>
      </c>
      <c r="K8" s="19">
        <v>45920305847</v>
      </c>
      <c r="M8" s="19">
        <v>183680711</v>
      </c>
    </row>
    <row r="9" spans="2:13">
      <c r="B9" s="25"/>
      <c r="C9" s="26" t="s">
        <v>74</v>
      </c>
      <c r="E9" s="27">
        <v>207256101</v>
      </c>
      <c r="F9" s="27">
        <v>0</v>
      </c>
      <c r="G9" s="27">
        <v>207256101</v>
      </c>
      <c r="I9" s="27">
        <v>193846793</v>
      </c>
      <c r="J9" s="27">
        <v>-108134119</v>
      </c>
      <c r="K9" s="27">
        <v>85712674</v>
      </c>
      <c r="M9" s="27">
        <v>121543427</v>
      </c>
    </row>
    <row r="10" spans="2:13">
      <c r="B10" s="20">
        <v>3</v>
      </c>
      <c r="C10" s="21" t="s">
        <v>75</v>
      </c>
      <c r="E10" s="22">
        <v>196224141</v>
      </c>
      <c r="F10" s="22">
        <v>0</v>
      </c>
      <c r="G10" s="22">
        <v>196224141</v>
      </c>
      <c r="I10" s="22">
        <v>193846793</v>
      </c>
      <c r="J10" s="22">
        <v>-119166079</v>
      </c>
      <c r="K10" s="22">
        <v>74680714</v>
      </c>
      <c r="M10" s="22">
        <v>121543427</v>
      </c>
    </row>
    <row r="11" spans="2:13">
      <c r="B11" s="6">
        <v>4</v>
      </c>
      <c r="C11" s="23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21" t="s">
        <v>77</v>
      </c>
      <c r="E12" s="22">
        <v>7500000</v>
      </c>
      <c r="F12" s="22">
        <v>0</v>
      </c>
      <c r="G12" s="22">
        <v>7500000</v>
      </c>
      <c r="I12" s="22">
        <v>0</v>
      </c>
      <c r="J12" s="22">
        <v>7500000</v>
      </c>
      <c r="K12" s="22">
        <v>7500000</v>
      </c>
      <c r="M12" s="22">
        <v>0</v>
      </c>
    </row>
    <row r="13" spans="2:13">
      <c r="B13" s="6">
        <v>6</v>
      </c>
      <c r="C13" s="23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21" t="s">
        <v>79</v>
      </c>
      <c r="E14" s="22">
        <v>3531960</v>
      </c>
      <c r="F14" s="22">
        <v>0</v>
      </c>
      <c r="G14" s="22">
        <v>3531960</v>
      </c>
      <c r="I14" s="22">
        <v>0</v>
      </c>
      <c r="J14" s="22">
        <v>3531960</v>
      </c>
      <c r="K14" s="22">
        <v>3531960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6">
        <v>8</v>
      </c>
      <c r="C16" s="23" t="s">
        <v>81</v>
      </c>
      <c r="E16" s="24">
        <v>0</v>
      </c>
      <c r="F16" s="24">
        <v>0</v>
      </c>
      <c r="G16" s="24">
        <v>0</v>
      </c>
      <c r="I16" s="24">
        <v>0</v>
      </c>
      <c r="J16" s="24">
        <v>0</v>
      </c>
      <c r="K16" s="24">
        <v>0</v>
      </c>
      <c r="M16" s="24">
        <v>0</v>
      </c>
    </row>
    <row r="17" spans="2:13">
      <c r="B17" s="20">
        <v>9</v>
      </c>
      <c r="C17" s="21" t="s">
        <v>82</v>
      </c>
      <c r="E17" s="22">
        <v>0</v>
      </c>
      <c r="F17" s="22">
        <v>0</v>
      </c>
      <c r="G17" s="22">
        <v>0</v>
      </c>
      <c r="I17" s="22">
        <v>0</v>
      </c>
      <c r="J17" s="22">
        <v>0</v>
      </c>
      <c r="K17" s="22">
        <v>0</v>
      </c>
      <c r="M17" s="22">
        <v>0</v>
      </c>
    </row>
    <row r="18" spans="2:13">
      <c r="B18" s="6">
        <v>10</v>
      </c>
      <c r="C18" s="23" t="s">
        <v>83</v>
      </c>
      <c r="E18" s="24">
        <v>0</v>
      </c>
      <c r="F18" s="24">
        <v>0</v>
      </c>
      <c r="G18" s="24">
        <v>0</v>
      </c>
      <c r="I18" s="24">
        <v>0</v>
      </c>
      <c r="J18" s="24">
        <v>0</v>
      </c>
      <c r="K18" s="24">
        <v>0</v>
      </c>
      <c r="M18" s="24">
        <v>0</v>
      </c>
    </row>
    <row r="19" spans="2:13">
      <c r="B19" s="20">
        <v>11</v>
      </c>
      <c r="C19" s="21" t="s">
        <v>84</v>
      </c>
      <c r="E19" s="22">
        <v>0</v>
      </c>
      <c r="F19" s="22">
        <v>0</v>
      </c>
      <c r="G19" s="22">
        <v>0</v>
      </c>
      <c r="I19" s="22">
        <v>0</v>
      </c>
      <c r="J19" s="22">
        <v>0</v>
      </c>
      <c r="K19" s="22">
        <v>0</v>
      </c>
      <c r="M19" s="22">
        <v>0</v>
      </c>
    </row>
    <row r="20" spans="2:13">
      <c r="B20" s="6">
        <v>12</v>
      </c>
      <c r="C20" s="23" t="s">
        <v>85</v>
      </c>
      <c r="E20" s="24">
        <v>0</v>
      </c>
      <c r="F20" s="24">
        <v>0</v>
      </c>
      <c r="G20" s="24">
        <v>0</v>
      </c>
      <c r="I20" s="24">
        <v>0</v>
      </c>
      <c r="J20" s="24">
        <v>0</v>
      </c>
      <c r="K20" s="24">
        <v>0</v>
      </c>
      <c r="M20" s="24">
        <v>0</v>
      </c>
    </row>
    <row r="21" spans="2:13">
      <c r="B21" s="20">
        <v>13</v>
      </c>
      <c r="C21" s="21" t="s">
        <v>86</v>
      </c>
      <c r="E21" s="22">
        <v>0</v>
      </c>
      <c r="F21" s="22">
        <v>0</v>
      </c>
      <c r="G21" s="22">
        <v>0</v>
      </c>
      <c r="I21" s="22">
        <v>0</v>
      </c>
      <c r="J21" s="22">
        <v>0</v>
      </c>
      <c r="K21" s="22">
        <v>0</v>
      </c>
      <c r="M21" s="22">
        <v>0</v>
      </c>
    </row>
    <row r="22" spans="2:13">
      <c r="B22" s="6">
        <v>14</v>
      </c>
      <c r="C22" s="23" t="s">
        <v>87</v>
      </c>
      <c r="E22" s="24">
        <v>0</v>
      </c>
      <c r="F22" s="24">
        <v>0</v>
      </c>
      <c r="G22" s="24">
        <v>0</v>
      </c>
      <c r="I22" s="24">
        <v>0</v>
      </c>
      <c r="J22" s="24">
        <v>0</v>
      </c>
      <c r="K22" s="24">
        <v>0</v>
      </c>
      <c r="M22" s="24">
        <v>0</v>
      </c>
    </row>
    <row r="23" spans="2:13">
      <c r="B23" s="20">
        <v>15</v>
      </c>
      <c r="C23" s="21" t="s">
        <v>88</v>
      </c>
      <c r="E23" s="22">
        <v>0</v>
      </c>
      <c r="F23" s="22">
        <v>0</v>
      </c>
      <c r="G23" s="22">
        <v>0</v>
      </c>
      <c r="I23" s="22">
        <v>0</v>
      </c>
      <c r="J23" s="22">
        <v>0</v>
      </c>
      <c r="K23" s="22">
        <v>0</v>
      </c>
      <c r="M23" s="22">
        <v>0</v>
      </c>
    </row>
    <row r="24" spans="2:13">
      <c r="B24" s="6">
        <v>16</v>
      </c>
      <c r="C24" s="23" t="s">
        <v>89</v>
      </c>
      <c r="E24" s="24">
        <v>0</v>
      </c>
      <c r="F24" s="24">
        <v>0</v>
      </c>
      <c r="G24" s="24">
        <v>0</v>
      </c>
      <c r="I24" s="24">
        <v>0</v>
      </c>
      <c r="J24" s="24">
        <v>0</v>
      </c>
      <c r="K24" s="24">
        <v>0</v>
      </c>
      <c r="M24" s="24">
        <v>0</v>
      </c>
    </row>
    <row r="25" spans="2:13">
      <c r="B25" s="25"/>
      <c r="C25" s="26" t="s">
        <v>90</v>
      </c>
      <c r="E25" s="27">
        <v>1550000000</v>
      </c>
      <c r="F25" s="27">
        <v>0</v>
      </c>
      <c r="G25" s="27">
        <v>1550000000</v>
      </c>
      <c r="I25" s="27">
        <v>1570000000</v>
      </c>
      <c r="J25" s="27">
        <v>0</v>
      </c>
      <c r="K25" s="27">
        <v>1570000000</v>
      </c>
      <c r="M25" s="27">
        <v>-20000000</v>
      </c>
    </row>
    <row r="26" spans="2:13">
      <c r="B26" s="20">
        <v>17</v>
      </c>
      <c r="C26" s="2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6">
        <v>18</v>
      </c>
      <c r="C27" s="23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20">
        <v>19</v>
      </c>
      <c r="C28" s="2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6">
        <v>20</v>
      </c>
      <c r="C29" s="23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20">
        <v>21</v>
      </c>
      <c r="C30" s="21" t="s">
        <v>95</v>
      </c>
      <c r="E30" s="22">
        <v>0</v>
      </c>
      <c r="F30" s="22">
        <v>0</v>
      </c>
      <c r="G30" s="22">
        <v>0</v>
      </c>
      <c r="I30" s="22">
        <v>20000000</v>
      </c>
      <c r="J30" s="22">
        <v>0</v>
      </c>
      <c r="K30" s="22">
        <v>20000000</v>
      </c>
      <c r="M30" s="22">
        <v>-20000000</v>
      </c>
    </row>
    <row r="31" spans="2:13">
      <c r="B31" s="6">
        <v>22</v>
      </c>
      <c r="C31" s="23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20">
        <v>23</v>
      </c>
      <c r="C32" s="2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>
      <c r="B33" s="6">
        <v>24</v>
      </c>
      <c r="C33" s="23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20">
        <v>25</v>
      </c>
      <c r="C34" s="2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6">
        <v>26</v>
      </c>
      <c r="C35" s="23" t="s">
        <v>100</v>
      </c>
      <c r="E35" s="24">
        <v>1550000000</v>
      </c>
      <c r="F35" s="24">
        <v>0</v>
      </c>
      <c r="G35" s="24">
        <v>1550000000</v>
      </c>
      <c r="I35" s="24">
        <v>1550000000</v>
      </c>
      <c r="J35" s="24">
        <v>0</v>
      </c>
      <c r="K35" s="24">
        <v>1550000000</v>
      </c>
      <c r="M35" s="24">
        <v>0</v>
      </c>
    </row>
    <row r="36" spans="2:13">
      <c r="B36" s="25"/>
      <c r="C36" s="26" t="s">
        <v>101</v>
      </c>
      <c r="E36" s="27">
        <v>34684223339</v>
      </c>
      <c r="F36" s="27">
        <v>2016721721</v>
      </c>
      <c r="G36" s="27">
        <v>36700945060</v>
      </c>
      <c r="I36" s="27">
        <v>36700945060</v>
      </c>
      <c r="J36" s="27">
        <v>0</v>
      </c>
      <c r="K36" s="27">
        <v>36700945060</v>
      </c>
      <c r="M36" s="27">
        <v>0</v>
      </c>
    </row>
    <row r="37" spans="2:13">
      <c r="B37" s="20">
        <v>27</v>
      </c>
      <c r="C37" s="21" t="s">
        <v>102</v>
      </c>
      <c r="E37" s="22">
        <v>18011755278</v>
      </c>
      <c r="F37" s="22">
        <v>2016721721</v>
      </c>
      <c r="G37" s="22">
        <v>20028476999</v>
      </c>
      <c r="I37" s="22">
        <v>20028476999</v>
      </c>
      <c r="J37" s="22">
        <v>0</v>
      </c>
      <c r="K37" s="22">
        <v>20028476999</v>
      </c>
      <c r="M37" s="22">
        <v>0</v>
      </c>
    </row>
    <row r="38" spans="2:13">
      <c r="B38" s="6">
        <v>28</v>
      </c>
      <c r="C38" s="23" t="s">
        <v>103</v>
      </c>
      <c r="E38" s="24">
        <v>1714553826</v>
      </c>
      <c r="F38" s="24">
        <v>0</v>
      </c>
      <c r="G38" s="24">
        <v>1714553826</v>
      </c>
      <c r="I38" s="24">
        <v>1714553826</v>
      </c>
      <c r="J38" s="24">
        <v>0</v>
      </c>
      <c r="K38" s="24">
        <v>1714553826</v>
      </c>
      <c r="M38" s="24">
        <v>0</v>
      </c>
    </row>
    <row r="39" spans="2:13">
      <c r="B39" s="20">
        <v>29</v>
      </c>
      <c r="C39" s="21" t="s">
        <v>104</v>
      </c>
      <c r="E39" s="22">
        <v>53505423</v>
      </c>
      <c r="F39" s="22">
        <v>0</v>
      </c>
      <c r="G39" s="22">
        <v>53505423</v>
      </c>
      <c r="I39" s="22">
        <v>53505423</v>
      </c>
      <c r="J39" s="22">
        <v>0</v>
      </c>
      <c r="K39" s="22">
        <v>53505423</v>
      </c>
      <c r="M39" s="22">
        <v>0</v>
      </c>
    </row>
    <row r="40" spans="2:13">
      <c r="B40" s="6">
        <v>30</v>
      </c>
      <c r="C40" s="23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20">
        <v>31</v>
      </c>
      <c r="C41" s="2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6">
        <v>32</v>
      </c>
      <c r="C42" s="23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>
      <c r="B43" s="20">
        <v>33</v>
      </c>
      <c r="C43" s="2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6">
        <v>34</v>
      </c>
      <c r="C44" s="23" t="s">
        <v>109</v>
      </c>
      <c r="E44" s="24">
        <v>76857486</v>
      </c>
      <c r="F44" s="24">
        <v>0</v>
      </c>
      <c r="G44" s="24">
        <v>76857486</v>
      </c>
      <c r="I44" s="24">
        <v>76857486</v>
      </c>
      <c r="J44" s="24">
        <v>0</v>
      </c>
      <c r="K44" s="24">
        <v>76857486</v>
      </c>
      <c r="M44" s="24">
        <v>0</v>
      </c>
    </row>
    <row r="45" spans="2:13">
      <c r="B45" s="20">
        <v>35</v>
      </c>
      <c r="C45" s="21" t="s">
        <v>110</v>
      </c>
      <c r="E45" s="22">
        <v>130745350</v>
      </c>
      <c r="F45" s="22">
        <v>0</v>
      </c>
      <c r="G45" s="22">
        <v>130745350</v>
      </c>
      <c r="I45" s="22">
        <v>130745350</v>
      </c>
      <c r="J45" s="22">
        <v>0</v>
      </c>
      <c r="K45" s="22">
        <v>130745350</v>
      </c>
      <c r="M45" s="22">
        <v>0</v>
      </c>
    </row>
    <row r="46" spans="2:13">
      <c r="B46" s="6">
        <v>36</v>
      </c>
      <c r="C46" s="23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20">
        <v>37</v>
      </c>
      <c r="C47" s="2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6">
        <v>38</v>
      </c>
      <c r="C48" s="23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20">
        <v>39</v>
      </c>
      <c r="C49" s="21" t="s">
        <v>114</v>
      </c>
      <c r="E49" s="22">
        <v>6815140</v>
      </c>
      <c r="F49" s="22">
        <v>0</v>
      </c>
      <c r="G49" s="22">
        <v>6815140</v>
      </c>
      <c r="I49" s="22">
        <v>6815140</v>
      </c>
      <c r="J49" s="22">
        <v>0</v>
      </c>
      <c r="K49" s="22">
        <v>6815140</v>
      </c>
      <c r="M49" s="22">
        <v>0</v>
      </c>
    </row>
    <row r="50" spans="2:13">
      <c r="B50" s="6">
        <v>40</v>
      </c>
      <c r="C50" s="23" t="s">
        <v>115</v>
      </c>
      <c r="E50" s="24">
        <v>8806356825</v>
      </c>
      <c r="F50" s="24">
        <v>0</v>
      </c>
      <c r="G50" s="24">
        <v>8806356825</v>
      </c>
      <c r="I50" s="24">
        <v>8806356825</v>
      </c>
      <c r="J50" s="24">
        <v>0</v>
      </c>
      <c r="K50" s="24">
        <v>8806356825</v>
      </c>
      <c r="M50" s="24">
        <v>0</v>
      </c>
    </row>
    <row r="51" spans="2:13">
      <c r="B51" s="20">
        <v>41</v>
      </c>
      <c r="C51" s="2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6">
        <v>42</v>
      </c>
      <c r="C52" s="23" t="s">
        <v>117</v>
      </c>
      <c r="E52" s="24">
        <v>5883634011</v>
      </c>
      <c r="F52" s="24">
        <v>0</v>
      </c>
      <c r="G52" s="24">
        <v>5883634011</v>
      </c>
      <c r="I52" s="24">
        <v>5883634011</v>
      </c>
      <c r="J52" s="24">
        <v>0</v>
      </c>
      <c r="K52" s="24">
        <v>5883634011</v>
      </c>
      <c r="M52" s="24">
        <v>0</v>
      </c>
    </row>
    <row r="53" spans="2:13">
      <c r="B53" s="25"/>
      <c r="C53" s="26" t="s">
        <v>118</v>
      </c>
      <c r="E53" s="27">
        <v>7100579192</v>
      </c>
      <c r="F53" s="27">
        <v>0</v>
      </c>
      <c r="G53" s="27">
        <v>7100579192</v>
      </c>
      <c r="I53" s="27">
        <v>7164143543</v>
      </c>
      <c r="J53" s="27">
        <v>0</v>
      </c>
      <c r="K53" s="27">
        <v>7164143543</v>
      </c>
      <c r="M53" s="27">
        <v>-63564351</v>
      </c>
    </row>
    <row r="54" spans="2:13">
      <c r="B54" s="20">
        <v>43</v>
      </c>
      <c r="C54" s="2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6">
        <v>44</v>
      </c>
      <c r="C55" s="23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20">
        <v>45</v>
      </c>
      <c r="C56" s="2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6">
        <v>46</v>
      </c>
      <c r="C57" s="23" t="s">
        <v>122</v>
      </c>
      <c r="E57" s="24">
        <v>7100579192</v>
      </c>
      <c r="F57" s="24">
        <v>0</v>
      </c>
      <c r="G57" s="24">
        <v>7100579192</v>
      </c>
      <c r="I57" s="24">
        <v>7164143543</v>
      </c>
      <c r="J57" s="24">
        <v>0</v>
      </c>
      <c r="K57" s="24">
        <v>7164143543</v>
      </c>
      <c r="M57" s="24">
        <v>-63564351</v>
      </c>
    </row>
    <row r="58" spans="2:13">
      <c r="B58" s="20">
        <v>47</v>
      </c>
      <c r="C58" s="2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6">
        <v>48</v>
      </c>
      <c r="C59" s="23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20">
        <v>49</v>
      </c>
      <c r="C60" s="2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6">
        <v>50</v>
      </c>
      <c r="C61" s="23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9413650</v>
      </c>
      <c r="F62" s="27">
        <v>0</v>
      </c>
      <c r="G62" s="27">
        <v>9413650</v>
      </c>
      <c r="I62" s="27">
        <v>9413650</v>
      </c>
      <c r="J62" s="27">
        <v>0</v>
      </c>
      <c r="K62" s="27">
        <v>9413650</v>
      </c>
      <c r="M62" s="27">
        <v>0</v>
      </c>
    </row>
    <row r="63" spans="2:13">
      <c r="B63" s="20">
        <v>51</v>
      </c>
      <c r="C63" s="21" t="s">
        <v>128</v>
      </c>
      <c r="E63" s="22">
        <v>0</v>
      </c>
      <c r="F63" s="22">
        <v>0</v>
      </c>
      <c r="G63" s="22">
        <v>0</v>
      </c>
      <c r="I63" s="22">
        <v>9413650</v>
      </c>
      <c r="J63" s="22">
        <v>-9413650</v>
      </c>
      <c r="K63" s="22">
        <v>0</v>
      </c>
      <c r="M63" s="22">
        <v>0</v>
      </c>
    </row>
    <row r="64" spans="2:13">
      <c r="B64" s="6">
        <v>52</v>
      </c>
      <c r="C64" s="23" t="s">
        <v>129</v>
      </c>
      <c r="E64" s="24">
        <v>9413650</v>
      </c>
      <c r="F64" s="24">
        <v>0</v>
      </c>
      <c r="G64" s="24">
        <v>9413650</v>
      </c>
      <c r="I64" s="24">
        <v>0</v>
      </c>
      <c r="J64" s="24">
        <v>9413650</v>
      </c>
      <c r="K64" s="24">
        <v>9413650</v>
      </c>
      <c r="M64" s="24">
        <v>0</v>
      </c>
    </row>
    <row r="65" spans="2:13">
      <c r="B65" s="20">
        <v>53</v>
      </c>
      <c r="C65" s="2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1540000</v>
      </c>
      <c r="F66" s="27">
        <v>0</v>
      </c>
      <c r="G66" s="27">
        <v>1540000</v>
      </c>
      <c r="I66" s="27">
        <v>0</v>
      </c>
      <c r="J66" s="27">
        <v>1540000</v>
      </c>
      <c r="K66" s="27">
        <v>1540000</v>
      </c>
      <c r="M66" s="27">
        <v>0</v>
      </c>
    </row>
    <row r="67" spans="2:13">
      <c r="B67" s="6">
        <v>54</v>
      </c>
      <c r="C67" s="23" t="s">
        <v>132</v>
      </c>
      <c r="E67" s="24">
        <v>1540000</v>
      </c>
      <c r="F67" s="24">
        <v>0</v>
      </c>
      <c r="G67" s="24">
        <v>1540000</v>
      </c>
      <c r="I67" s="24">
        <v>0</v>
      </c>
      <c r="J67" s="24">
        <v>1540000</v>
      </c>
      <c r="K67" s="24">
        <v>1540000</v>
      </c>
      <c r="M67" s="24">
        <v>0</v>
      </c>
    </row>
    <row r="68" spans="2:13">
      <c r="B68" s="20">
        <v>55</v>
      </c>
      <c r="C68" s="21" t="s">
        <v>133</v>
      </c>
      <c r="E68" s="22">
        <v>0</v>
      </c>
      <c r="F68" s="22">
        <v>0</v>
      </c>
      <c r="G68" s="22">
        <v>0</v>
      </c>
      <c r="I68" s="22">
        <v>0</v>
      </c>
      <c r="J68" s="22">
        <v>0</v>
      </c>
      <c r="K68" s="22">
        <v>0</v>
      </c>
      <c r="M68" s="22">
        <v>0</v>
      </c>
    </row>
    <row r="69" spans="2:13">
      <c r="B69" s="25"/>
      <c r="C69" s="26" t="s">
        <v>134</v>
      </c>
      <c r="E69" s="27">
        <v>31570755</v>
      </c>
      <c r="F69" s="27">
        <v>0</v>
      </c>
      <c r="G69" s="27">
        <v>31570755</v>
      </c>
      <c r="I69" s="27">
        <v>31313499</v>
      </c>
      <c r="J69" s="27">
        <v>0</v>
      </c>
      <c r="K69" s="27">
        <v>31313499</v>
      </c>
      <c r="M69" s="27">
        <v>257256</v>
      </c>
    </row>
    <row r="70" spans="2:13">
      <c r="B70" s="6">
        <v>56</v>
      </c>
      <c r="C70" s="23" t="s">
        <v>135</v>
      </c>
      <c r="E70" s="24">
        <v>31570755</v>
      </c>
      <c r="F70" s="24">
        <v>0</v>
      </c>
      <c r="G70" s="24">
        <v>31570755</v>
      </c>
      <c r="I70" s="24">
        <v>31313499</v>
      </c>
      <c r="J70" s="24">
        <v>0</v>
      </c>
      <c r="K70" s="24">
        <v>31313499</v>
      </c>
      <c r="M70" s="24">
        <v>257256</v>
      </c>
    </row>
    <row r="71" spans="2:13">
      <c r="B71" s="25"/>
      <c r="C71" s="26" t="s">
        <v>136</v>
      </c>
      <c r="E71" s="27">
        <v>274142800</v>
      </c>
      <c r="F71" s="27">
        <v>0</v>
      </c>
      <c r="G71" s="27">
        <v>274142800</v>
      </c>
      <c r="I71" s="27">
        <v>357237421</v>
      </c>
      <c r="J71" s="27">
        <v>0</v>
      </c>
      <c r="K71" s="27">
        <v>357237421</v>
      </c>
      <c r="M71" s="27">
        <v>-83094621</v>
      </c>
    </row>
    <row r="72" spans="2:13">
      <c r="B72" s="20">
        <v>57</v>
      </c>
      <c r="C72" s="21" t="s">
        <v>137</v>
      </c>
      <c r="E72" s="22">
        <v>274142800</v>
      </c>
      <c r="F72" s="22">
        <v>0</v>
      </c>
      <c r="G72" s="22">
        <v>274142800</v>
      </c>
      <c r="I72" s="22">
        <v>357237421</v>
      </c>
      <c r="J72" s="22">
        <v>0</v>
      </c>
      <c r="K72" s="22">
        <v>357237421</v>
      </c>
      <c r="M72" s="22">
        <v>-83094621</v>
      </c>
    </row>
    <row r="73" spans="2:13">
      <c r="B73" s="25"/>
      <c r="C73" s="26" t="s">
        <v>138</v>
      </c>
      <c r="E73" s="27">
        <v>309969000</v>
      </c>
      <c r="F73" s="27">
        <v>-81430000</v>
      </c>
      <c r="G73" s="27">
        <v>228539000</v>
      </c>
      <c r="H73" s="28">
        <v>808920</v>
      </c>
      <c r="I73" s="27">
        <v>1500000</v>
      </c>
      <c r="J73" s="27">
        <v>-1500000</v>
      </c>
      <c r="K73" s="27">
        <v>0</v>
      </c>
      <c r="M73" s="27">
        <v>228539000</v>
      </c>
    </row>
    <row r="74" spans="2:13">
      <c r="B74" s="6">
        <v>58</v>
      </c>
      <c r="C74" s="23" t="s">
        <v>139</v>
      </c>
      <c r="E74" s="24">
        <v>309969000</v>
      </c>
      <c r="F74" s="24">
        <v>-81430000</v>
      </c>
      <c r="G74" s="24">
        <v>228539000</v>
      </c>
      <c r="I74" s="24">
        <v>1500000</v>
      </c>
      <c r="J74" s="24">
        <v>-1500000</v>
      </c>
      <c r="K74" s="24">
        <v>0</v>
      </c>
      <c r="M74" s="24">
        <v>228539000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5:C603" xr:uid="{87D8BD50-8003-402C-B72D-168CEE84B3D8}">
      <formula1>Compadjust</formula1>
    </dataValidation>
    <dataValidation type="list" allowBlank="1" showInputMessage="1" showErrorMessage="1" sqref="J203:J600 K75:M600" xr:uid="{1B5B69C0-79A7-4153-8F2A-51715E3A15EE}">
      <formula1>Taxes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3426-5EE8-496F-80BD-EBB049C9C3FF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43.5" customHeight="1">
      <c r="C1" s="7" t="s">
        <v>60</v>
      </c>
      <c r="E1" s="9" t="str">
        <f>[1]Companies!B5</f>
        <v>Sabodala Gold Operations (SGO)</v>
      </c>
      <c r="F1" s="9" t="str">
        <f>[1]Companies!C5</f>
        <v>2850023 2G3</v>
      </c>
      <c r="G1" s="10"/>
      <c r="J1" s="10" t="s">
        <v>61</v>
      </c>
      <c r="K1" s="10">
        <f>+[1]Lists!A3</f>
        <v>2021</v>
      </c>
    </row>
    <row r="2" spans="2:13">
      <c r="C2" s="11"/>
      <c r="F2" s="8"/>
      <c r="I2" s="8" t="s">
        <v>141</v>
      </c>
      <c r="J2" s="8">
        <v>595.55999999999995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46674775859</v>
      </c>
      <c r="F8" s="19">
        <v>-5217412956</v>
      </c>
      <c r="G8" s="19">
        <v>41457362903</v>
      </c>
      <c r="I8" s="19">
        <v>37103023031</v>
      </c>
      <c r="J8" s="19">
        <v>3093700217</v>
      </c>
      <c r="K8" s="19">
        <v>40196723248</v>
      </c>
      <c r="M8" s="39">
        <v>1260639655</v>
      </c>
    </row>
    <row r="9" spans="2:13">
      <c r="B9" s="25"/>
      <c r="C9" s="26" t="s">
        <v>74</v>
      </c>
      <c r="E9" s="27">
        <v>19558907813</v>
      </c>
      <c r="F9" s="27">
        <v>20500000</v>
      </c>
      <c r="G9" s="27">
        <v>19579407813</v>
      </c>
      <c r="I9" s="27">
        <v>24021989451</v>
      </c>
      <c r="J9" s="27">
        <v>-5443331638</v>
      </c>
      <c r="K9" s="27">
        <v>18578657813</v>
      </c>
      <c r="M9" s="27">
        <v>1000750000</v>
      </c>
    </row>
    <row r="10" spans="2:13">
      <c r="B10" s="20">
        <v>3</v>
      </c>
      <c r="C10" s="21" t="s">
        <v>75</v>
      </c>
      <c r="E10" s="22">
        <v>18095052888</v>
      </c>
      <c r="F10" s="22">
        <v>0</v>
      </c>
      <c r="G10" s="22">
        <v>18095052888</v>
      </c>
      <c r="I10" s="22">
        <v>23613814526</v>
      </c>
      <c r="J10" s="22">
        <v>-5518761638</v>
      </c>
      <c r="K10" s="22">
        <v>18095052888</v>
      </c>
      <c r="M10" s="22">
        <v>0</v>
      </c>
    </row>
    <row r="11" spans="2:13">
      <c r="B11" s="6">
        <v>4</v>
      </c>
      <c r="C11" s="23" t="s">
        <v>76</v>
      </c>
      <c r="E11" s="24">
        <v>1382424925</v>
      </c>
      <c r="F11" s="24">
        <v>0</v>
      </c>
      <c r="G11" s="24">
        <v>1382424925</v>
      </c>
      <c r="I11" s="24">
        <v>381674925</v>
      </c>
      <c r="J11" s="24">
        <v>0</v>
      </c>
      <c r="K11" s="24">
        <v>381674925</v>
      </c>
      <c r="M11" s="24">
        <v>1000750000</v>
      </c>
    </row>
    <row r="12" spans="2:13">
      <c r="B12" s="20">
        <v>5</v>
      </c>
      <c r="C12" s="21" t="s">
        <v>77</v>
      </c>
      <c r="E12" s="22">
        <v>0</v>
      </c>
      <c r="F12" s="22">
        <v>2000000</v>
      </c>
      <c r="G12" s="22">
        <v>2000000</v>
      </c>
      <c r="I12" s="22">
        <v>2000000</v>
      </c>
      <c r="J12" s="22">
        <v>0</v>
      </c>
      <c r="K12" s="22">
        <v>2000000</v>
      </c>
      <c r="M12" s="22">
        <v>0</v>
      </c>
    </row>
    <row r="13" spans="2:13">
      <c r="B13" s="6">
        <v>6</v>
      </c>
      <c r="C13" s="23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21" t="s">
        <v>79</v>
      </c>
      <c r="E14" s="22">
        <v>81430000</v>
      </c>
      <c r="F14" s="22">
        <v>18500000</v>
      </c>
      <c r="G14" s="22">
        <v>99930000</v>
      </c>
      <c r="I14" s="22">
        <v>24500000</v>
      </c>
      <c r="J14" s="22">
        <v>75430000</v>
      </c>
      <c r="K14" s="22">
        <v>99930000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6">
        <v>8</v>
      </c>
      <c r="C16" s="23" t="s">
        <v>81</v>
      </c>
      <c r="E16" s="24">
        <v>0</v>
      </c>
      <c r="F16" s="24">
        <v>0</v>
      </c>
      <c r="G16" s="24">
        <v>0</v>
      </c>
      <c r="I16" s="24">
        <v>0</v>
      </c>
      <c r="J16" s="24">
        <v>0</v>
      </c>
      <c r="K16" s="24">
        <v>0</v>
      </c>
      <c r="M16" s="24">
        <v>0</v>
      </c>
    </row>
    <row r="17" spans="2:13">
      <c r="B17" s="20">
        <v>9</v>
      </c>
      <c r="C17" s="21" t="s">
        <v>82</v>
      </c>
      <c r="E17" s="22">
        <v>0</v>
      </c>
      <c r="F17" s="22">
        <v>0</v>
      </c>
      <c r="G17" s="22">
        <v>0</v>
      </c>
      <c r="I17" s="22">
        <v>0</v>
      </c>
      <c r="J17" s="22">
        <v>0</v>
      </c>
      <c r="K17" s="22">
        <v>0</v>
      </c>
      <c r="M17" s="22">
        <v>0</v>
      </c>
    </row>
    <row r="18" spans="2:13">
      <c r="B18" s="6">
        <v>10</v>
      </c>
      <c r="C18" s="23" t="s">
        <v>83</v>
      </c>
      <c r="E18" s="24">
        <v>0</v>
      </c>
      <c r="F18" s="24">
        <v>0</v>
      </c>
      <c r="G18" s="24">
        <v>0</v>
      </c>
      <c r="I18" s="24">
        <v>0</v>
      </c>
      <c r="J18" s="24">
        <v>0</v>
      </c>
      <c r="K18" s="24">
        <v>0</v>
      </c>
      <c r="M18" s="24">
        <v>0</v>
      </c>
    </row>
    <row r="19" spans="2:13">
      <c r="B19" s="20">
        <v>11</v>
      </c>
      <c r="C19" s="21" t="s">
        <v>84</v>
      </c>
      <c r="E19" s="22">
        <v>0</v>
      </c>
      <c r="F19" s="22">
        <v>0</v>
      </c>
      <c r="G19" s="22">
        <v>0</v>
      </c>
      <c r="I19" s="22">
        <v>0</v>
      </c>
      <c r="J19" s="22">
        <v>0</v>
      </c>
      <c r="K19" s="22">
        <v>0</v>
      </c>
      <c r="M19" s="22">
        <v>0</v>
      </c>
    </row>
    <row r="20" spans="2:13">
      <c r="B20" s="6">
        <v>12</v>
      </c>
      <c r="C20" s="23" t="s">
        <v>85</v>
      </c>
      <c r="E20" s="24">
        <v>0</v>
      </c>
      <c r="F20" s="24">
        <v>0</v>
      </c>
      <c r="G20" s="24">
        <v>0</v>
      </c>
      <c r="I20" s="24">
        <v>0</v>
      </c>
      <c r="J20" s="24">
        <v>0</v>
      </c>
      <c r="K20" s="24">
        <v>0</v>
      </c>
      <c r="M20" s="24">
        <v>0</v>
      </c>
    </row>
    <row r="21" spans="2:13">
      <c r="B21" s="20">
        <v>13</v>
      </c>
      <c r="C21" s="21" t="s">
        <v>86</v>
      </c>
      <c r="E21" s="22">
        <v>0</v>
      </c>
      <c r="F21" s="22">
        <v>0</v>
      </c>
      <c r="G21" s="22">
        <v>0</v>
      </c>
      <c r="I21" s="22">
        <v>0</v>
      </c>
      <c r="J21" s="22">
        <v>0</v>
      </c>
      <c r="K21" s="22">
        <v>0</v>
      </c>
      <c r="M21" s="22">
        <v>0</v>
      </c>
    </row>
    <row r="22" spans="2:13">
      <c r="B22" s="6">
        <v>14</v>
      </c>
      <c r="C22" s="23" t="s">
        <v>87</v>
      </c>
      <c r="E22" s="24">
        <v>0</v>
      </c>
      <c r="F22" s="24">
        <v>0</v>
      </c>
      <c r="G22" s="24">
        <v>0</v>
      </c>
      <c r="I22" s="24">
        <v>0</v>
      </c>
      <c r="J22" s="24">
        <v>0</v>
      </c>
      <c r="K22" s="24">
        <v>0</v>
      </c>
      <c r="M22" s="24">
        <v>0</v>
      </c>
    </row>
    <row r="23" spans="2:13">
      <c r="B23" s="20">
        <v>15</v>
      </c>
      <c r="C23" s="21" t="s">
        <v>88</v>
      </c>
      <c r="E23" s="22">
        <v>0</v>
      </c>
      <c r="F23" s="22">
        <v>0</v>
      </c>
      <c r="G23" s="22">
        <v>0</v>
      </c>
      <c r="I23" s="22">
        <v>0</v>
      </c>
      <c r="J23" s="22">
        <v>0</v>
      </c>
      <c r="K23" s="22">
        <v>0</v>
      </c>
      <c r="M23" s="22">
        <v>0</v>
      </c>
    </row>
    <row r="24" spans="2:13">
      <c r="B24" s="6">
        <v>16</v>
      </c>
      <c r="C24" s="23" t="s">
        <v>89</v>
      </c>
      <c r="E24" s="24">
        <v>0</v>
      </c>
      <c r="F24" s="24">
        <v>0</v>
      </c>
      <c r="G24" s="24">
        <v>0</v>
      </c>
      <c r="I24" s="24">
        <v>0</v>
      </c>
      <c r="J24" s="24">
        <v>0</v>
      </c>
      <c r="K24" s="24">
        <v>0</v>
      </c>
      <c r="M24" s="24">
        <v>0</v>
      </c>
    </row>
    <row r="25" spans="2:13">
      <c r="B25" s="25"/>
      <c r="C25" s="26" t="s">
        <v>90</v>
      </c>
      <c r="E25" s="27">
        <v>1630450747</v>
      </c>
      <c r="F25" s="27">
        <v>0</v>
      </c>
      <c r="G25" s="27">
        <v>1630450747</v>
      </c>
      <c r="I25" s="27">
        <v>0</v>
      </c>
      <c r="J25" s="27">
        <v>1630450747</v>
      </c>
      <c r="K25" s="27">
        <v>1630450747</v>
      </c>
      <c r="M25" s="27">
        <v>0</v>
      </c>
    </row>
    <row r="26" spans="2:13">
      <c r="B26" s="20">
        <v>17</v>
      </c>
      <c r="C26" s="2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6">
        <v>18</v>
      </c>
      <c r="C27" s="23" t="s">
        <v>92</v>
      </c>
      <c r="E27" s="24">
        <v>700210162</v>
      </c>
      <c r="F27" s="24">
        <v>0</v>
      </c>
      <c r="G27" s="24">
        <v>700210162</v>
      </c>
      <c r="I27" s="24">
        <v>0</v>
      </c>
      <c r="J27" s="24">
        <v>700210162</v>
      </c>
      <c r="K27" s="24">
        <v>700210162</v>
      </c>
      <c r="M27" s="24">
        <v>0</v>
      </c>
    </row>
    <row r="28" spans="2:13">
      <c r="B28" s="20">
        <v>19</v>
      </c>
      <c r="C28" s="2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6">
        <v>20</v>
      </c>
      <c r="C29" s="23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20">
        <v>21</v>
      </c>
      <c r="C30" s="2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6">
        <v>22</v>
      </c>
      <c r="C31" s="23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20">
        <v>23</v>
      </c>
      <c r="C32" s="21" t="s">
        <v>97</v>
      </c>
      <c r="E32" s="22">
        <v>930240585</v>
      </c>
      <c r="F32" s="22">
        <v>0</v>
      </c>
      <c r="G32" s="22">
        <v>930240585</v>
      </c>
      <c r="I32" s="22">
        <v>0</v>
      </c>
      <c r="J32" s="22">
        <v>930240585</v>
      </c>
      <c r="K32" s="22">
        <v>930240585</v>
      </c>
      <c r="M32" s="22">
        <v>0</v>
      </c>
    </row>
    <row r="33" spans="2:13">
      <c r="B33" s="6">
        <v>24</v>
      </c>
      <c r="C33" s="23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20">
        <v>25</v>
      </c>
      <c r="C34" s="2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6">
        <v>26</v>
      </c>
      <c r="C35" s="23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18759257548</v>
      </c>
      <c r="F36" s="27">
        <v>-564325856</v>
      </c>
      <c r="G36" s="27">
        <v>18194931692</v>
      </c>
      <c r="I36" s="27">
        <v>11288266960</v>
      </c>
      <c r="J36" s="27">
        <v>6906581108</v>
      </c>
      <c r="K36" s="27">
        <v>18194848068</v>
      </c>
      <c r="M36" s="27">
        <v>83624</v>
      </c>
    </row>
    <row r="37" spans="2:13">
      <c r="B37" s="20">
        <v>27</v>
      </c>
      <c r="C37" s="21" t="s">
        <v>102</v>
      </c>
      <c r="E37" s="22">
        <v>666776206</v>
      </c>
      <c r="F37" s="22">
        <v>-565039296</v>
      </c>
      <c r="G37" s="22">
        <v>101736910</v>
      </c>
      <c r="I37" s="22">
        <v>101736910</v>
      </c>
      <c r="J37" s="22">
        <v>0</v>
      </c>
      <c r="K37" s="22">
        <v>101736910</v>
      </c>
      <c r="M37" s="22">
        <v>0</v>
      </c>
    </row>
    <row r="38" spans="2:13">
      <c r="B38" s="6">
        <v>28</v>
      </c>
      <c r="C38" s="23" t="s">
        <v>103</v>
      </c>
      <c r="E38" s="24">
        <v>5623462277</v>
      </c>
      <c r="F38" s="24">
        <v>0</v>
      </c>
      <c r="G38" s="24">
        <v>5623462277</v>
      </c>
      <c r="I38" s="24">
        <v>5218229482</v>
      </c>
      <c r="J38" s="24">
        <v>405232795</v>
      </c>
      <c r="K38" s="24">
        <v>5623462277</v>
      </c>
      <c r="M38" s="24">
        <v>0</v>
      </c>
    </row>
    <row r="39" spans="2:13">
      <c r="B39" s="20">
        <v>29</v>
      </c>
      <c r="C39" s="2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6">
        <v>30</v>
      </c>
      <c r="C40" s="23" t="s">
        <v>105</v>
      </c>
      <c r="E40" s="24">
        <v>10470001322</v>
      </c>
      <c r="F40" s="24">
        <v>0</v>
      </c>
      <c r="G40" s="24">
        <v>10470001322</v>
      </c>
      <c r="I40" s="24">
        <v>4211009649</v>
      </c>
      <c r="J40" s="24">
        <v>6258991601</v>
      </c>
      <c r="K40" s="24">
        <v>10470001250</v>
      </c>
      <c r="M40" s="24">
        <v>72</v>
      </c>
    </row>
    <row r="41" spans="2:13">
      <c r="B41" s="20">
        <v>31</v>
      </c>
      <c r="C41" s="2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6">
        <v>32</v>
      </c>
      <c r="C42" s="23" t="s">
        <v>107</v>
      </c>
      <c r="E42" s="24">
        <v>739979589</v>
      </c>
      <c r="F42" s="24">
        <v>0</v>
      </c>
      <c r="G42" s="24">
        <v>739979589</v>
      </c>
      <c r="I42" s="24">
        <v>739979589</v>
      </c>
      <c r="J42" s="24">
        <v>0</v>
      </c>
      <c r="K42" s="24">
        <v>739979589</v>
      </c>
      <c r="M42" s="24">
        <v>0</v>
      </c>
    </row>
    <row r="43" spans="2:13">
      <c r="B43" s="20">
        <v>33</v>
      </c>
      <c r="C43" s="2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6">
        <v>34</v>
      </c>
      <c r="C44" s="23" t="s">
        <v>109</v>
      </c>
      <c r="E44" s="24">
        <v>184908145</v>
      </c>
      <c r="F44" s="24">
        <v>0</v>
      </c>
      <c r="G44" s="24">
        <v>184908145</v>
      </c>
      <c r="I44" s="24">
        <v>184824593</v>
      </c>
      <c r="J44" s="24">
        <v>0</v>
      </c>
      <c r="K44" s="24">
        <v>184824593</v>
      </c>
      <c r="M44" s="24">
        <v>83552</v>
      </c>
    </row>
    <row r="45" spans="2:13">
      <c r="B45" s="20">
        <v>35</v>
      </c>
      <c r="C45" s="2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6">
        <v>36</v>
      </c>
      <c r="C46" s="23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20">
        <v>37</v>
      </c>
      <c r="C47" s="2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6">
        <v>38</v>
      </c>
      <c r="C48" s="23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20">
        <v>39</v>
      </c>
      <c r="C49" s="21" t="s">
        <v>114</v>
      </c>
      <c r="E49" s="22">
        <v>1074130009</v>
      </c>
      <c r="F49" s="22">
        <v>713440</v>
      </c>
      <c r="G49" s="22">
        <v>1074843449</v>
      </c>
      <c r="I49" s="22">
        <v>832486737</v>
      </c>
      <c r="J49" s="22">
        <v>242356712</v>
      </c>
      <c r="K49" s="22">
        <v>1074843449</v>
      </c>
      <c r="M49" s="22">
        <v>0</v>
      </c>
    </row>
    <row r="50" spans="2:13">
      <c r="B50" s="6">
        <v>40</v>
      </c>
      <c r="C50" s="23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>
      <c r="B51" s="20">
        <v>41</v>
      </c>
      <c r="C51" s="2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6">
        <v>42</v>
      </c>
      <c r="C52" s="23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5438903476</v>
      </c>
      <c r="F53" s="27">
        <v>-4671048100</v>
      </c>
      <c r="G53" s="27">
        <v>767855376</v>
      </c>
      <c r="I53" s="27">
        <v>601569229</v>
      </c>
      <c r="J53" s="27">
        <v>0</v>
      </c>
      <c r="K53" s="27">
        <v>601569229</v>
      </c>
      <c r="M53" s="27">
        <v>166286147</v>
      </c>
    </row>
    <row r="54" spans="2:13">
      <c r="B54" s="20">
        <v>43</v>
      </c>
      <c r="C54" s="2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6">
        <v>44</v>
      </c>
      <c r="C55" s="23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20">
        <v>45</v>
      </c>
      <c r="C56" s="2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6">
        <v>46</v>
      </c>
      <c r="C57" s="23" t="s">
        <v>122</v>
      </c>
      <c r="E57" s="24">
        <v>5438903476</v>
      </c>
      <c r="F57" s="24">
        <v>-4671048100</v>
      </c>
      <c r="G57" s="24">
        <v>767855376</v>
      </c>
      <c r="I57" s="24">
        <v>601569229</v>
      </c>
      <c r="J57" s="24">
        <v>0</v>
      </c>
      <c r="K57" s="24">
        <v>601569229</v>
      </c>
      <c r="M57" s="24">
        <v>166286147</v>
      </c>
    </row>
    <row r="58" spans="2:13">
      <c r="B58" s="20">
        <v>47</v>
      </c>
      <c r="C58" s="2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6">
        <v>48</v>
      </c>
      <c r="C59" s="23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20">
        <v>49</v>
      </c>
      <c r="C60" s="2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6">
        <v>50</v>
      </c>
      <c r="C61" s="23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102506250</v>
      </c>
      <c r="G62" s="27">
        <v>102506250</v>
      </c>
      <c r="I62" s="27">
        <v>102506250</v>
      </c>
      <c r="J62" s="27">
        <v>0</v>
      </c>
      <c r="K62" s="27">
        <v>102506250</v>
      </c>
      <c r="M62" s="27">
        <v>0</v>
      </c>
    </row>
    <row r="63" spans="2:13">
      <c r="B63" s="20">
        <v>51</v>
      </c>
      <c r="C63" s="21" t="s">
        <v>128</v>
      </c>
      <c r="E63" s="22">
        <v>0</v>
      </c>
      <c r="F63" s="22">
        <v>102506250</v>
      </c>
      <c r="G63" s="22">
        <v>102506250</v>
      </c>
      <c r="I63" s="22">
        <v>102506250</v>
      </c>
      <c r="J63" s="22">
        <v>0</v>
      </c>
      <c r="K63" s="22">
        <v>102506250</v>
      </c>
      <c r="M63" s="22">
        <v>0</v>
      </c>
    </row>
    <row r="64" spans="2:13">
      <c r="B64" s="6">
        <v>52</v>
      </c>
      <c r="C64" s="23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20">
        <v>53</v>
      </c>
      <c r="C65" s="2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349158532</v>
      </c>
      <c r="F66" s="27">
        <v>-105045250</v>
      </c>
      <c r="G66" s="27">
        <v>244113282</v>
      </c>
      <c r="I66" s="27">
        <v>244113282</v>
      </c>
      <c r="J66" s="27">
        <v>0</v>
      </c>
      <c r="K66" s="27">
        <v>244113282</v>
      </c>
      <c r="M66" s="27">
        <v>0</v>
      </c>
    </row>
    <row r="67" spans="2:13">
      <c r="B67" s="6">
        <v>54</v>
      </c>
      <c r="C67" s="23" t="s">
        <v>132</v>
      </c>
      <c r="E67" s="24">
        <v>0</v>
      </c>
      <c r="F67" s="24">
        <v>0</v>
      </c>
      <c r="G67" s="24">
        <v>0</v>
      </c>
      <c r="I67" s="24">
        <v>0</v>
      </c>
      <c r="J67" s="24">
        <v>0</v>
      </c>
      <c r="K67" s="24">
        <v>0</v>
      </c>
      <c r="M67" s="24">
        <v>0</v>
      </c>
    </row>
    <row r="68" spans="2:13">
      <c r="B68" s="20">
        <v>55</v>
      </c>
      <c r="C68" s="21" t="s">
        <v>133</v>
      </c>
      <c r="E68" s="22">
        <v>349158532</v>
      </c>
      <c r="F68" s="22">
        <v>-105045250</v>
      </c>
      <c r="G68" s="22">
        <v>244113282</v>
      </c>
      <c r="I68" s="22">
        <v>244113282</v>
      </c>
      <c r="J68" s="22">
        <v>0</v>
      </c>
      <c r="K68" s="22">
        <v>244113282</v>
      </c>
      <c r="M68" s="22">
        <v>0</v>
      </c>
    </row>
    <row r="69" spans="2:13">
      <c r="B69" s="25"/>
      <c r="C69" s="26" t="s">
        <v>134</v>
      </c>
      <c r="E69" s="27">
        <v>91733040</v>
      </c>
      <c r="F69" s="27">
        <v>0</v>
      </c>
      <c r="G69" s="27">
        <v>91733040</v>
      </c>
      <c r="I69" s="27">
        <v>91733040</v>
      </c>
      <c r="J69" s="27">
        <v>0</v>
      </c>
      <c r="K69" s="27">
        <v>91733040</v>
      </c>
      <c r="M69" s="27">
        <v>0</v>
      </c>
    </row>
    <row r="70" spans="2:13">
      <c r="B70" s="6">
        <v>56</v>
      </c>
      <c r="C70" s="23" t="s">
        <v>135</v>
      </c>
      <c r="E70" s="24">
        <v>91733040</v>
      </c>
      <c r="F70" s="24">
        <v>0</v>
      </c>
      <c r="G70" s="24">
        <v>91733040</v>
      </c>
      <c r="I70" s="24">
        <v>91733040</v>
      </c>
      <c r="J70" s="24">
        <v>0</v>
      </c>
      <c r="K70" s="24">
        <v>91733040</v>
      </c>
      <c r="M70" s="24">
        <v>0</v>
      </c>
    </row>
    <row r="71" spans="2:13">
      <c r="B71" s="25"/>
      <c r="C71" s="26" t="s">
        <v>136</v>
      </c>
      <c r="E71" s="27">
        <v>739969819</v>
      </c>
      <c r="F71" s="27">
        <v>0</v>
      </c>
      <c r="G71" s="27">
        <v>739969819</v>
      </c>
      <c r="I71" s="27">
        <v>739969819</v>
      </c>
      <c r="J71" s="27">
        <v>0</v>
      </c>
      <c r="K71" s="27">
        <v>739969819</v>
      </c>
      <c r="M71" s="27">
        <v>0</v>
      </c>
    </row>
    <row r="72" spans="2:13">
      <c r="B72" s="20">
        <v>57</v>
      </c>
      <c r="C72" s="21" t="s">
        <v>137</v>
      </c>
      <c r="E72" s="22">
        <v>739969819</v>
      </c>
      <c r="F72" s="22">
        <v>0</v>
      </c>
      <c r="G72" s="22">
        <v>739969819</v>
      </c>
      <c r="I72" s="22">
        <v>739969819</v>
      </c>
      <c r="J72" s="22">
        <v>0</v>
      </c>
      <c r="K72" s="22">
        <v>739969819</v>
      </c>
      <c r="M72" s="22">
        <v>0</v>
      </c>
    </row>
    <row r="73" spans="2:13">
      <c r="B73" s="25"/>
      <c r="C73" s="26" t="s">
        <v>138</v>
      </c>
      <c r="E73" s="27">
        <v>106394884</v>
      </c>
      <c r="F73" s="27">
        <v>0</v>
      </c>
      <c r="G73" s="27">
        <v>106394884</v>
      </c>
      <c r="H73" s="28">
        <v>808920</v>
      </c>
      <c r="I73" s="27">
        <v>12875000</v>
      </c>
      <c r="J73" s="27">
        <v>0</v>
      </c>
      <c r="K73" s="27">
        <v>12875000</v>
      </c>
      <c r="M73" s="27">
        <v>93519884</v>
      </c>
    </row>
    <row r="74" spans="2:13">
      <c r="B74" s="6">
        <v>58</v>
      </c>
      <c r="C74" s="23" t="s">
        <v>139</v>
      </c>
      <c r="E74" s="24">
        <v>106394884</v>
      </c>
      <c r="F74" s="24">
        <v>0</v>
      </c>
      <c r="G74" s="24">
        <v>106394884</v>
      </c>
      <c r="I74" s="24">
        <v>12875000</v>
      </c>
      <c r="J74" s="24">
        <v>0</v>
      </c>
      <c r="K74" s="24">
        <v>12875000</v>
      </c>
      <c r="M74" s="24">
        <v>93519884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5BECF0CA-A782-4612-A95B-07F28454E695}">
      <formula1>Taxes</formula1>
    </dataValidation>
    <dataValidation type="list" allowBlank="1" showInputMessage="1" showErrorMessage="1" sqref="C75:C603" xr:uid="{FF7E7C85-9C68-4FF6-8E0E-BC0DABFEB0B3}">
      <formula1>Compadjust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A1C5-AF5E-4224-961C-77422EAC4D95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33" customHeight="1">
      <c r="C1" s="7" t="s">
        <v>60</v>
      </c>
      <c r="E1" s="9" t="s">
        <v>8</v>
      </c>
      <c r="F1" s="9" t="s">
        <v>142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29811656548</v>
      </c>
      <c r="F8" s="19">
        <v>6226020</v>
      </c>
      <c r="G8" s="19">
        <v>29817882568</v>
      </c>
      <c r="I8" s="19">
        <v>29805175707</v>
      </c>
      <c r="J8" s="19">
        <v>0</v>
      </c>
      <c r="K8" s="19">
        <v>29805175707</v>
      </c>
      <c r="M8" s="19">
        <v>12706861</v>
      </c>
    </row>
    <row r="9" spans="2:13">
      <c r="B9" s="25"/>
      <c r="C9" s="26" t="s">
        <v>74</v>
      </c>
      <c r="E9" s="27">
        <v>195884559</v>
      </c>
      <c r="F9" s="27">
        <v>0</v>
      </c>
      <c r="G9" s="27">
        <v>195884559</v>
      </c>
      <c r="I9" s="27">
        <v>202845744</v>
      </c>
      <c r="J9" s="27">
        <v>0</v>
      </c>
      <c r="K9" s="27">
        <v>202845744</v>
      </c>
      <c r="M9" s="27">
        <v>-6961185</v>
      </c>
    </row>
    <row r="10" spans="2:13">
      <c r="B10" s="20">
        <v>3</v>
      </c>
      <c r="C10" s="41" t="s">
        <v>75</v>
      </c>
      <c r="E10" s="22">
        <v>195884559</v>
      </c>
      <c r="F10" s="22">
        <v>0</v>
      </c>
      <c r="G10" s="22">
        <v>195884559</v>
      </c>
      <c r="I10" s="22">
        <v>202845744</v>
      </c>
      <c r="J10" s="22">
        <v>0</v>
      </c>
      <c r="K10" s="22">
        <v>202845744</v>
      </c>
      <c r="M10" s="22">
        <v>-6961185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14436490375</v>
      </c>
      <c r="F36" s="27">
        <v>6226020</v>
      </c>
      <c r="G36" s="27">
        <v>14442716395</v>
      </c>
      <c r="I36" s="27">
        <v>14442716395</v>
      </c>
      <c r="J36" s="27">
        <v>0</v>
      </c>
      <c r="K36" s="27">
        <v>14442716395</v>
      </c>
      <c r="M36" s="27">
        <v>0</v>
      </c>
    </row>
    <row r="37" spans="2:13">
      <c r="B37" s="43">
        <v>27</v>
      </c>
      <c r="C37" s="41" t="s">
        <v>102</v>
      </c>
      <c r="E37" s="22">
        <v>3777371395</v>
      </c>
      <c r="F37" s="22">
        <v>0</v>
      </c>
      <c r="G37" s="22">
        <v>3777371395</v>
      </c>
      <c r="I37" s="22">
        <v>3777371395</v>
      </c>
      <c r="J37" s="22">
        <v>0</v>
      </c>
      <c r="K37" s="22">
        <v>3777371395</v>
      </c>
      <c r="M37" s="22">
        <v>0</v>
      </c>
    </row>
    <row r="38" spans="2:13">
      <c r="B38" s="44">
        <v>28</v>
      </c>
      <c r="C38" s="42" t="s">
        <v>103</v>
      </c>
      <c r="E38" s="24">
        <v>1611654224</v>
      </c>
      <c r="F38" s="24">
        <v>0</v>
      </c>
      <c r="G38" s="24">
        <v>1611654224</v>
      </c>
      <c r="I38" s="24">
        <v>1611654224</v>
      </c>
      <c r="J38" s="24">
        <v>0</v>
      </c>
      <c r="K38" s="24">
        <v>1611654224</v>
      </c>
      <c r="M38" s="24">
        <v>0</v>
      </c>
    </row>
    <row r="39" spans="2:13">
      <c r="B39" s="43">
        <v>29</v>
      </c>
      <c r="C39" s="41" t="s">
        <v>104</v>
      </c>
      <c r="E39" s="22">
        <v>2510627157</v>
      </c>
      <c r="F39" s="22">
        <v>0</v>
      </c>
      <c r="G39" s="22">
        <v>2510627157</v>
      </c>
      <c r="I39" s="22">
        <v>2510627157</v>
      </c>
      <c r="J39" s="22">
        <v>0</v>
      </c>
      <c r="K39" s="22">
        <v>2510627157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4405854</v>
      </c>
      <c r="F44" s="24">
        <v>0</v>
      </c>
      <c r="G44" s="24">
        <v>4405854</v>
      </c>
      <c r="I44" s="24">
        <v>4405854</v>
      </c>
      <c r="J44" s="24">
        <v>0</v>
      </c>
      <c r="K44" s="24">
        <v>4405854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17831325</v>
      </c>
      <c r="F49" s="22">
        <v>0</v>
      </c>
      <c r="G49" s="22">
        <v>17831325</v>
      </c>
      <c r="I49" s="22">
        <v>17831325</v>
      </c>
      <c r="J49" s="22">
        <v>0</v>
      </c>
      <c r="K49" s="22">
        <v>17831325</v>
      </c>
      <c r="M49" s="22">
        <v>0</v>
      </c>
    </row>
    <row r="50" spans="2:13">
      <c r="B50" s="44">
        <v>40</v>
      </c>
      <c r="C50" s="42" t="s">
        <v>115</v>
      </c>
      <c r="E50" s="24">
        <v>2965599480</v>
      </c>
      <c r="F50" s="24">
        <v>6226020</v>
      </c>
      <c r="G50" s="24">
        <v>2971825500</v>
      </c>
      <c r="I50" s="24">
        <v>2971825500</v>
      </c>
      <c r="J50" s="24">
        <v>0</v>
      </c>
      <c r="K50" s="24">
        <v>2971825500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3549000940</v>
      </c>
      <c r="F52" s="24">
        <v>0</v>
      </c>
      <c r="G52" s="24">
        <v>3549000940</v>
      </c>
      <c r="I52" s="24">
        <v>3549000940</v>
      </c>
      <c r="J52" s="24">
        <v>0</v>
      </c>
      <c r="K52" s="24">
        <v>3549000940</v>
      </c>
      <c r="M52" s="24">
        <v>0</v>
      </c>
    </row>
    <row r="53" spans="2:13">
      <c r="B53" s="25"/>
      <c r="C53" s="26" t="s">
        <v>118</v>
      </c>
      <c r="E53" s="27">
        <v>14602527367</v>
      </c>
      <c r="F53" s="27">
        <v>0</v>
      </c>
      <c r="G53" s="27">
        <v>14602527367</v>
      </c>
      <c r="I53" s="27">
        <v>14582859321</v>
      </c>
      <c r="J53" s="27">
        <v>0</v>
      </c>
      <c r="K53" s="27">
        <v>14582859321</v>
      </c>
      <c r="M53" s="27">
        <v>19668046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14602527367</v>
      </c>
      <c r="F57" s="24">
        <v>0</v>
      </c>
      <c r="G57" s="24">
        <v>14602527367</v>
      </c>
      <c r="I57" s="24">
        <v>14582859321</v>
      </c>
      <c r="J57" s="24">
        <v>0</v>
      </c>
      <c r="K57" s="24">
        <v>14582859321</v>
      </c>
      <c r="M57" s="24">
        <v>19668046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108708252</v>
      </c>
      <c r="F69" s="27">
        <v>0</v>
      </c>
      <c r="G69" s="27">
        <v>108708252</v>
      </c>
      <c r="I69" s="27">
        <v>108708252</v>
      </c>
      <c r="J69" s="27">
        <v>0</v>
      </c>
      <c r="K69" s="27">
        <v>108708252</v>
      </c>
      <c r="M69" s="27">
        <v>0</v>
      </c>
    </row>
    <row r="70" spans="2:13">
      <c r="B70" s="43">
        <v>56</v>
      </c>
      <c r="C70" s="41" t="s">
        <v>135</v>
      </c>
      <c r="E70" s="22">
        <v>108708252</v>
      </c>
      <c r="F70" s="22">
        <v>0</v>
      </c>
      <c r="G70" s="22">
        <v>108708252</v>
      </c>
      <c r="I70" s="22">
        <v>108708252</v>
      </c>
      <c r="J70" s="22">
        <v>0</v>
      </c>
      <c r="K70" s="22">
        <v>108708252</v>
      </c>
      <c r="M70" s="22">
        <v>0</v>
      </c>
    </row>
    <row r="71" spans="2:13">
      <c r="B71" s="25"/>
      <c r="C71" s="26" t="s">
        <v>136</v>
      </c>
      <c r="E71" s="27">
        <v>468045995</v>
      </c>
      <c r="F71" s="27">
        <v>0</v>
      </c>
      <c r="G71" s="27">
        <v>468045995</v>
      </c>
      <c r="I71" s="27">
        <v>468045995</v>
      </c>
      <c r="J71" s="27">
        <v>0</v>
      </c>
      <c r="K71" s="27">
        <v>468045995</v>
      </c>
      <c r="M71" s="27">
        <v>0</v>
      </c>
    </row>
    <row r="72" spans="2:13">
      <c r="B72" s="44">
        <v>57</v>
      </c>
      <c r="C72" s="42" t="s">
        <v>137</v>
      </c>
      <c r="E72" s="24">
        <v>468045995</v>
      </c>
      <c r="F72" s="24">
        <v>0</v>
      </c>
      <c r="G72" s="24">
        <v>468045995</v>
      </c>
      <c r="I72" s="24">
        <v>468045995</v>
      </c>
      <c r="J72" s="24">
        <v>0</v>
      </c>
      <c r="K72" s="24">
        <v>468045995</v>
      </c>
      <c r="M72" s="24">
        <v>0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5:C603" xr:uid="{96B7E64C-19E2-419A-BDE4-B0191B4D550F}">
      <formula1>Compadjust</formula1>
    </dataValidation>
    <dataValidation type="list" allowBlank="1" showInputMessage="1" showErrorMessage="1" sqref="J203:J600 K75:M600" xr:uid="{4584D03A-0AAD-4204-A70E-46AD792CD870}">
      <formula1>Taxes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177C-0172-4420-8A14-23536B737F48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22">
      <c r="C1" s="7" t="s">
        <v>60</v>
      </c>
      <c r="E1" s="9" t="s">
        <v>10</v>
      </c>
      <c r="F1" s="9" t="s">
        <v>143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17291526166</v>
      </c>
      <c r="F8" s="19">
        <v>-274130357</v>
      </c>
      <c r="G8" s="19">
        <v>17017395809</v>
      </c>
      <c r="I8" s="19">
        <v>15819619566</v>
      </c>
      <c r="J8" s="19">
        <v>-29498525</v>
      </c>
      <c r="K8" s="19">
        <v>15790121041</v>
      </c>
      <c r="M8" s="19">
        <v>1227274768</v>
      </c>
    </row>
    <row r="9" spans="2:13">
      <c r="B9" s="25"/>
      <c r="C9" s="26" t="s">
        <v>74</v>
      </c>
      <c r="E9" s="27">
        <v>5141530456</v>
      </c>
      <c r="F9" s="27">
        <v>1187417007</v>
      </c>
      <c r="G9" s="27">
        <v>6328947463</v>
      </c>
      <c r="I9" s="27">
        <v>6601266181</v>
      </c>
      <c r="J9" s="27">
        <v>-29498525</v>
      </c>
      <c r="K9" s="27">
        <v>6571767656</v>
      </c>
      <c r="M9" s="27">
        <v>-242820193</v>
      </c>
    </row>
    <row r="10" spans="2:13">
      <c r="B10" s="20">
        <v>3</v>
      </c>
      <c r="C10" s="41" t="s">
        <v>75</v>
      </c>
      <c r="E10" s="22">
        <v>5133130456</v>
      </c>
      <c r="F10" s="22">
        <v>1187417007</v>
      </c>
      <c r="G10" s="22">
        <v>6320547463</v>
      </c>
      <c r="I10" s="22">
        <v>6571767656</v>
      </c>
      <c r="J10" s="22">
        <v>0</v>
      </c>
      <c r="K10" s="22">
        <v>6571767656</v>
      </c>
      <c r="M10" s="22">
        <v>-251220193</v>
      </c>
    </row>
    <row r="11" spans="2:13">
      <c r="B11" s="6">
        <v>4</v>
      </c>
      <c r="C11" s="42" t="s">
        <v>76</v>
      </c>
      <c r="E11" s="24">
        <v>8400000</v>
      </c>
      <c r="F11" s="24">
        <v>0</v>
      </c>
      <c r="G11" s="24">
        <v>8400000</v>
      </c>
      <c r="I11" s="24">
        <v>29498525</v>
      </c>
      <c r="J11" s="24">
        <v>-29498525</v>
      </c>
      <c r="K11" s="24">
        <v>0</v>
      </c>
      <c r="M11" s="24">
        <v>8400000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1187417007</v>
      </c>
      <c r="F25" s="27">
        <v>-1187417007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1187417007</v>
      </c>
      <c r="F26" s="22">
        <v>-1187417007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9119826455</v>
      </c>
      <c r="F36" s="27">
        <v>-575200446</v>
      </c>
      <c r="G36" s="27">
        <v>8544626009</v>
      </c>
      <c r="I36" s="27">
        <v>8544626010</v>
      </c>
      <c r="J36" s="27">
        <v>0</v>
      </c>
      <c r="K36" s="27">
        <v>8544626010</v>
      </c>
      <c r="M36" s="27">
        <v>-1</v>
      </c>
    </row>
    <row r="37" spans="2:13">
      <c r="B37" s="43">
        <v>27</v>
      </c>
      <c r="C37" s="41" t="s">
        <v>102</v>
      </c>
      <c r="E37" s="22">
        <v>0</v>
      </c>
      <c r="F37" s="22">
        <v>3649643</v>
      </c>
      <c r="G37" s="22">
        <v>3649643</v>
      </c>
      <c r="I37" s="22">
        <v>3649643</v>
      </c>
      <c r="J37" s="22">
        <v>0</v>
      </c>
      <c r="K37" s="22">
        <v>3649643</v>
      </c>
      <c r="M37" s="22">
        <v>0</v>
      </c>
    </row>
    <row r="38" spans="2:13">
      <c r="B38" s="44">
        <v>28</v>
      </c>
      <c r="C38" s="42" t="s">
        <v>103</v>
      </c>
      <c r="E38" s="24">
        <v>5883516349</v>
      </c>
      <c r="F38" s="24">
        <v>-575200446</v>
      </c>
      <c r="G38" s="24">
        <v>5308315903</v>
      </c>
      <c r="I38" s="24">
        <v>5308315903</v>
      </c>
      <c r="J38" s="24">
        <v>0</v>
      </c>
      <c r="K38" s="24">
        <v>5308315903</v>
      </c>
      <c r="M38" s="24">
        <v>0</v>
      </c>
    </row>
    <row r="39" spans="2:13">
      <c r="B39" s="43">
        <v>29</v>
      </c>
      <c r="C39" s="41" t="s">
        <v>104</v>
      </c>
      <c r="E39" s="22">
        <v>2550000000</v>
      </c>
      <c r="F39" s="22">
        <v>0</v>
      </c>
      <c r="G39" s="22">
        <v>2550000000</v>
      </c>
      <c r="I39" s="22">
        <v>2550000000</v>
      </c>
      <c r="J39" s="22">
        <v>0</v>
      </c>
      <c r="K39" s="22">
        <v>2550000000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640827500</v>
      </c>
      <c r="F42" s="24">
        <v>0</v>
      </c>
      <c r="G42" s="24">
        <v>640827500</v>
      </c>
      <c r="I42" s="24">
        <v>640827501</v>
      </c>
      <c r="J42" s="24">
        <v>0</v>
      </c>
      <c r="K42" s="24">
        <v>640827501</v>
      </c>
      <c r="M42" s="24">
        <v>-1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4220600</v>
      </c>
      <c r="F44" s="24">
        <v>0</v>
      </c>
      <c r="G44" s="24">
        <v>4220600</v>
      </c>
      <c r="I44" s="24">
        <v>4220600</v>
      </c>
      <c r="J44" s="24">
        <v>0</v>
      </c>
      <c r="K44" s="24">
        <v>4220600</v>
      </c>
      <c r="M44" s="24">
        <v>0</v>
      </c>
    </row>
    <row r="45" spans="2:13">
      <c r="B45" s="43">
        <v>35</v>
      </c>
      <c r="C45" s="41" t="s">
        <v>110</v>
      </c>
      <c r="E45" s="22">
        <v>3649643</v>
      </c>
      <c r="F45" s="22">
        <v>-3649643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37612363</v>
      </c>
      <c r="F49" s="22">
        <v>0</v>
      </c>
      <c r="G49" s="22">
        <v>37612363</v>
      </c>
      <c r="I49" s="22">
        <v>37612363</v>
      </c>
      <c r="J49" s="22">
        <v>0</v>
      </c>
      <c r="K49" s="22">
        <v>37612363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1568621891</v>
      </c>
      <c r="F53" s="27">
        <v>0</v>
      </c>
      <c r="G53" s="27">
        <v>1568621891</v>
      </c>
      <c r="I53" s="27">
        <v>202651003</v>
      </c>
      <c r="J53" s="27">
        <v>0</v>
      </c>
      <c r="K53" s="27">
        <v>202651003</v>
      </c>
      <c r="M53" s="27">
        <v>1365970888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1568621891</v>
      </c>
      <c r="F57" s="24">
        <v>0</v>
      </c>
      <c r="G57" s="24">
        <v>1568621891</v>
      </c>
      <c r="I57" s="24">
        <v>202651003</v>
      </c>
      <c r="J57" s="24">
        <v>0</v>
      </c>
      <c r="K57" s="24">
        <v>202651003</v>
      </c>
      <c r="M57" s="24">
        <v>1365970888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0</v>
      </c>
      <c r="F69" s="27">
        <v>66822640</v>
      </c>
      <c r="G69" s="27">
        <v>66822640</v>
      </c>
      <c r="I69" s="27">
        <v>49642670</v>
      </c>
      <c r="J69" s="27">
        <v>0</v>
      </c>
      <c r="K69" s="27">
        <v>49642670</v>
      </c>
      <c r="M69" s="27">
        <v>17179970</v>
      </c>
    </row>
    <row r="70" spans="2:13">
      <c r="B70" s="43">
        <v>56</v>
      </c>
      <c r="C70" s="41" t="s">
        <v>135</v>
      </c>
      <c r="E70" s="22">
        <v>0</v>
      </c>
      <c r="F70" s="22">
        <v>66822640</v>
      </c>
      <c r="G70" s="22">
        <v>66822640</v>
      </c>
      <c r="I70" s="22">
        <v>49642670</v>
      </c>
      <c r="J70" s="22">
        <v>0</v>
      </c>
      <c r="K70" s="22">
        <v>49642670</v>
      </c>
      <c r="M70" s="22">
        <v>17179970</v>
      </c>
    </row>
    <row r="71" spans="2:13">
      <c r="B71" s="25"/>
      <c r="C71" s="26" t="s">
        <v>136</v>
      </c>
      <c r="E71" s="27">
        <v>0</v>
      </c>
      <c r="F71" s="27">
        <v>508377806</v>
      </c>
      <c r="G71" s="27">
        <v>508377806</v>
      </c>
      <c r="I71" s="27">
        <v>421433702</v>
      </c>
      <c r="J71" s="27">
        <v>0</v>
      </c>
      <c r="K71" s="27">
        <v>421433702</v>
      </c>
      <c r="M71" s="27">
        <v>86944104</v>
      </c>
    </row>
    <row r="72" spans="2:13">
      <c r="B72" s="44">
        <v>57</v>
      </c>
      <c r="C72" s="42" t="s">
        <v>137</v>
      </c>
      <c r="E72" s="24">
        <v>0</v>
      </c>
      <c r="F72" s="24">
        <v>508377806</v>
      </c>
      <c r="G72" s="24">
        <v>508377806</v>
      </c>
      <c r="I72" s="24">
        <v>421433702</v>
      </c>
      <c r="J72" s="24">
        <v>0</v>
      </c>
      <c r="K72" s="24">
        <v>421433702</v>
      </c>
      <c r="M72" s="24">
        <v>86944104</v>
      </c>
    </row>
    <row r="73" spans="2:13">
      <c r="B73" s="25"/>
      <c r="C73" s="26" t="s">
        <v>138</v>
      </c>
      <c r="E73" s="27">
        <v>274130357</v>
      </c>
      <c r="F73" s="27">
        <v>-274130357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274130357</v>
      </c>
      <c r="F74" s="22">
        <v>-274130357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1EF64433-7BAC-4CBA-9151-DD443BE2A602}">
      <formula1>Taxes</formula1>
    </dataValidation>
    <dataValidation type="list" allowBlank="1" showInputMessage="1" showErrorMessage="1" sqref="C75:C603" xr:uid="{F384755F-A2B6-4590-8147-40BA60B95823}">
      <formula1>Compadjust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DB12-2C33-4C26-924D-AA7E8E23B636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63.75" customHeight="1">
      <c r="C1" s="7" t="s">
        <v>60</v>
      </c>
      <c r="E1" s="9" t="s">
        <v>12</v>
      </c>
      <c r="F1" s="9" t="s">
        <v>144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444675013</v>
      </c>
      <c r="F8" s="19">
        <v>56833706</v>
      </c>
      <c r="G8" s="19">
        <v>501508719</v>
      </c>
      <c r="I8" s="19">
        <v>269533422</v>
      </c>
      <c r="J8" s="19">
        <v>230049346</v>
      </c>
      <c r="K8" s="19">
        <v>499582768</v>
      </c>
      <c r="M8" s="19">
        <v>1925951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62400</v>
      </c>
      <c r="J9" s="27">
        <v>0</v>
      </c>
      <c r="K9" s="27">
        <v>62400</v>
      </c>
      <c r="M9" s="27">
        <v>-62400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62400</v>
      </c>
      <c r="J14" s="22">
        <v>0</v>
      </c>
      <c r="K14" s="22">
        <v>62400</v>
      </c>
      <c r="M14" s="22">
        <v>-62400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442399813</v>
      </c>
      <c r="F36" s="27">
        <v>0</v>
      </c>
      <c r="G36" s="27">
        <v>442399813</v>
      </c>
      <c r="I36" s="27">
        <v>212350467</v>
      </c>
      <c r="J36" s="27">
        <v>230049346</v>
      </c>
      <c r="K36" s="27">
        <v>442399813</v>
      </c>
      <c r="M36" s="27">
        <v>0</v>
      </c>
    </row>
    <row r="37" spans="2:13">
      <c r="B37" s="43">
        <v>27</v>
      </c>
      <c r="C37" s="41" t="s">
        <v>102</v>
      </c>
      <c r="E37" s="22">
        <v>84212829</v>
      </c>
      <c r="F37" s="22">
        <v>0</v>
      </c>
      <c r="G37" s="22">
        <v>84212829</v>
      </c>
      <c r="I37" s="22">
        <v>84212829</v>
      </c>
      <c r="J37" s="22">
        <v>0</v>
      </c>
      <c r="K37" s="22">
        <v>84212829</v>
      </c>
      <c r="M37" s="22">
        <v>0</v>
      </c>
    </row>
    <row r="38" spans="2:13">
      <c r="B38" s="44">
        <v>28</v>
      </c>
      <c r="C38" s="42" t="s">
        <v>103</v>
      </c>
      <c r="E38" s="24">
        <v>80923472</v>
      </c>
      <c r="F38" s="24">
        <v>0</v>
      </c>
      <c r="G38" s="24">
        <v>80923472</v>
      </c>
      <c r="I38" s="24">
        <v>80923472</v>
      </c>
      <c r="J38" s="24">
        <v>0</v>
      </c>
      <c r="K38" s="24">
        <v>80923472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269651774</v>
      </c>
      <c r="F40" s="24">
        <v>0</v>
      </c>
      <c r="G40" s="24">
        <v>269651774</v>
      </c>
      <c r="I40" s="24">
        <v>39602428</v>
      </c>
      <c r="J40" s="24">
        <v>230049346</v>
      </c>
      <c r="K40" s="24">
        <v>269651774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7611738</v>
      </c>
      <c r="F44" s="24">
        <v>0</v>
      </c>
      <c r="G44" s="24">
        <v>7611738</v>
      </c>
      <c r="I44" s="24">
        <v>7611738</v>
      </c>
      <c r="J44" s="24">
        <v>0</v>
      </c>
      <c r="K44" s="24">
        <v>7611738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0</v>
      </c>
      <c r="J53" s="27">
        <v>0</v>
      </c>
      <c r="K53" s="27">
        <v>0</v>
      </c>
      <c r="M53" s="27">
        <v>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0</v>
      </c>
      <c r="J57" s="24">
        <v>0</v>
      </c>
      <c r="K57" s="24">
        <v>0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12572000</v>
      </c>
      <c r="G66" s="27">
        <v>12572000</v>
      </c>
      <c r="I66" s="27">
        <v>12572000</v>
      </c>
      <c r="J66" s="27">
        <v>0</v>
      </c>
      <c r="K66" s="27">
        <v>12572000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12572000</v>
      </c>
      <c r="G68" s="24">
        <v>12572000</v>
      </c>
      <c r="I68" s="24">
        <v>12572000</v>
      </c>
      <c r="J68" s="24">
        <v>0</v>
      </c>
      <c r="K68" s="24">
        <v>12572000</v>
      </c>
      <c r="M68" s="24">
        <v>0</v>
      </c>
    </row>
    <row r="69" spans="2:13">
      <c r="B69" s="25"/>
      <c r="C69" s="26" t="s">
        <v>134</v>
      </c>
      <c r="E69" s="27">
        <v>0</v>
      </c>
      <c r="F69" s="27">
        <v>6161400</v>
      </c>
      <c r="G69" s="27">
        <v>6161400</v>
      </c>
      <c r="I69" s="27">
        <v>6645240</v>
      </c>
      <c r="J69" s="27">
        <v>0</v>
      </c>
      <c r="K69" s="27">
        <v>6645240</v>
      </c>
      <c r="M69" s="27">
        <v>-483840</v>
      </c>
    </row>
    <row r="70" spans="2:13">
      <c r="B70" s="43">
        <v>56</v>
      </c>
      <c r="C70" s="41" t="s">
        <v>135</v>
      </c>
      <c r="E70" s="22">
        <v>0</v>
      </c>
      <c r="F70" s="22">
        <v>6161400</v>
      </c>
      <c r="G70" s="22">
        <v>6161400</v>
      </c>
      <c r="I70" s="22">
        <v>6645240</v>
      </c>
      <c r="J70" s="22">
        <v>0</v>
      </c>
      <c r="K70" s="22">
        <v>6645240</v>
      </c>
      <c r="M70" s="22">
        <v>-483840</v>
      </c>
    </row>
    <row r="71" spans="2:13">
      <c r="B71" s="25"/>
      <c r="C71" s="26" t="s">
        <v>136</v>
      </c>
      <c r="E71" s="27">
        <v>0</v>
      </c>
      <c r="F71" s="27">
        <v>40375506</v>
      </c>
      <c r="G71" s="27">
        <v>40375506</v>
      </c>
      <c r="I71" s="27">
        <v>37903315</v>
      </c>
      <c r="J71" s="27">
        <v>0</v>
      </c>
      <c r="K71" s="27">
        <v>37903315</v>
      </c>
      <c r="M71" s="27">
        <v>2472191</v>
      </c>
    </row>
    <row r="72" spans="2:13">
      <c r="B72" s="44">
        <v>57</v>
      </c>
      <c r="C72" s="42" t="s">
        <v>137</v>
      </c>
      <c r="E72" s="24">
        <v>0</v>
      </c>
      <c r="F72" s="24">
        <v>40375506</v>
      </c>
      <c r="G72" s="24">
        <v>40375506</v>
      </c>
      <c r="I72" s="24">
        <v>37903315</v>
      </c>
      <c r="J72" s="24">
        <v>0</v>
      </c>
      <c r="K72" s="24">
        <v>37903315</v>
      </c>
      <c r="M72" s="24">
        <v>2472191</v>
      </c>
    </row>
    <row r="73" spans="2:13">
      <c r="B73" s="25"/>
      <c r="C73" s="26" t="s">
        <v>138</v>
      </c>
      <c r="E73" s="27">
        <v>2275200</v>
      </c>
      <c r="F73" s="27">
        <v>-2275200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2275200</v>
      </c>
      <c r="F74" s="22">
        <v>-2275200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65F1B06C-7322-4684-B523-1A508CB0FC28}">
      <formula1>Taxes</formula1>
    </dataValidation>
    <dataValidation type="list" allowBlank="1" showInputMessage="1" showErrorMessage="1" sqref="C75:C603" xr:uid="{EDC6A40A-0190-4DB2-9627-C6EB189BFBEB}">
      <formula1>Compadjust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C532-CFD6-4B90-A86F-6FAEFDE605D9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33">
      <c r="C1" s="7" t="s">
        <v>60</v>
      </c>
      <c r="E1" s="9" t="s">
        <v>14</v>
      </c>
      <c r="F1" s="9" t="s">
        <v>145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4638819876</v>
      </c>
      <c r="F8" s="19">
        <v>5003659789</v>
      </c>
      <c r="G8" s="19">
        <v>9642479665</v>
      </c>
      <c r="I8" s="19">
        <v>9607539584</v>
      </c>
      <c r="J8" s="19">
        <v>0</v>
      </c>
      <c r="K8" s="19">
        <v>9607539584</v>
      </c>
      <c r="M8" s="19">
        <v>34940081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3626562500</v>
      </c>
      <c r="F36" s="27">
        <v>5002699789</v>
      </c>
      <c r="G36" s="27">
        <v>8629262289</v>
      </c>
      <c r="I36" s="27">
        <v>8629262289</v>
      </c>
      <c r="J36" s="27">
        <v>0</v>
      </c>
      <c r="K36" s="27">
        <v>8629262289</v>
      </c>
      <c r="M36" s="27">
        <v>0</v>
      </c>
    </row>
    <row r="37" spans="2:13">
      <c r="B37" s="43">
        <v>27</v>
      </c>
      <c r="C37" s="41" t="s">
        <v>102</v>
      </c>
      <c r="E37" s="22">
        <v>462302971</v>
      </c>
      <c r="F37" s="22">
        <v>0</v>
      </c>
      <c r="G37" s="22">
        <v>462302971</v>
      </c>
      <c r="I37" s="22">
        <v>462302971</v>
      </c>
      <c r="J37" s="22">
        <v>0</v>
      </c>
      <c r="K37" s="22">
        <v>462302971</v>
      </c>
      <c r="M37" s="22">
        <v>0</v>
      </c>
    </row>
    <row r="38" spans="2:13">
      <c r="B38" s="44">
        <v>28</v>
      </c>
      <c r="C38" s="42" t="s">
        <v>103</v>
      </c>
      <c r="E38" s="24">
        <v>3087557825</v>
      </c>
      <c r="F38" s="24">
        <v>0</v>
      </c>
      <c r="G38" s="24">
        <v>3087557825</v>
      </c>
      <c r="I38" s="24">
        <v>3087557825</v>
      </c>
      <c r="J38" s="24">
        <v>0</v>
      </c>
      <c r="K38" s="24">
        <v>3087557825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5002699789</v>
      </c>
      <c r="G39" s="22">
        <v>5002699789</v>
      </c>
      <c r="I39" s="22">
        <v>5002699789</v>
      </c>
      <c r="J39" s="22">
        <v>0</v>
      </c>
      <c r="K39" s="22">
        <v>5002699789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76701704</v>
      </c>
      <c r="F44" s="24">
        <v>0</v>
      </c>
      <c r="G44" s="24">
        <v>76701704</v>
      </c>
      <c r="I44" s="24">
        <v>76701704</v>
      </c>
      <c r="J44" s="24">
        <v>0</v>
      </c>
      <c r="K44" s="24">
        <v>76701704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0</v>
      </c>
      <c r="J53" s="27">
        <v>0</v>
      </c>
      <c r="K53" s="27">
        <v>0</v>
      </c>
      <c r="M53" s="27">
        <v>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0</v>
      </c>
      <c r="J57" s="24">
        <v>0</v>
      </c>
      <c r="K57" s="24">
        <v>0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207038587</v>
      </c>
      <c r="F69" s="27">
        <v>0</v>
      </c>
      <c r="G69" s="27">
        <v>207038587</v>
      </c>
      <c r="I69" s="27">
        <v>201837764</v>
      </c>
      <c r="J69" s="27">
        <v>0</v>
      </c>
      <c r="K69" s="27">
        <v>201837764</v>
      </c>
      <c r="M69" s="27">
        <v>5200823</v>
      </c>
    </row>
    <row r="70" spans="2:13">
      <c r="B70" s="43">
        <v>56</v>
      </c>
      <c r="C70" s="41" t="s">
        <v>135</v>
      </c>
      <c r="E70" s="22">
        <v>207038587</v>
      </c>
      <c r="F70" s="22">
        <v>0</v>
      </c>
      <c r="G70" s="22">
        <v>207038587</v>
      </c>
      <c r="I70" s="22">
        <v>201837764</v>
      </c>
      <c r="J70" s="22">
        <v>0</v>
      </c>
      <c r="K70" s="22">
        <v>201837764</v>
      </c>
      <c r="M70" s="22">
        <v>5200823</v>
      </c>
    </row>
    <row r="71" spans="2:13">
      <c r="B71" s="25"/>
      <c r="C71" s="26" t="s">
        <v>136</v>
      </c>
      <c r="E71" s="27">
        <v>805218789</v>
      </c>
      <c r="F71" s="27">
        <v>0</v>
      </c>
      <c r="G71" s="27">
        <v>805218789</v>
      </c>
      <c r="I71" s="27">
        <v>775479531</v>
      </c>
      <c r="J71" s="27">
        <v>0</v>
      </c>
      <c r="K71" s="27">
        <v>775479531</v>
      </c>
      <c r="M71" s="27">
        <v>29739258</v>
      </c>
    </row>
    <row r="72" spans="2:13">
      <c r="B72" s="44">
        <v>57</v>
      </c>
      <c r="C72" s="42" t="s">
        <v>137</v>
      </c>
      <c r="E72" s="24">
        <v>805218789</v>
      </c>
      <c r="F72" s="24">
        <v>0</v>
      </c>
      <c r="G72" s="24">
        <v>805218789</v>
      </c>
      <c r="I72" s="24">
        <v>775479531</v>
      </c>
      <c r="J72" s="24">
        <v>0</v>
      </c>
      <c r="K72" s="24">
        <v>775479531</v>
      </c>
      <c r="M72" s="24">
        <v>29739258</v>
      </c>
    </row>
    <row r="73" spans="2:13">
      <c r="B73" s="25"/>
      <c r="C73" s="26" t="s">
        <v>138</v>
      </c>
      <c r="E73" s="27">
        <v>0</v>
      </c>
      <c r="F73" s="27">
        <v>960000</v>
      </c>
      <c r="G73" s="27">
        <v>960000</v>
      </c>
      <c r="H73" s="28">
        <v>808920</v>
      </c>
      <c r="I73" s="27">
        <v>960000</v>
      </c>
      <c r="J73" s="27">
        <v>0</v>
      </c>
      <c r="K73" s="27">
        <v>960000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960000</v>
      </c>
      <c r="G74" s="22">
        <v>960000</v>
      </c>
      <c r="I74" s="22">
        <v>960000</v>
      </c>
      <c r="J74" s="22">
        <v>0</v>
      </c>
      <c r="K74" s="22">
        <v>960000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EC53E9F5-4F10-4B7A-A356-BF1CB1778425}">
      <formula1>Taxes</formula1>
    </dataValidation>
    <dataValidation type="list" allowBlank="1" showInputMessage="1" showErrorMessage="1" sqref="C75:C603" xr:uid="{90EA81E7-734F-4A39-B79C-81558601E900}">
      <formula1>Compadjust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31FA-555A-4D48-9876-42FD09F52D69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44">
      <c r="C1" s="7" t="s">
        <v>60</v>
      </c>
      <c r="E1" s="9" t="s">
        <v>16</v>
      </c>
      <c r="F1" s="9" t="s">
        <v>146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20099391937</v>
      </c>
      <c r="F8" s="19">
        <v>-1700000</v>
      </c>
      <c r="G8" s="19">
        <v>20097691937</v>
      </c>
      <c r="I8" s="19">
        <v>19905093467</v>
      </c>
      <c r="J8" s="19">
        <v>0</v>
      </c>
      <c r="K8" s="19">
        <v>19905093467</v>
      </c>
      <c r="M8" s="19">
        <v>192598470</v>
      </c>
    </row>
    <row r="9" spans="2:13">
      <c r="B9" s="25"/>
      <c r="C9" s="26" t="s">
        <v>74</v>
      </c>
      <c r="E9" s="27">
        <v>121665459</v>
      </c>
      <c r="F9" s="27">
        <v>0</v>
      </c>
      <c r="G9" s="27">
        <v>121665459</v>
      </c>
      <c r="I9" s="27">
        <v>94390318</v>
      </c>
      <c r="J9" s="27">
        <v>0</v>
      </c>
      <c r="K9" s="27">
        <v>94390318</v>
      </c>
      <c r="M9" s="27">
        <v>27275141</v>
      </c>
    </row>
    <row r="10" spans="2:13">
      <c r="B10" s="20">
        <v>3</v>
      </c>
      <c r="C10" s="41" t="s">
        <v>75</v>
      </c>
      <c r="E10" s="22">
        <v>121665459</v>
      </c>
      <c r="F10" s="22">
        <v>0</v>
      </c>
      <c r="G10" s="22">
        <v>121665459</v>
      </c>
      <c r="I10" s="22">
        <v>94390318</v>
      </c>
      <c r="J10" s="22">
        <v>0</v>
      </c>
      <c r="K10" s="22">
        <v>94390318</v>
      </c>
      <c r="M10" s="22">
        <v>27275141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13321716809</v>
      </c>
      <c r="F36" s="27">
        <v>0</v>
      </c>
      <c r="G36" s="27">
        <v>13321716809</v>
      </c>
      <c r="I36" s="27">
        <v>13321716947</v>
      </c>
      <c r="J36" s="27">
        <v>0</v>
      </c>
      <c r="K36" s="27">
        <v>13321716947</v>
      </c>
      <c r="M36" s="27">
        <v>-138</v>
      </c>
    </row>
    <row r="37" spans="2:13">
      <c r="B37" s="43">
        <v>27</v>
      </c>
      <c r="C37" s="41" t="s">
        <v>102</v>
      </c>
      <c r="E37" s="22">
        <v>6025713415</v>
      </c>
      <c r="F37" s="22">
        <v>0</v>
      </c>
      <c r="G37" s="22">
        <v>6025713415</v>
      </c>
      <c r="I37" s="22">
        <v>6025713415</v>
      </c>
      <c r="J37" s="22">
        <v>0</v>
      </c>
      <c r="K37" s="22">
        <v>6025713415</v>
      </c>
      <c r="M37" s="22">
        <v>0</v>
      </c>
    </row>
    <row r="38" spans="2:13">
      <c r="B38" s="44">
        <v>28</v>
      </c>
      <c r="C38" s="42" t="s">
        <v>103</v>
      </c>
      <c r="E38" s="24">
        <v>979746850</v>
      </c>
      <c r="F38" s="24">
        <v>0</v>
      </c>
      <c r="G38" s="24">
        <v>979746850</v>
      </c>
      <c r="I38" s="24">
        <v>979746850</v>
      </c>
      <c r="J38" s="24">
        <v>0</v>
      </c>
      <c r="K38" s="24">
        <v>979746850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105559500</v>
      </c>
      <c r="F42" s="24">
        <v>0</v>
      </c>
      <c r="G42" s="24">
        <v>105559500</v>
      </c>
      <c r="I42" s="24">
        <v>105559500</v>
      </c>
      <c r="J42" s="24">
        <v>0</v>
      </c>
      <c r="K42" s="24">
        <v>105559500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1865936</v>
      </c>
      <c r="F44" s="24">
        <v>0</v>
      </c>
      <c r="G44" s="24">
        <v>1865936</v>
      </c>
      <c r="I44" s="24">
        <v>1866074</v>
      </c>
      <c r="J44" s="24">
        <v>0</v>
      </c>
      <c r="K44" s="24">
        <v>1866074</v>
      </c>
      <c r="M44" s="24">
        <v>-138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29461558</v>
      </c>
      <c r="F49" s="22">
        <v>0</v>
      </c>
      <c r="G49" s="22">
        <v>29461558</v>
      </c>
      <c r="I49" s="22">
        <v>29461558</v>
      </c>
      <c r="J49" s="22">
        <v>0</v>
      </c>
      <c r="K49" s="22">
        <v>29461558</v>
      </c>
      <c r="M49" s="22">
        <v>0</v>
      </c>
    </row>
    <row r="50" spans="2:13">
      <c r="B50" s="44">
        <v>40</v>
      </c>
      <c r="C50" s="42" t="s">
        <v>115</v>
      </c>
      <c r="E50" s="24">
        <v>3707621730</v>
      </c>
      <c r="F50" s="24">
        <v>0</v>
      </c>
      <c r="G50" s="24">
        <v>3707621730</v>
      </c>
      <c r="I50" s="24">
        <v>3707621730</v>
      </c>
      <c r="J50" s="24">
        <v>0</v>
      </c>
      <c r="K50" s="24">
        <v>3707621730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2471747820</v>
      </c>
      <c r="F52" s="24">
        <v>0</v>
      </c>
      <c r="G52" s="24">
        <v>2471747820</v>
      </c>
      <c r="I52" s="24">
        <v>2471747820</v>
      </c>
      <c r="J52" s="24">
        <v>0</v>
      </c>
      <c r="K52" s="24">
        <v>2471747820</v>
      </c>
      <c r="M52" s="24">
        <v>0</v>
      </c>
    </row>
    <row r="53" spans="2:13">
      <c r="B53" s="25"/>
      <c r="C53" s="26" t="s">
        <v>118</v>
      </c>
      <c r="E53" s="27">
        <v>6427922640</v>
      </c>
      <c r="F53" s="27">
        <v>0</v>
      </c>
      <c r="G53" s="27">
        <v>6427922640</v>
      </c>
      <c r="I53" s="27">
        <v>6262651613</v>
      </c>
      <c r="J53" s="27">
        <v>0</v>
      </c>
      <c r="K53" s="27">
        <v>6262651613</v>
      </c>
      <c r="M53" s="27">
        <v>165271027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6427922640</v>
      </c>
      <c r="F57" s="24">
        <v>0</v>
      </c>
      <c r="G57" s="24">
        <v>6427922640</v>
      </c>
      <c r="I57" s="24">
        <v>6262651613</v>
      </c>
      <c r="J57" s="24">
        <v>0</v>
      </c>
      <c r="K57" s="24">
        <v>6262651613</v>
      </c>
      <c r="M57" s="24">
        <v>165271027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21060000</v>
      </c>
      <c r="G62" s="27">
        <v>21060000</v>
      </c>
      <c r="I62" s="27">
        <v>21000000</v>
      </c>
      <c r="J62" s="27">
        <v>0</v>
      </c>
      <c r="K62" s="27">
        <v>21000000</v>
      </c>
      <c r="M62" s="27">
        <v>60000</v>
      </c>
    </row>
    <row r="63" spans="2:13">
      <c r="B63" s="43">
        <v>51</v>
      </c>
      <c r="C63" s="41" t="s">
        <v>128</v>
      </c>
      <c r="E63" s="22">
        <v>0</v>
      </c>
      <c r="F63" s="22">
        <v>21060000</v>
      </c>
      <c r="G63" s="22">
        <v>21060000</v>
      </c>
      <c r="I63" s="22">
        <v>21000000</v>
      </c>
      <c r="J63" s="22">
        <v>0</v>
      </c>
      <c r="K63" s="22">
        <v>21000000</v>
      </c>
      <c r="M63" s="22">
        <v>60000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22861440</v>
      </c>
      <c r="F69" s="27">
        <v>0</v>
      </c>
      <c r="G69" s="27">
        <v>22861440</v>
      </c>
      <c r="I69" s="27">
        <v>22869000</v>
      </c>
      <c r="J69" s="27">
        <v>0</v>
      </c>
      <c r="K69" s="27">
        <v>22869000</v>
      </c>
      <c r="M69" s="27">
        <v>-7560</v>
      </c>
    </row>
    <row r="70" spans="2:13">
      <c r="B70" s="43">
        <v>56</v>
      </c>
      <c r="C70" s="41" t="s">
        <v>135</v>
      </c>
      <c r="E70" s="22">
        <v>22861440</v>
      </c>
      <c r="F70" s="22">
        <v>0</v>
      </c>
      <c r="G70" s="22">
        <v>22861440</v>
      </c>
      <c r="I70" s="22">
        <v>22869000</v>
      </c>
      <c r="J70" s="22">
        <v>0</v>
      </c>
      <c r="K70" s="22">
        <v>22869000</v>
      </c>
      <c r="M70" s="22">
        <v>-7560</v>
      </c>
    </row>
    <row r="71" spans="2:13">
      <c r="B71" s="25"/>
      <c r="C71" s="26" t="s">
        <v>136</v>
      </c>
      <c r="E71" s="27">
        <v>182465589</v>
      </c>
      <c r="F71" s="27">
        <v>0</v>
      </c>
      <c r="G71" s="27">
        <v>182465589</v>
      </c>
      <c r="I71" s="27">
        <v>182465589</v>
      </c>
      <c r="J71" s="27">
        <v>0</v>
      </c>
      <c r="K71" s="27">
        <v>182465589</v>
      </c>
      <c r="M71" s="27">
        <v>0</v>
      </c>
    </row>
    <row r="72" spans="2:13">
      <c r="B72" s="44">
        <v>57</v>
      </c>
      <c r="C72" s="42" t="s">
        <v>137</v>
      </c>
      <c r="E72" s="24">
        <v>182465589</v>
      </c>
      <c r="F72" s="24">
        <v>0</v>
      </c>
      <c r="G72" s="24">
        <v>182465589</v>
      </c>
      <c r="I72" s="24">
        <v>182465589</v>
      </c>
      <c r="J72" s="24">
        <v>0</v>
      </c>
      <c r="K72" s="24">
        <v>182465589</v>
      </c>
      <c r="M72" s="24">
        <v>0</v>
      </c>
    </row>
    <row r="73" spans="2:13">
      <c r="B73" s="25"/>
      <c r="C73" s="26" t="s">
        <v>138</v>
      </c>
      <c r="E73" s="27">
        <v>22760000</v>
      </c>
      <c r="F73" s="27">
        <v>-22760000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22760000</v>
      </c>
      <c r="F74" s="22">
        <v>-22760000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65A461F1-2C46-494D-8E9F-89550735C52A}">
      <formula1>Taxes</formula1>
    </dataValidation>
    <dataValidation type="list" allowBlank="1" showInputMessage="1" showErrorMessage="1" sqref="C75:C603" xr:uid="{06355017-B729-441A-B298-0D14B059B5AE}">
      <formula1>Compadjust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E348-C2C6-49BC-90B6-C219EAD25D45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33.75" customHeight="1">
      <c r="C1" s="7" t="s">
        <v>60</v>
      </c>
      <c r="E1" s="9" t="s">
        <v>18</v>
      </c>
      <c r="F1" s="9" t="s">
        <v>147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22593820290</v>
      </c>
      <c r="F8" s="19">
        <v>-300000000</v>
      </c>
      <c r="G8" s="19">
        <v>22293820290</v>
      </c>
      <c r="I8" s="19">
        <v>21057850569</v>
      </c>
      <c r="J8" s="19">
        <v>1104323043</v>
      </c>
      <c r="K8" s="19">
        <v>22162173612</v>
      </c>
      <c r="M8" s="19">
        <v>131646678</v>
      </c>
    </row>
    <row r="9" spans="2:13">
      <c r="B9" s="25"/>
      <c r="C9" s="26" t="s">
        <v>74</v>
      </c>
      <c r="E9" s="27">
        <v>7073146257</v>
      </c>
      <c r="F9" s="27">
        <v>0</v>
      </c>
      <c r="G9" s="27">
        <v>7073146257</v>
      </c>
      <c r="I9" s="27">
        <v>8871255123</v>
      </c>
      <c r="J9" s="27">
        <v>-1798108866</v>
      </c>
      <c r="K9" s="27">
        <v>7073146257</v>
      </c>
      <c r="M9" s="27">
        <v>0</v>
      </c>
    </row>
    <row r="10" spans="2:13">
      <c r="B10" s="20">
        <v>3</v>
      </c>
      <c r="C10" s="41" t="s">
        <v>75</v>
      </c>
      <c r="E10" s="22">
        <v>6906222357</v>
      </c>
      <c r="F10" s="22">
        <v>0</v>
      </c>
      <c r="G10" s="22">
        <v>6906222357</v>
      </c>
      <c r="I10" s="22">
        <v>8704331223</v>
      </c>
      <c r="J10" s="22">
        <v>-1798108866</v>
      </c>
      <c r="K10" s="22">
        <v>6906222357</v>
      </c>
      <c r="M10" s="22">
        <v>0</v>
      </c>
    </row>
    <row r="11" spans="2:13">
      <c r="B11" s="6">
        <v>4</v>
      </c>
      <c r="C11" s="42" t="s">
        <v>76</v>
      </c>
      <c r="E11" s="24">
        <v>166923900</v>
      </c>
      <c r="F11" s="24">
        <v>0</v>
      </c>
      <c r="G11" s="24">
        <v>166923900</v>
      </c>
      <c r="I11" s="24">
        <v>166923900</v>
      </c>
      <c r="J11" s="24">
        <v>0</v>
      </c>
      <c r="K11" s="24">
        <v>166923900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2889000000</v>
      </c>
      <c r="F25" s="27">
        <v>0</v>
      </c>
      <c r="G25" s="27">
        <v>2889000000</v>
      </c>
      <c r="I25" s="27">
        <v>0</v>
      </c>
      <c r="J25" s="27">
        <v>2889000000</v>
      </c>
      <c r="K25" s="27">
        <v>2889000000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2889000000</v>
      </c>
      <c r="F32" s="22">
        <v>0</v>
      </c>
      <c r="G32" s="22">
        <v>2889000000</v>
      </c>
      <c r="I32" s="22">
        <v>0</v>
      </c>
      <c r="J32" s="22">
        <v>2889000000</v>
      </c>
      <c r="K32" s="22">
        <v>2889000000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11874463156</v>
      </c>
      <c r="F36" s="27">
        <v>0</v>
      </c>
      <c r="G36" s="27">
        <v>11874463156</v>
      </c>
      <c r="I36" s="27">
        <v>11864742563</v>
      </c>
      <c r="J36" s="27">
        <v>11458749</v>
      </c>
      <c r="K36" s="27">
        <v>11876201312</v>
      </c>
      <c r="M36" s="27">
        <v>-1738156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2946855535</v>
      </c>
      <c r="F38" s="24">
        <v>0</v>
      </c>
      <c r="G38" s="24">
        <v>2946855535</v>
      </c>
      <c r="I38" s="24">
        <v>2947069880</v>
      </c>
      <c r="J38" s="24">
        <v>0</v>
      </c>
      <c r="K38" s="24">
        <v>2947069880</v>
      </c>
      <c r="M38" s="24">
        <v>-214345</v>
      </c>
    </row>
    <row r="39" spans="2:13">
      <c r="B39" s="43">
        <v>29</v>
      </c>
      <c r="C39" s="41" t="s">
        <v>104</v>
      </c>
      <c r="E39" s="22">
        <v>5011458749</v>
      </c>
      <c r="F39" s="22">
        <v>0</v>
      </c>
      <c r="G39" s="22">
        <v>5011458749</v>
      </c>
      <c r="I39" s="22">
        <v>5000000000</v>
      </c>
      <c r="J39" s="22">
        <v>11458749</v>
      </c>
      <c r="K39" s="22">
        <v>5011458749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313859538</v>
      </c>
      <c r="F42" s="24">
        <v>0</v>
      </c>
      <c r="G42" s="24">
        <v>313859538</v>
      </c>
      <c r="I42" s="24">
        <v>313859540</v>
      </c>
      <c r="J42" s="24">
        <v>0</v>
      </c>
      <c r="K42" s="24">
        <v>313859540</v>
      </c>
      <c r="M42" s="24">
        <v>-2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2289334</v>
      </c>
      <c r="F44" s="24">
        <v>0</v>
      </c>
      <c r="G44" s="24">
        <v>2289334</v>
      </c>
      <c r="I44" s="24">
        <v>2289333</v>
      </c>
      <c r="J44" s="24">
        <v>0</v>
      </c>
      <c r="K44" s="24">
        <v>2289333</v>
      </c>
      <c r="M44" s="24">
        <v>1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3600000000</v>
      </c>
      <c r="F49" s="22">
        <v>0</v>
      </c>
      <c r="G49" s="22">
        <v>3600000000</v>
      </c>
      <c r="I49" s="22">
        <v>3601523810</v>
      </c>
      <c r="J49" s="22">
        <v>0</v>
      </c>
      <c r="K49" s="22">
        <v>3601523810</v>
      </c>
      <c r="M49" s="22">
        <v>-1523810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245996782</v>
      </c>
      <c r="F53" s="27">
        <v>0</v>
      </c>
      <c r="G53" s="27">
        <v>245996782</v>
      </c>
      <c r="I53" s="27">
        <v>237349568</v>
      </c>
      <c r="J53" s="27">
        <v>0</v>
      </c>
      <c r="K53" s="27">
        <v>237349568</v>
      </c>
      <c r="M53" s="27">
        <v>8647214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245996782</v>
      </c>
      <c r="F57" s="24">
        <v>0</v>
      </c>
      <c r="G57" s="24">
        <v>245996782</v>
      </c>
      <c r="I57" s="24">
        <v>237349568</v>
      </c>
      <c r="J57" s="24">
        <v>0</v>
      </c>
      <c r="K57" s="24">
        <v>237349568</v>
      </c>
      <c r="M57" s="24">
        <v>8647214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23345281</v>
      </c>
      <c r="F69" s="27">
        <v>0</v>
      </c>
      <c r="G69" s="27">
        <v>23345281</v>
      </c>
      <c r="I69" s="27">
        <v>21371688</v>
      </c>
      <c r="J69" s="27">
        <v>1973160</v>
      </c>
      <c r="K69" s="27">
        <v>23344848</v>
      </c>
      <c r="M69" s="27">
        <v>433</v>
      </c>
    </row>
    <row r="70" spans="2:13">
      <c r="B70" s="43">
        <v>56</v>
      </c>
      <c r="C70" s="41" t="s">
        <v>135</v>
      </c>
      <c r="E70" s="22">
        <v>23345281</v>
      </c>
      <c r="F70" s="22">
        <v>0</v>
      </c>
      <c r="G70" s="22">
        <v>23345281</v>
      </c>
      <c r="I70" s="22">
        <v>21371688</v>
      </c>
      <c r="J70" s="22">
        <v>1973160</v>
      </c>
      <c r="K70" s="22">
        <v>23344848</v>
      </c>
      <c r="M70" s="22">
        <v>433</v>
      </c>
    </row>
    <row r="71" spans="2:13">
      <c r="B71" s="25"/>
      <c r="C71" s="26" t="s">
        <v>136</v>
      </c>
      <c r="E71" s="27">
        <v>187868814</v>
      </c>
      <c r="F71" s="27">
        <v>0</v>
      </c>
      <c r="G71" s="27">
        <v>187868814</v>
      </c>
      <c r="I71" s="27">
        <v>63131627</v>
      </c>
      <c r="J71" s="27">
        <v>0</v>
      </c>
      <c r="K71" s="27">
        <v>63131627</v>
      </c>
      <c r="M71" s="27">
        <v>124737187</v>
      </c>
    </row>
    <row r="72" spans="2:13">
      <c r="B72" s="44">
        <v>57</v>
      </c>
      <c r="C72" s="42" t="s">
        <v>137</v>
      </c>
      <c r="E72" s="24">
        <v>187868814</v>
      </c>
      <c r="F72" s="24">
        <v>0</v>
      </c>
      <c r="G72" s="24">
        <v>187868814</v>
      </c>
      <c r="I72" s="24">
        <v>63131627</v>
      </c>
      <c r="J72" s="24">
        <v>0</v>
      </c>
      <c r="K72" s="24">
        <v>63131627</v>
      </c>
      <c r="M72" s="24">
        <v>124737187</v>
      </c>
    </row>
    <row r="73" spans="2:13">
      <c r="B73" s="25"/>
      <c r="C73" s="26" t="s">
        <v>138</v>
      </c>
      <c r="E73" s="27">
        <v>300000000</v>
      </c>
      <c r="F73" s="27">
        <v>-300000000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300000000</v>
      </c>
      <c r="F74" s="22">
        <v>-300000000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E5174719-3939-4868-A9E9-9138F1D33A4A}">
      <formula1>Taxes</formula1>
    </dataValidation>
    <dataValidation type="list" allowBlank="1" showInputMessage="1" showErrorMessage="1" sqref="C75:C603" xr:uid="{FB1DDE5B-955D-4AD8-A030-F794589E1976}">
      <formula1>Compadjust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488B-688B-4F7E-ACA2-F597A97111B6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44">
      <c r="C1" s="7" t="s">
        <v>60</v>
      </c>
      <c r="E1" s="9" t="s">
        <v>20</v>
      </c>
      <c r="F1" s="9" t="s">
        <v>148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1171038942</v>
      </c>
      <c r="F8" s="19">
        <v>-972000</v>
      </c>
      <c r="G8" s="19">
        <v>1170066942</v>
      </c>
      <c r="I8" s="19">
        <v>1086257909</v>
      </c>
      <c r="J8" s="19">
        <v>69029322</v>
      </c>
      <c r="K8" s="19">
        <v>1155287231</v>
      </c>
      <c r="M8" s="19">
        <v>14779711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370971830</v>
      </c>
      <c r="J9" s="27">
        <v>-370971830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370971830</v>
      </c>
      <c r="J10" s="22">
        <v>-370971830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1831916</v>
      </c>
      <c r="F25" s="27">
        <v>0</v>
      </c>
      <c r="G25" s="27">
        <v>1831916</v>
      </c>
      <c r="I25" s="27">
        <v>0</v>
      </c>
      <c r="J25" s="27">
        <v>1831916</v>
      </c>
      <c r="K25" s="27">
        <v>1831916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1831916</v>
      </c>
      <c r="F35" s="24">
        <v>0</v>
      </c>
      <c r="G35" s="24">
        <v>1831916</v>
      </c>
      <c r="I35" s="24">
        <v>0</v>
      </c>
      <c r="J35" s="24">
        <v>1831916</v>
      </c>
      <c r="K35" s="24">
        <v>1831916</v>
      </c>
      <c r="M35" s="24">
        <v>0</v>
      </c>
    </row>
    <row r="36" spans="2:13">
      <c r="B36" s="25"/>
      <c r="C36" s="26" t="s">
        <v>101</v>
      </c>
      <c r="E36" s="27">
        <v>536348876</v>
      </c>
      <c r="F36" s="27">
        <v>14991158</v>
      </c>
      <c r="G36" s="27">
        <v>551340034</v>
      </c>
      <c r="I36" s="27">
        <v>551340034</v>
      </c>
      <c r="J36" s="27">
        <v>0</v>
      </c>
      <c r="K36" s="27">
        <v>551340034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406314030</v>
      </c>
      <c r="F38" s="24">
        <v>0</v>
      </c>
      <c r="G38" s="24">
        <v>406314030</v>
      </c>
      <c r="I38" s="24">
        <v>406314030</v>
      </c>
      <c r="J38" s="24">
        <v>0</v>
      </c>
      <c r="K38" s="24">
        <v>406314030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114010506</v>
      </c>
      <c r="F42" s="24">
        <v>0</v>
      </c>
      <c r="G42" s="24">
        <v>114010506</v>
      </c>
      <c r="I42" s="24">
        <v>114010506</v>
      </c>
      <c r="J42" s="24">
        <v>0</v>
      </c>
      <c r="K42" s="24">
        <v>114010506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2401480</v>
      </c>
      <c r="F44" s="24">
        <v>0</v>
      </c>
      <c r="G44" s="24">
        <v>2401480</v>
      </c>
      <c r="I44" s="24">
        <v>2401480</v>
      </c>
      <c r="J44" s="24">
        <v>0</v>
      </c>
      <c r="K44" s="24">
        <v>2401480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13622860</v>
      </c>
      <c r="F49" s="22">
        <v>14991158</v>
      </c>
      <c r="G49" s="22">
        <v>28614018</v>
      </c>
      <c r="I49" s="22">
        <v>28614018</v>
      </c>
      <c r="J49" s="22">
        <v>0</v>
      </c>
      <c r="K49" s="22">
        <v>28614018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55000000</v>
      </c>
      <c r="F53" s="27">
        <v>0</v>
      </c>
      <c r="G53" s="27">
        <v>55000000</v>
      </c>
      <c r="I53" s="27">
        <v>40220289</v>
      </c>
      <c r="J53" s="27">
        <v>0</v>
      </c>
      <c r="K53" s="27">
        <v>40220289</v>
      </c>
      <c r="M53" s="27">
        <v>14779711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40220289</v>
      </c>
      <c r="J57" s="24">
        <v>0</v>
      </c>
      <c r="K57" s="24">
        <v>40220289</v>
      </c>
      <c r="M57" s="24">
        <v>-40220289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55000000</v>
      </c>
      <c r="F61" s="24">
        <v>0</v>
      </c>
      <c r="G61" s="24">
        <v>55000000</v>
      </c>
      <c r="I61" s="24">
        <v>0</v>
      </c>
      <c r="J61" s="24">
        <v>0</v>
      </c>
      <c r="K61" s="24">
        <v>0</v>
      </c>
      <c r="M61" s="24">
        <v>55000000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2064000</v>
      </c>
      <c r="J62" s="27">
        <v>-2064000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2064000</v>
      </c>
      <c r="J63" s="22">
        <v>-2064000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26205305</v>
      </c>
      <c r="F69" s="27">
        <v>0</v>
      </c>
      <c r="G69" s="27">
        <v>26205305</v>
      </c>
      <c r="I69" s="27">
        <v>17368944</v>
      </c>
      <c r="J69" s="27">
        <v>8836361</v>
      </c>
      <c r="K69" s="27">
        <v>26205305</v>
      </c>
      <c r="M69" s="27">
        <v>0</v>
      </c>
    </row>
    <row r="70" spans="2:13">
      <c r="B70" s="43">
        <v>56</v>
      </c>
      <c r="C70" s="41" t="s">
        <v>135</v>
      </c>
      <c r="E70" s="22">
        <v>26205305</v>
      </c>
      <c r="F70" s="22">
        <v>0</v>
      </c>
      <c r="G70" s="22">
        <v>26205305</v>
      </c>
      <c r="I70" s="22">
        <v>17368944</v>
      </c>
      <c r="J70" s="22">
        <v>8836361</v>
      </c>
      <c r="K70" s="22">
        <v>26205305</v>
      </c>
      <c r="M70" s="22">
        <v>0</v>
      </c>
    </row>
    <row r="71" spans="2:13">
      <c r="B71" s="25"/>
      <c r="C71" s="26" t="s">
        <v>136</v>
      </c>
      <c r="E71" s="27">
        <v>104292812</v>
      </c>
      <c r="F71" s="27">
        <v>0</v>
      </c>
      <c r="G71" s="27">
        <v>104292812</v>
      </c>
      <c r="I71" s="27">
        <v>104292812</v>
      </c>
      <c r="J71" s="27">
        <v>0</v>
      </c>
      <c r="K71" s="27">
        <v>104292812</v>
      </c>
      <c r="M71" s="27">
        <v>0</v>
      </c>
    </row>
    <row r="72" spans="2:13">
      <c r="B72" s="44">
        <v>57</v>
      </c>
      <c r="C72" s="42" t="s">
        <v>137</v>
      </c>
      <c r="E72" s="24">
        <v>104292812</v>
      </c>
      <c r="F72" s="24">
        <v>0</v>
      </c>
      <c r="G72" s="24">
        <v>104292812</v>
      </c>
      <c r="I72" s="24">
        <v>104292812</v>
      </c>
      <c r="J72" s="24">
        <v>0</v>
      </c>
      <c r="K72" s="24">
        <v>104292812</v>
      </c>
      <c r="M72" s="24">
        <v>0</v>
      </c>
    </row>
    <row r="73" spans="2:13">
      <c r="B73" s="25"/>
      <c r="C73" s="26" t="s">
        <v>138</v>
      </c>
      <c r="E73" s="27">
        <v>447360033</v>
      </c>
      <c r="F73" s="27">
        <v>-15963158</v>
      </c>
      <c r="G73" s="27">
        <v>431396875</v>
      </c>
      <c r="H73" s="28">
        <v>808920</v>
      </c>
      <c r="I73" s="27">
        <v>0</v>
      </c>
      <c r="J73" s="27">
        <v>431396875</v>
      </c>
      <c r="K73" s="27">
        <v>431396875</v>
      </c>
      <c r="M73" s="27">
        <v>0</v>
      </c>
    </row>
    <row r="74" spans="2:13" ht="21">
      <c r="B74" s="43">
        <v>58</v>
      </c>
      <c r="C74" s="41" t="s">
        <v>139</v>
      </c>
      <c r="E74" s="22">
        <v>447360033</v>
      </c>
      <c r="F74" s="22">
        <v>-15963158</v>
      </c>
      <c r="G74" s="22">
        <v>431396875</v>
      </c>
      <c r="I74" s="22">
        <v>0</v>
      </c>
      <c r="J74" s="22">
        <v>431396875</v>
      </c>
      <c r="K74" s="22">
        <v>431396875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BA1E9345-BE6D-42D3-8576-AF0429835756}">
      <formula1>Taxes</formula1>
    </dataValidation>
    <dataValidation type="list" allowBlank="1" showInputMessage="1" showErrorMessage="1" sqref="C75:C603" xr:uid="{9D6FB095-1C4B-4075-8548-885E2FA2BC51}">
      <formula1>Compadjust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53E0-01B4-4CCA-AC8E-950A0BBA42B2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22.63281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>
      <c r="C1" s="7" t="s">
        <v>60</v>
      </c>
      <c r="E1" s="9" t="s">
        <v>22</v>
      </c>
      <c r="F1" s="9">
        <v>2444686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0</v>
      </c>
      <c r="F8" s="19">
        <v>0</v>
      </c>
      <c r="G8" s="19">
        <v>0</v>
      </c>
      <c r="I8" s="19">
        <v>16073308</v>
      </c>
      <c r="J8" s="19">
        <v>0</v>
      </c>
      <c r="K8" s="19">
        <v>16073308</v>
      </c>
      <c r="M8" s="19">
        <v>-16073308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0</v>
      </c>
      <c r="F36" s="27">
        <v>0</v>
      </c>
      <c r="G36" s="27">
        <v>0</v>
      </c>
      <c r="I36" s="27">
        <v>0</v>
      </c>
      <c r="J36" s="27">
        <v>0</v>
      </c>
      <c r="K36" s="27">
        <v>0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0</v>
      </c>
      <c r="F38" s="24">
        <v>0</v>
      </c>
      <c r="G38" s="24">
        <v>0</v>
      </c>
      <c r="I38" s="24">
        <v>0</v>
      </c>
      <c r="J38" s="24">
        <v>0</v>
      </c>
      <c r="K38" s="24">
        <v>0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0</v>
      </c>
      <c r="F44" s="24">
        <v>0</v>
      </c>
      <c r="G44" s="24">
        <v>0</v>
      </c>
      <c r="I44" s="24">
        <v>0</v>
      </c>
      <c r="J44" s="24">
        <v>0</v>
      </c>
      <c r="K44" s="24">
        <v>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16073308</v>
      </c>
      <c r="J53" s="27">
        <v>0</v>
      </c>
      <c r="K53" s="27">
        <v>16073308</v>
      </c>
      <c r="M53" s="27">
        <v>-16073308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16073308</v>
      </c>
      <c r="J57" s="24">
        <v>0</v>
      </c>
      <c r="K57" s="24">
        <v>16073308</v>
      </c>
      <c r="M57" s="24">
        <v>-16073308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0</v>
      </c>
      <c r="F69" s="27">
        <v>0</v>
      </c>
      <c r="G69" s="27">
        <v>0</v>
      </c>
      <c r="I69" s="27">
        <v>0</v>
      </c>
      <c r="J69" s="27">
        <v>0</v>
      </c>
      <c r="K69" s="27">
        <v>0</v>
      </c>
      <c r="M69" s="27">
        <v>0</v>
      </c>
    </row>
    <row r="70" spans="2:13">
      <c r="B70" s="43">
        <v>56</v>
      </c>
      <c r="C70" s="41" t="s">
        <v>135</v>
      </c>
      <c r="E70" s="22">
        <v>0</v>
      </c>
      <c r="F70" s="22">
        <v>0</v>
      </c>
      <c r="G70" s="22">
        <v>0</v>
      </c>
      <c r="I70" s="22">
        <v>0</v>
      </c>
      <c r="J70" s="22">
        <v>0</v>
      </c>
      <c r="K70" s="22">
        <v>0</v>
      </c>
      <c r="M70" s="22">
        <v>0</v>
      </c>
    </row>
    <row r="71" spans="2:13">
      <c r="B71" s="25"/>
      <c r="C71" s="26" t="s">
        <v>136</v>
      </c>
      <c r="E71" s="27">
        <v>0</v>
      </c>
      <c r="F71" s="27">
        <v>0</v>
      </c>
      <c r="G71" s="27">
        <v>0</v>
      </c>
      <c r="I71" s="27">
        <v>0</v>
      </c>
      <c r="J71" s="27">
        <v>0</v>
      </c>
      <c r="K71" s="27">
        <v>0</v>
      </c>
      <c r="M71" s="27">
        <v>0</v>
      </c>
    </row>
    <row r="72" spans="2:13">
      <c r="B72" s="44">
        <v>57</v>
      </c>
      <c r="C72" s="42" t="s">
        <v>137</v>
      </c>
      <c r="E72" s="24">
        <v>0</v>
      </c>
      <c r="F72" s="24">
        <v>0</v>
      </c>
      <c r="G72" s="24">
        <v>0</v>
      </c>
      <c r="I72" s="24">
        <v>0</v>
      </c>
      <c r="J72" s="24">
        <v>0</v>
      </c>
      <c r="K72" s="24">
        <v>0</v>
      </c>
      <c r="M72" s="24">
        <v>0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5C5CD4AA-82FC-48DA-A127-5A2D344A41EB}">
      <formula1>Taxes</formula1>
    </dataValidation>
    <dataValidation type="list" allowBlank="1" showInputMessage="1" showErrorMessage="1" sqref="C75:C603" xr:uid="{B2C858BB-FD4F-4530-8A02-AD1D40502404}">
      <formula1>Compadjust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8D49-B119-4F8A-A8A6-8F4C20167B4A}">
  <dimension ref="B1:M605"/>
  <sheetViews>
    <sheetView showGridLines="0" zoomScale="80" zoomScaleNormal="80" workbookViewId="0">
      <selection activeCell="C21" sqref="C21"/>
    </sheetView>
  </sheetViews>
  <sheetFormatPr baseColWidth="10" defaultColWidth="12.36328125" defaultRowHeight="14.5"/>
  <cols>
    <col min="1" max="1" width="12.36328125" style="2"/>
    <col min="2" max="2" width="6.6328125" style="6" customWidth="1"/>
    <col min="3" max="3" width="64.453125" style="33" customWidth="1"/>
    <col min="4" max="4" width="0.90625" style="8" customWidth="1"/>
    <col min="5" max="5" width="22.63281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36328125" style="2"/>
  </cols>
  <sheetData>
    <row r="1" spans="2:13">
      <c r="C1" s="7" t="s">
        <v>60</v>
      </c>
      <c r="E1" s="9" t="s">
        <v>149</v>
      </c>
      <c r="F1" s="9" t="s">
        <v>150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795528269</v>
      </c>
      <c r="F8" s="19">
        <v>-60000</v>
      </c>
      <c r="G8" s="19">
        <v>795468269</v>
      </c>
      <c r="I8" s="19">
        <v>155016516</v>
      </c>
      <c r="J8" s="19">
        <v>560058134</v>
      </c>
      <c r="K8" s="19">
        <v>715074650</v>
      </c>
      <c r="M8" s="19">
        <v>80393619</v>
      </c>
    </row>
    <row r="9" spans="2:13">
      <c r="B9" s="25"/>
      <c r="C9" s="26" t="s">
        <v>74</v>
      </c>
      <c r="E9" s="27">
        <v>66121015</v>
      </c>
      <c r="F9" s="27">
        <v>0</v>
      </c>
      <c r="G9" s="27">
        <v>66121015</v>
      </c>
      <c r="I9" s="27">
        <v>66086015</v>
      </c>
      <c r="J9" s="27">
        <v>0</v>
      </c>
      <c r="K9" s="27">
        <v>66086015</v>
      </c>
      <c r="M9" s="27">
        <v>35000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29121015</v>
      </c>
      <c r="F11" s="24">
        <v>0</v>
      </c>
      <c r="G11" s="24">
        <v>29121015</v>
      </c>
      <c r="I11" s="24">
        <v>29086015</v>
      </c>
      <c r="J11" s="24">
        <v>0</v>
      </c>
      <c r="K11" s="24">
        <v>29086015</v>
      </c>
      <c r="M11" s="24">
        <v>35000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37000000</v>
      </c>
      <c r="F14" s="22">
        <v>0</v>
      </c>
      <c r="G14" s="22">
        <v>37000000</v>
      </c>
      <c r="I14" s="22">
        <v>37000000</v>
      </c>
      <c r="J14" s="22">
        <v>0</v>
      </c>
      <c r="K14" s="22">
        <v>37000000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560058134</v>
      </c>
      <c r="F36" s="27">
        <v>0</v>
      </c>
      <c r="G36" s="27">
        <v>560058134</v>
      </c>
      <c r="I36" s="27">
        <v>0</v>
      </c>
      <c r="J36" s="27">
        <v>560058134</v>
      </c>
      <c r="K36" s="27">
        <v>560058134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348501392</v>
      </c>
      <c r="F38" s="24">
        <v>0</v>
      </c>
      <c r="G38" s="24">
        <v>348501392</v>
      </c>
      <c r="I38" s="24">
        <v>0</v>
      </c>
      <c r="J38" s="24">
        <v>348501392</v>
      </c>
      <c r="K38" s="24">
        <v>348501392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204855517</v>
      </c>
      <c r="F42" s="24">
        <v>0</v>
      </c>
      <c r="G42" s="24">
        <v>204855517</v>
      </c>
      <c r="I42" s="24">
        <v>0</v>
      </c>
      <c r="J42" s="24">
        <v>204855517</v>
      </c>
      <c r="K42" s="24">
        <v>204855517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0</v>
      </c>
      <c r="F44" s="24">
        <v>0</v>
      </c>
      <c r="G44" s="24">
        <v>0</v>
      </c>
      <c r="I44" s="24">
        <v>0</v>
      </c>
      <c r="J44" s="24">
        <v>0</v>
      </c>
      <c r="K44" s="24">
        <v>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6701225</v>
      </c>
      <c r="F49" s="22">
        <v>0</v>
      </c>
      <c r="G49" s="22">
        <v>6701225</v>
      </c>
      <c r="I49" s="22">
        <v>0</v>
      </c>
      <c r="J49" s="22">
        <v>6701225</v>
      </c>
      <c r="K49" s="22">
        <v>6701225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10846641</v>
      </c>
      <c r="F53" s="27">
        <v>0</v>
      </c>
      <c r="G53" s="27">
        <v>10846641</v>
      </c>
      <c r="I53" s="27">
        <v>0</v>
      </c>
      <c r="J53" s="27">
        <v>0</v>
      </c>
      <c r="K53" s="27">
        <v>0</v>
      </c>
      <c r="M53" s="27">
        <v>10846641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10846641</v>
      </c>
      <c r="F57" s="24">
        <v>0</v>
      </c>
      <c r="G57" s="24">
        <v>10846641</v>
      </c>
      <c r="I57" s="24">
        <v>0</v>
      </c>
      <c r="J57" s="24">
        <v>0</v>
      </c>
      <c r="K57" s="24">
        <v>0</v>
      </c>
      <c r="M57" s="24">
        <v>10846641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67781478</v>
      </c>
      <c r="F62" s="27">
        <v>0</v>
      </c>
      <c r="G62" s="27">
        <v>67781478</v>
      </c>
      <c r="I62" s="27">
        <v>0</v>
      </c>
      <c r="J62" s="27">
        <v>0</v>
      </c>
      <c r="K62" s="27">
        <v>0</v>
      </c>
      <c r="M62" s="27">
        <v>67781478</v>
      </c>
    </row>
    <row r="63" spans="2:13">
      <c r="B63" s="43">
        <v>51</v>
      </c>
      <c r="C63" s="41" t="s">
        <v>128</v>
      </c>
      <c r="E63" s="22">
        <v>508595</v>
      </c>
      <c r="F63" s="22">
        <v>0</v>
      </c>
      <c r="G63" s="22">
        <v>508595</v>
      </c>
      <c r="I63" s="22">
        <v>0</v>
      </c>
      <c r="J63" s="22">
        <v>0</v>
      </c>
      <c r="K63" s="22">
        <v>0</v>
      </c>
      <c r="M63" s="22">
        <v>508595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67272883</v>
      </c>
      <c r="F65" s="22">
        <v>0</v>
      </c>
      <c r="G65" s="22">
        <v>67272883</v>
      </c>
      <c r="I65" s="22">
        <v>0</v>
      </c>
      <c r="J65" s="22">
        <v>0</v>
      </c>
      <c r="K65" s="22">
        <v>0</v>
      </c>
      <c r="M65" s="22">
        <v>67272883</v>
      </c>
    </row>
    <row r="66" spans="2:13">
      <c r="B66" s="25"/>
      <c r="C66" s="26" t="s">
        <v>131</v>
      </c>
      <c r="E66" s="27">
        <v>56976700</v>
      </c>
      <c r="F66" s="27">
        <v>-60000</v>
      </c>
      <c r="G66" s="27">
        <v>56916700</v>
      </c>
      <c r="I66" s="27">
        <v>55186200</v>
      </c>
      <c r="J66" s="27">
        <v>0</v>
      </c>
      <c r="K66" s="27">
        <v>55186200</v>
      </c>
      <c r="M66" s="27">
        <v>1730500</v>
      </c>
    </row>
    <row r="67" spans="2:13">
      <c r="B67" s="43">
        <v>54</v>
      </c>
      <c r="C67" s="41" t="s">
        <v>132</v>
      </c>
      <c r="E67" s="22">
        <v>55186200</v>
      </c>
      <c r="F67" s="22">
        <v>-52036200</v>
      </c>
      <c r="G67" s="22">
        <v>3150000</v>
      </c>
      <c r="I67" s="22">
        <v>3150000</v>
      </c>
      <c r="J67" s="22">
        <v>0</v>
      </c>
      <c r="K67" s="22">
        <v>3150000</v>
      </c>
      <c r="M67" s="22">
        <v>0</v>
      </c>
    </row>
    <row r="68" spans="2:13">
      <c r="B68" s="44">
        <v>55</v>
      </c>
      <c r="C68" s="42" t="s">
        <v>133</v>
      </c>
      <c r="E68" s="24">
        <v>1790500</v>
      </c>
      <c r="F68" s="24">
        <v>51976200</v>
      </c>
      <c r="G68" s="24">
        <v>53766700</v>
      </c>
      <c r="I68" s="24">
        <v>52036200</v>
      </c>
      <c r="J68" s="24">
        <v>0</v>
      </c>
      <c r="K68" s="24">
        <v>52036200</v>
      </c>
      <c r="M68" s="24">
        <v>1730500</v>
      </c>
    </row>
    <row r="69" spans="2:13">
      <c r="B69" s="25"/>
      <c r="C69" s="26" t="s">
        <v>134</v>
      </c>
      <c r="E69" s="27">
        <v>2491650</v>
      </c>
      <c r="F69" s="27">
        <v>924439</v>
      </c>
      <c r="G69" s="27">
        <v>3416089</v>
      </c>
      <c r="I69" s="27">
        <v>3416089</v>
      </c>
      <c r="J69" s="27">
        <v>0</v>
      </c>
      <c r="K69" s="27">
        <v>3416089</v>
      </c>
      <c r="M69" s="27">
        <v>0</v>
      </c>
    </row>
    <row r="70" spans="2:13">
      <c r="B70" s="43">
        <v>56</v>
      </c>
      <c r="C70" s="41" t="s">
        <v>135</v>
      </c>
      <c r="E70" s="22">
        <v>2491650</v>
      </c>
      <c r="F70" s="22">
        <v>924439</v>
      </c>
      <c r="G70" s="22">
        <v>3416089</v>
      </c>
      <c r="I70" s="22">
        <v>3416089</v>
      </c>
      <c r="J70" s="22">
        <v>0</v>
      </c>
      <c r="K70" s="22">
        <v>3416089</v>
      </c>
      <c r="M70" s="22">
        <v>0</v>
      </c>
    </row>
    <row r="71" spans="2:13">
      <c r="B71" s="25"/>
      <c r="C71" s="26" t="s">
        <v>136</v>
      </c>
      <c r="E71" s="27">
        <v>31252651</v>
      </c>
      <c r="F71" s="27">
        <v>-924439</v>
      </c>
      <c r="G71" s="27">
        <v>30328212</v>
      </c>
      <c r="I71" s="27">
        <v>30328212</v>
      </c>
      <c r="J71" s="27">
        <v>0</v>
      </c>
      <c r="K71" s="27">
        <v>30328212</v>
      </c>
      <c r="M71" s="27">
        <v>0</v>
      </c>
    </row>
    <row r="72" spans="2:13">
      <c r="B72" s="44">
        <v>57</v>
      </c>
      <c r="C72" s="42" t="s">
        <v>137</v>
      </c>
      <c r="E72" s="24">
        <v>31252651</v>
      </c>
      <c r="F72" s="24">
        <v>-924439</v>
      </c>
      <c r="G72" s="24">
        <v>30328212</v>
      </c>
      <c r="I72" s="24">
        <v>30328212</v>
      </c>
      <c r="J72" s="24">
        <v>0</v>
      </c>
      <c r="K72" s="24">
        <v>30328212</v>
      </c>
      <c r="M72" s="24">
        <v>0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5:C603" xr:uid="{A027D3CB-F818-4E59-AEE6-CDA8EB3DB03B}">
      <formula1>Compadjust</formula1>
    </dataValidation>
    <dataValidation type="list" allowBlank="1" showInputMessage="1" showErrorMessage="1" sqref="J203:J600 K75:M600" xr:uid="{8F91FA75-A995-4E14-ACF2-520ADAD00DEB}">
      <formula1>Taxes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9201-DFC3-4297-BD9C-3C51268D94F2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36.75" customHeight="1">
      <c r="C1" s="7" t="s">
        <v>60</v>
      </c>
      <c r="E1" s="9" t="s">
        <v>26</v>
      </c>
      <c r="F1" s="9" t="s">
        <v>151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3129458</v>
      </c>
      <c r="F8" s="19">
        <v>0</v>
      </c>
      <c r="G8" s="19">
        <v>3129458</v>
      </c>
      <c r="I8" s="19">
        <v>210818</v>
      </c>
      <c r="J8" s="19">
        <v>0</v>
      </c>
      <c r="K8" s="19">
        <v>210818</v>
      </c>
      <c r="M8" s="19">
        <v>2918640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3129458</v>
      </c>
      <c r="F36" s="27">
        <v>0</v>
      </c>
      <c r="G36" s="27">
        <v>3129458</v>
      </c>
      <c r="I36" s="27">
        <v>0</v>
      </c>
      <c r="J36" s="27">
        <v>0</v>
      </c>
      <c r="K36" s="27">
        <v>0</v>
      </c>
      <c r="M36" s="27">
        <v>3129458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2235773</v>
      </c>
      <c r="F38" s="24">
        <v>0</v>
      </c>
      <c r="G38" s="24">
        <v>2235773</v>
      </c>
      <c r="I38" s="24">
        <v>0</v>
      </c>
      <c r="J38" s="24">
        <v>0</v>
      </c>
      <c r="K38" s="24">
        <v>0</v>
      </c>
      <c r="M38" s="24">
        <v>2235773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166667</v>
      </c>
      <c r="F40" s="24">
        <v>0</v>
      </c>
      <c r="G40" s="24">
        <v>166667</v>
      </c>
      <c r="I40" s="24">
        <v>0</v>
      </c>
      <c r="J40" s="24">
        <v>0</v>
      </c>
      <c r="K40" s="24">
        <v>0</v>
      </c>
      <c r="M40" s="24">
        <v>166667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727018</v>
      </c>
      <c r="F42" s="24">
        <v>0</v>
      </c>
      <c r="G42" s="24">
        <v>727018</v>
      </c>
      <c r="I42" s="24">
        <v>0</v>
      </c>
      <c r="J42" s="24">
        <v>0</v>
      </c>
      <c r="K42" s="24">
        <v>0</v>
      </c>
      <c r="M42" s="24">
        <v>727018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0</v>
      </c>
      <c r="F44" s="24">
        <v>0</v>
      </c>
      <c r="G44" s="24">
        <v>0</v>
      </c>
      <c r="I44" s="24">
        <v>0</v>
      </c>
      <c r="J44" s="24">
        <v>0</v>
      </c>
      <c r="K44" s="24">
        <v>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210818</v>
      </c>
      <c r="J53" s="27">
        <v>0</v>
      </c>
      <c r="K53" s="27">
        <v>210818</v>
      </c>
      <c r="M53" s="27">
        <v>-210818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210818</v>
      </c>
      <c r="J57" s="24">
        <v>0</v>
      </c>
      <c r="K57" s="24">
        <v>210818</v>
      </c>
      <c r="M57" s="24">
        <v>-210818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0</v>
      </c>
      <c r="F69" s="27">
        <v>0</v>
      </c>
      <c r="G69" s="27">
        <v>0</v>
      </c>
      <c r="I69" s="27">
        <v>0</v>
      </c>
      <c r="J69" s="27">
        <v>0</v>
      </c>
      <c r="K69" s="27">
        <v>0</v>
      </c>
      <c r="M69" s="27">
        <v>0</v>
      </c>
    </row>
    <row r="70" spans="2:13">
      <c r="B70" s="43">
        <v>56</v>
      </c>
      <c r="C70" s="41" t="s">
        <v>135</v>
      </c>
      <c r="E70" s="22">
        <v>0</v>
      </c>
      <c r="F70" s="22">
        <v>0</v>
      </c>
      <c r="G70" s="22">
        <v>0</v>
      </c>
      <c r="I70" s="22">
        <v>0</v>
      </c>
      <c r="J70" s="22">
        <v>0</v>
      </c>
      <c r="K70" s="22">
        <v>0</v>
      </c>
      <c r="M70" s="22">
        <v>0</v>
      </c>
    </row>
    <row r="71" spans="2:13">
      <c r="B71" s="25"/>
      <c r="C71" s="26" t="s">
        <v>136</v>
      </c>
      <c r="E71" s="27">
        <v>0</v>
      </c>
      <c r="F71" s="27">
        <v>0</v>
      </c>
      <c r="G71" s="27">
        <v>0</v>
      </c>
      <c r="I71" s="27">
        <v>0</v>
      </c>
      <c r="J71" s="27">
        <v>0</v>
      </c>
      <c r="K71" s="27">
        <v>0</v>
      </c>
      <c r="M71" s="27">
        <v>0</v>
      </c>
    </row>
    <row r="72" spans="2:13">
      <c r="B72" s="44">
        <v>57</v>
      </c>
      <c r="C72" s="42" t="s">
        <v>137</v>
      </c>
      <c r="E72" s="24">
        <v>0</v>
      </c>
      <c r="F72" s="24">
        <v>0</v>
      </c>
      <c r="G72" s="24">
        <v>0</v>
      </c>
      <c r="I72" s="24">
        <v>0</v>
      </c>
      <c r="J72" s="24">
        <v>0</v>
      </c>
      <c r="K72" s="24">
        <v>0</v>
      </c>
      <c r="M72" s="24">
        <v>0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0522CD0D-6318-4D53-B622-F7E90313F0A5}">
      <formula1>Taxes</formula1>
    </dataValidation>
    <dataValidation type="list" allowBlank="1" showInputMessage="1" showErrorMessage="1" sqref="C75:C603" xr:uid="{BDE1F415-20E3-4393-90B6-B088AD4EFA48}">
      <formula1>Compadjust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12CB-4598-416A-B5C5-00A3CE6A2589}">
  <dimension ref="B1:M605"/>
  <sheetViews>
    <sheetView showGridLines="0" zoomScale="80" zoomScaleNormal="80" workbookViewId="0">
      <selection activeCell="C21" sqref="C21"/>
    </sheetView>
  </sheetViews>
  <sheetFormatPr baseColWidth="10" defaultColWidth="12.36328125" defaultRowHeight="14.5"/>
  <cols>
    <col min="1" max="1" width="12.3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36328125" style="2"/>
  </cols>
  <sheetData>
    <row r="1" spans="2:13" ht="36.75" customHeight="1">
      <c r="C1" s="7" t="s">
        <v>60</v>
      </c>
      <c r="E1" s="9" t="s">
        <v>28</v>
      </c>
      <c r="F1" s="9">
        <v>4408622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164442213</v>
      </c>
      <c r="F8" s="19">
        <v>-80000000</v>
      </c>
      <c r="G8" s="19">
        <v>84442213</v>
      </c>
      <c r="I8" s="19">
        <v>26013160</v>
      </c>
      <c r="J8" s="19">
        <v>0</v>
      </c>
      <c r="K8" s="19">
        <v>26013160</v>
      </c>
      <c r="M8" s="19">
        <v>58429053</v>
      </c>
    </row>
    <row r="9" spans="2:13">
      <c r="B9" s="25"/>
      <c r="C9" s="26" t="s">
        <v>74</v>
      </c>
      <c r="E9" s="27">
        <v>18632000</v>
      </c>
      <c r="F9" s="27">
        <v>0</v>
      </c>
      <c r="G9" s="27">
        <v>18632000</v>
      </c>
      <c r="I9" s="27">
        <v>13993350</v>
      </c>
      <c r="J9" s="27">
        <v>0</v>
      </c>
      <c r="K9" s="27">
        <v>13993350</v>
      </c>
      <c r="M9" s="27">
        <v>4638650</v>
      </c>
    </row>
    <row r="10" spans="2:13">
      <c r="B10" s="20">
        <v>3</v>
      </c>
      <c r="C10" s="41" t="s">
        <v>75</v>
      </c>
      <c r="E10" s="22">
        <v>18632000</v>
      </c>
      <c r="F10" s="22">
        <v>0</v>
      </c>
      <c r="G10" s="22">
        <v>18632000</v>
      </c>
      <c r="I10" s="22">
        <v>0</v>
      </c>
      <c r="J10" s="22">
        <v>0</v>
      </c>
      <c r="K10" s="22">
        <v>0</v>
      </c>
      <c r="M10" s="22">
        <v>18632000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13993350</v>
      </c>
      <c r="J11" s="24">
        <v>0</v>
      </c>
      <c r="K11" s="24">
        <v>13993350</v>
      </c>
      <c r="M11" s="24">
        <v>-13993350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43993913</v>
      </c>
      <c r="F36" s="27">
        <v>0</v>
      </c>
      <c r="G36" s="27">
        <v>43993913</v>
      </c>
      <c r="I36" s="27">
        <v>0</v>
      </c>
      <c r="J36" s="27">
        <v>0</v>
      </c>
      <c r="K36" s="27">
        <v>0</v>
      </c>
      <c r="M36" s="27">
        <v>43993913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41532110</v>
      </c>
      <c r="F38" s="24">
        <v>0</v>
      </c>
      <c r="G38" s="24">
        <v>41532110</v>
      </c>
      <c r="I38" s="24">
        <v>0</v>
      </c>
      <c r="J38" s="24">
        <v>0</v>
      </c>
      <c r="K38" s="24">
        <v>0</v>
      </c>
      <c r="M38" s="24">
        <v>41532110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1318947</v>
      </c>
      <c r="F44" s="24">
        <v>0</v>
      </c>
      <c r="G44" s="24">
        <v>1318947</v>
      </c>
      <c r="I44" s="24">
        <v>0</v>
      </c>
      <c r="J44" s="24">
        <v>0</v>
      </c>
      <c r="K44" s="24">
        <v>0</v>
      </c>
      <c r="M44" s="24">
        <v>1318947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1142856</v>
      </c>
      <c r="F49" s="22">
        <v>0</v>
      </c>
      <c r="G49" s="22">
        <v>1142856</v>
      </c>
      <c r="I49" s="22">
        <v>0</v>
      </c>
      <c r="J49" s="22">
        <v>0</v>
      </c>
      <c r="K49" s="22">
        <v>0</v>
      </c>
      <c r="M49" s="22">
        <v>1142856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6744957</v>
      </c>
      <c r="J53" s="27">
        <v>0</v>
      </c>
      <c r="K53" s="27">
        <v>6744957</v>
      </c>
      <c r="M53" s="27">
        <v>-6744957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6744957</v>
      </c>
      <c r="J57" s="24">
        <v>0</v>
      </c>
      <c r="K57" s="24">
        <v>6744957</v>
      </c>
      <c r="M57" s="24">
        <v>-6744957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21816300</v>
      </c>
      <c r="F62" s="27">
        <v>0</v>
      </c>
      <c r="G62" s="27">
        <v>21816300</v>
      </c>
      <c r="I62" s="27">
        <v>0</v>
      </c>
      <c r="J62" s="27">
        <v>0</v>
      </c>
      <c r="K62" s="27">
        <v>0</v>
      </c>
      <c r="M62" s="27">
        <v>21816300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21816300</v>
      </c>
      <c r="F65" s="22">
        <v>0</v>
      </c>
      <c r="G65" s="22">
        <v>21816300</v>
      </c>
      <c r="I65" s="22">
        <v>0</v>
      </c>
      <c r="J65" s="22">
        <v>0</v>
      </c>
      <c r="K65" s="22">
        <v>0</v>
      </c>
      <c r="M65" s="22">
        <v>21816300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0</v>
      </c>
      <c r="F69" s="27">
        <v>0</v>
      </c>
      <c r="G69" s="27">
        <v>0</v>
      </c>
      <c r="I69" s="27">
        <v>417312</v>
      </c>
      <c r="J69" s="27">
        <v>0</v>
      </c>
      <c r="K69" s="27">
        <v>417312</v>
      </c>
      <c r="M69" s="27">
        <v>-417312</v>
      </c>
    </row>
    <row r="70" spans="2:13">
      <c r="B70" s="43">
        <v>56</v>
      </c>
      <c r="C70" s="41" t="s">
        <v>135</v>
      </c>
      <c r="E70" s="22">
        <v>0</v>
      </c>
      <c r="F70" s="22">
        <v>0</v>
      </c>
      <c r="G70" s="22">
        <v>0</v>
      </c>
      <c r="I70" s="22">
        <v>417312</v>
      </c>
      <c r="J70" s="22">
        <v>0</v>
      </c>
      <c r="K70" s="22">
        <v>417312</v>
      </c>
      <c r="M70" s="22">
        <v>-417312</v>
      </c>
    </row>
    <row r="71" spans="2:13">
      <c r="B71" s="25"/>
      <c r="C71" s="26" t="s">
        <v>136</v>
      </c>
      <c r="E71" s="27">
        <v>0</v>
      </c>
      <c r="F71" s="27">
        <v>0</v>
      </c>
      <c r="G71" s="27">
        <v>0</v>
      </c>
      <c r="I71" s="27">
        <v>4857541</v>
      </c>
      <c r="J71" s="27">
        <v>0</v>
      </c>
      <c r="K71" s="27">
        <v>4857541</v>
      </c>
      <c r="M71" s="27">
        <v>-4857541</v>
      </c>
    </row>
    <row r="72" spans="2:13">
      <c r="B72" s="44">
        <v>57</v>
      </c>
      <c r="C72" s="42" t="s">
        <v>137</v>
      </c>
      <c r="E72" s="24">
        <v>0</v>
      </c>
      <c r="F72" s="24">
        <v>0</v>
      </c>
      <c r="G72" s="24">
        <v>0</v>
      </c>
      <c r="I72" s="24">
        <v>4857541</v>
      </c>
      <c r="J72" s="24">
        <v>0</v>
      </c>
      <c r="K72" s="24">
        <v>4857541</v>
      </c>
      <c r="M72" s="24">
        <v>-4857541</v>
      </c>
    </row>
    <row r="73" spans="2:13">
      <c r="B73" s="25"/>
      <c r="C73" s="26" t="s">
        <v>138</v>
      </c>
      <c r="E73" s="27">
        <v>80000000</v>
      </c>
      <c r="F73" s="27">
        <v>-80000000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80000000</v>
      </c>
      <c r="F74" s="22">
        <v>-80000000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5:C603" xr:uid="{4A62D4CF-212A-4EBA-B837-8175F16A60F7}">
      <formula1>Compadjust</formula1>
    </dataValidation>
    <dataValidation type="list" allowBlank="1" showInputMessage="1" showErrorMessage="1" sqref="J203:J600 K75:M600" xr:uid="{5D336A80-E018-476A-8415-4B47BE10565C}">
      <formula1>Taxes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E384-C519-4448-A6F4-87BA7C7F4CA9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47.25" customHeight="1">
      <c r="C1" s="7" t="s">
        <v>60</v>
      </c>
      <c r="E1" s="9" t="s">
        <v>30</v>
      </c>
      <c r="F1" s="9" t="s">
        <v>150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498097331</v>
      </c>
      <c r="F8" s="19">
        <v>-52375000</v>
      </c>
      <c r="G8" s="19">
        <v>445722331</v>
      </c>
      <c r="I8" s="19">
        <v>373685303</v>
      </c>
      <c r="J8" s="19">
        <v>3000000</v>
      </c>
      <c r="K8" s="19">
        <v>376685303</v>
      </c>
      <c r="M8" s="19">
        <v>69037028</v>
      </c>
    </row>
    <row r="9" spans="2:13">
      <c r="B9" s="25"/>
      <c r="C9" s="26" t="s">
        <v>74</v>
      </c>
      <c r="E9" s="27">
        <v>72347028</v>
      </c>
      <c r="F9" s="27">
        <v>0</v>
      </c>
      <c r="G9" s="27">
        <v>72347028</v>
      </c>
      <c r="I9" s="27">
        <v>3310000</v>
      </c>
      <c r="J9" s="27">
        <v>0</v>
      </c>
      <c r="K9" s="27">
        <v>3310000</v>
      </c>
      <c r="M9" s="27">
        <v>69037028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66674528</v>
      </c>
      <c r="F11" s="24">
        <v>0</v>
      </c>
      <c r="G11" s="24">
        <v>66674528</v>
      </c>
      <c r="I11" s="24">
        <v>0</v>
      </c>
      <c r="J11" s="24">
        <v>0</v>
      </c>
      <c r="K11" s="24">
        <v>0</v>
      </c>
      <c r="M11" s="24">
        <v>66674528</v>
      </c>
    </row>
    <row r="12" spans="2:13">
      <c r="B12" s="20">
        <v>5</v>
      </c>
      <c r="C12" s="41" t="s">
        <v>77</v>
      </c>
      <c r="E12" s="22">
        <v>0</v>
      </c>
      <c r="F12" s="22">
        <v>2500000</v>
      </c>
      <c r="G12" s="22">
        <v>2500000</v>
      </c>
      <c r="I12" s="22">
        <v>2500000</v>
      </c>
      <c r="J12" s="22">
        <v>0</v>
      </c>
      <c r="K12" s="22">
        <v>2500000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5672500</v>
      </c>
      <c r="F14" s="22">
        <v>-2500000</v>
      </c>
      <c r="G14" s="22">
        <v>3172500</v>
      </c>
      <c r="I14" s="22">
        <v>810000</v>
      </c>
      <c r="J14" s="22">
        <v>0</v>
      </c>
      <c r="K14" s="22">
        <v>810000</v>
      </c>
      <c r="M14" s="22">
        <v>2362500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317853598</v>
      </c>
      <c r="F36" s="27">
        <v>0</v>
      </c>
      <c r="G36" s="27">
        <v>317853598</v>
      </c>
      <c r="I36" s="27">
        <v>317853598</v>
      </c>
      <c r="J36" s="27">
        <v>0</v>
      </c>
      <c r="K36" s="27">
        <v>317853598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313156410</v>
      </c>
      <c r="F38" s="24">
        <v>0</v>
      </c>
      <c r="G38" s="24">
        <v>313156410</v>
      </c>
      <c r="I38" s="24">
        <v>313156410</v>
      </c>
      <c r="J38" s="24">
        <v>0</v>
      </c>
      <c r="K38" s="24">
        <v>313156410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1022438</v>
      </c>
      <c r="F42" s="24">
        <v>0</v>
      </c>
      <c r="G42" s="24">
        <v>1022438</v>
      </c>
      <c r="I42" s="24">
        <v>1022438</v>
      </c>
      <c r="J42" s="24">
        <v>0</v>
      </c>
      <c r="K42" s="24">
        <v>1022438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2003417</v>
      </c>
      <c r="F44" s="24">
        <v>0</v>
      </c>
      <c r="G44" s="24">
        <v>2003417</v>
      </c>
      <c r="I44" s="24">
        <v>2003417</v>
      </c>
      <c r="J44" s="24">
        <v>0</v>
      </c>
      <c r="K44" s="24">
        <v>2003417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1671333</v>
      </c>
      <c r="F49" s="22">
        <v>0</v>
      </c>
      <c r="G49" s="22">
        <v>1671333</v>
      </c>
      <c r="I49" s="22">
        <v>1671333</v>
      </c>
      <c r="J49" s="22">
        <v>0</v>
      </c>
      <c r="K49" s="22">
        <v>1671333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84511</v>
      </c>
      <c r="F53" s="27">
        <v>0</v>
      </c>
      <c r="G53" s="27">
        <v>84511</v>
      </c>
      <c r="I53" s="27">
        <v>84511</v>
      </c>
      <c r="J53" s="27">
        <v>0</v>
      </c>
      <c r="K53" s="27">
        <v>84511</v>
      </c>
      <c r="M53" s="27">
        <v>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84511</v>
      </c>
      <c r="F57" s="24">
        <v>0</v>
      </c>
      <c r="G57" s="24">
        <v>84511</v>
      </c>
      <c r="I57" s="24">
        <v>84511</v>
      </c>
      <c r="J57" s="24">
        <v>0</v>
      </c>
      <c r="K57" s="24">
        <v>84511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59290000</v>
      </c>
      <c r="F66" s="27">
        <v>-51500000</v>
      </c>
      <c r="G66" s="27">
        <v>7790000</v>
      </c>
      <c r="I66" s="27">
        <v>4790000</v>
      </c>
      <c r="J66" s="27">
        <v>3000000</v>
      </c>
      <c r="K66" s="27">
        <v>7790000</v>
      </c>
      <c r="M66" s="27">
        <v>0</v>
      </c>
    </row>
    <row r="67" spans="2:13">
      <c r="B67" s="43">
        <v>54</v>
      </c>
      <c r="C67" s="41" t="s">
        <v>132</v>
      </c>
      <c r="E67" s="22">
        <v>56100000</v>
      </c>
      <c r="F67" s="22">
        <v>-51310000</v>
      </c>
      <c r="G67" s="22">
        <v>4790000</v>
      </c>
      <c r="I67" s="22">
        <v>190000</v>
      </c>
      <c r="J67" s="22">
        <v>4600000</v>
      </c>
      <c r="K67" s="22">
        <v>4790000</v>
      </c>
      <c r="M67" s="22">
        <v>0</v>
      </c>
    </row>
    <row r="68" spans="2:13">
      <c r="B68" s="44">
        <v>55</v>
      </c>
      <c r="C68" s="42" t="s">
        <v>133</v>
      </c>
      <c r="E68" s="24">
        <v>3190000</v>
      </c>
      <c r="F68" s="24">
        <v>-190000</v>
      </c>
      <c r="G68" s="24">
        <v>3000000</v>
      </c>
      <c r="I68" s="24">
        <v>4600000</v>
      </c>
      <c r="J68" s="24">
        <v>-1600000</v>
      </c>
      <c r="K68" s="24">
        <v>3000000</v>
      </c>
      <c r="M68" s="24">
        <v>0</v>
      </c>
    </row>
    <row r="69" spans="2:13">
      <c r="B69" s="25"/>
      <c r="C69" s="26" t="s">
        <v>134</v>
      </c>
      <c r="E69" s="27">
        <v>7491925</v>
      </c>
      <c r="F69" s="27">
        <v>1769368</v>
      </c>
      <c r="G69" s="27">
        <v>9261293</v>
      </c>
      <c r="I69" s="27">
        <v>9261293</v>
      </c>
      <c r="J69" s="27">
        <v>0</v>
      </c>
      <c r="K69" s="27">
        <v>9261293</v>
      </c>
      <c r="M69" s="27">
        <v>0</v>
      </c>
    </row>
    <row r="70" spans="2:13">
      <c r="B70" s="43">
        <v>56</v>
      </c>
      <c r="C70" s="41" t="s">
        <v>135</v>
      </c>
      <c r="E70" s="22">
        <v>7491925</v>
      </c>
      <c r="F70" s="22">
        <v>1769368</v>
      </c>
      <c r="G70" s="22">
        <v>9261293</v>
      </c>
      <c r="I70" s="22">
        <v>9261293</v>
      </c>
      <c r="J70" s="22">
        <v>0</v>
      </c>
      <c r="K70" s="22">
        <v>9261293</v>
      </c>
      <c r="M70" s="22">
        <v>0</v>
      </c>
    </row>
    <row r="71" spans="2:13">
      <c r="B71" s="25"/>
      <c r="C71" s="26" t="s">
        <v>136</v>
      </c>
      <c r="E71" s="27">
        <v>40155269</v>
      </c>
      <c r="F71" s="27">
        <v>-1769368</v>
      </c>
      <c r="G71" s="27">
        <v>38385901</v>
      </c>
      <c r="I71" s="27">
        <v>38385901</v>
      </c>
      <c r="J71" s="27">
        <v>0</v>
      </c>
      <c r="K71" s="27">
        <v>38385901</v>
      </c>
      <c r="M71" s="27">
        <v>0</v>
      </c>
    </row>
    <row r="72" spans="2:13">
      <c r="B72" s="44">
        <v>57</v>
      </c>
      <c r="C72" s="42" t="s">
        <v>137</v>
      </c>
      <c r="E72" s="24">
        <v>40155269</v>
      </c>
      <c r="F72" s="24">
        <v>-1769368</v>
      </c>
      <c r="G72" s="24">
        <v>38385901</v>
      </c>
      <c r="I72" s="24">
        <v>38385901</v>
      </c>
      <c r="J72" s="24">
        <v>0</v>
      </c>
      <c r="K72" s="24">
        <v>38385901</v>
      </c>
      <c r="M72" s="24">
        <v>0</v>
      </c>
    </row>
    <row r="73" spans="2:13">
      <c r="B73" s="25"/>
      <c r="C73" s="26" t="s">
        <v>138</v>
      </c>
      <c r="E73" s="27">
        <v>875000</v>
      </c>
      <c r="F73" s="27">
        <v>-875000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875000</v>
      </c>
      <c r="F74" s="22">
        <v>-875000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8B31CC6A-FA0B-481A-A45A-D05BBBDB7A59}">
      <formula1>Taxes</formula1>
    </dataValidation>
    <dataValidation type="list" allowBlank="1" showInputMessage="1" showErrorMessage="1" sqref="C75:C603" xr:uid="{38662C11-9269-4256-AF28-7EDBCE844BC0}">
      <formula1>Compadjust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72B9-D860-4E24-9E38-5E1C505393AB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22">
      <c r="C1" s="7" t="s">
        <v>60</v>
      </c>
      <c r="E1" s="9" t="s">
        <v>32</v>
      </c>
      <c r="F1" s="9" t="s">
        <v>152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320796066</v>
      </c>
      <c r="F8" s="19">
        <v>-200000</v>
      </c>
      <c r="G8" s="19">
        <v>320596066</v>
      </c>
      <c r="I8" s="19">
        <v>320596066</v>
      </c>
      <c r="J8" s="19">
        <v>0</v>
      </c>
      <c r="K8" s="19">
        <v>320596066</v>
      </c>
      <c r="M8" s="19">
        <v>0</v>
      </c>
    </row>
    <row r="9" spans="2:13">
      <c r="B9" s="25"/>
      <c r="C9" s="26" t="s">
        <v>74</v>
      </c>
      <c r="E9" s="27">
        <v>24663033</v>
      </c>
      <c r="F9" s="27">
        <v>0</v>
      </c>
      <c r="G9" s="27">
        <v>24663033</v>
      </c>
      <c r="I9" s="27">
        <v>24663033</v>
      </c>
      <c r="J9" s="27">
        <v>0</v>
      </c>
      <c r="K9" s="27">
        <v>24663033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21518033</v>
      </c>
      <c r="F11" s="24">
        <v>0</v>
      </c>
      <c r="G11" s="24">
        <v>21518033</v>
      </c>
      <c r="I11" s="24">
        <v>21518033</v>
      </c>
      <c r="J11" s="24">
        <v>0</v>
      </c>
      <c r="K11" s="24">
        <v>21518033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3145000</v>
      </c>
      <c r="F14" s="22">
        <v>0</v>
      </c>
      <c r="G14" s="22">
        <v>3145000</v>
      </c>
      <c r="I14" s="22">
        <v>3145000</v>
      </c>
      <c r="J14" s="22">
        <v>0</v>
      </c>
      <c r="K14" s="22">
        <v>3145000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207199797</v>
      </c>
      <c r="F36" s="27">
        <v>0</v>
      </c>
      <c r="G36" s="27">
        <v>207199797</v>
      </c>
      <c r="I36" s="27">
        <v>207199797</v>
      </c>
      <c r="J36" s="27">
        <v>0</v>
      </c>
      <c r="K36" s="27">
        <v>207199797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207199797</v>
      </c>
      <c r="F38" s="24">
        <v>0</v>
      </c>
      <c r="G38" s="24">
        <v>207199797</v>
      </c>
      <c r="I38" s="24">
        <v>207199797</v>
      </c>
      <c r="J38" s="24">
        <v>0</v>
      </c>
      <c r="K38" s="24">
        <v>207199797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0</v>
      </c>
      <c r="F44" s="24">
        <v>0</v>
      </c>
      <c r="G44" s="24">
        <v>0</v>
      </c>
      <c r="I44" s="24">
        <v>0</v>
      </c>
      <c r="J44" s="24">
        <v>0</v>
      </c>
      <c r="K44" s="24">
        <v>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0</v>
      </c>
      <c r="J53" s="27">
        <v>0</v>
      </c>
      <c r="K53" s="27">
        <v>0</v>
      </c>
      <c r="M53" s="27">
        <v>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0</v>
      </c>
      <c r="J57" s="24">
        <v>0</v>
      </c>
      <c r="K57" s="24">
        <v>0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54247396</v>
      </c>
      <c r="F66" s="27">
        <v>0</v>
      </c>
      <c r="G66" s="27">
        <v>54247396</v>
      </c>
      <c r="I66" s="27">
        <v>54247396</v>
      </c>
      <c r="J66" s="27">
        <v>0</v>
      </c>
      <c r="K66" s="27">
        <v>54247396</v>
      </c>
      <c r="M66" s="27">
        <v>0</v>
      </c>
    </row>
    <row r="67" spans="2:13">
      <c r="B67" s="43">
        <v>54</v>
      </c>
      <c r="C67" s="41" t="s">
        <v>132</v>
      </c>
      <c r="E67" s="22">
        <v>54247396</v>
      </c>
      <c r="F67" s="22">
        <v>0</v>
      </c>
      <c r="G67" s="22">
        <v>54247396</v>
      </c>
      <c r="I67" s="22">
        <v>54247396</v>
      </c>
      <c r="J67" s="22">
        <v>0</v>
      </c>
      <c r="K67" s="22">
        <v>54247396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3281040</v>
      </c>
      <c r="F69" s="27">
        <v>0</v>
      </c>
      <c r="G69" s="27">
        <v>3281040</v>
      </c>
      <c r="I69" s="27">
        <v>3281040</v>
      </c>
      <c r="J69" s="27">
        <v>0</v>
      </c>
      <c r="K69" s="27">
        <v>3281040</v>
      </c>
      <c r="M69" s="27">
        <v>0</v>
      </c>
    </row>
    <row r="70" spans="2:13">
      <c r="B70" s="43">
        <v>56</v>
      </c>
      <c r="C70" s="41" t="s">
        <v>135</v>
      </c>
      <c r="E70" s="22">
        <v>3281040</v>
      </c>
      <c r="F70" s="22">
        <v>0</v>
      </c>
      <c r="G70" s="22">
        <v>3281040</v>
      </c>
      <c r="I70" s="22">
        <v>3281040</v>
      </c>
      <c r="J70" s="22">
        <v>0</v>
      </c>
      <c r="K70" s="22">
        <v>3281040</v>
      </c>
      <c r="M70" s="22">
        <v>0</v>
      </c>
    </row>
    <row r="71" spans="2:13">
      <c r="B71" s="25"/>
      <c r="C71" s="26" t="s">
        <v>136</v>
      </c>
      <c r="E71" s="27">
        <v>31204800</v>
      </c>
      <c r="F71" s="27">
        <v>0</v>
      </c>
      <c r="G71" s="27">
        <v>31204800</v>
      </c>
      <c r="I71" s="27">
        <v>31204800</v>
      </c>
      <c r="J71" s="27">
        <v>0</v>
      </c>
      <c r="K71" s="27">
        <v>31204800</v>
      </c>
      <c r="M71" s="27">
        <v>0</v>
      </c>
    </row>
    <row r="72" spans="2:13">
      <c r="B72" s="44">
        <v>57</v>
      </c>
      <c r="C72" s="42" t="s">
        <v>137</v>
      </c>
      <c r="E72" s="24">
        <v>31204800</v>
      </c>
      <c r="F72" s="24">
        <v>0</v>
      </c>
      <c r="G72" s="24">
        <v>31204800</v>
      </c>
      <c r="I72" s="24">
        <v>31204800</v>
      </c>
      <c r="J72" s="24">
        <v>0</v>
      </c>
      <c r="K72" s="24">
        <v>31204800</v>
      </c>
      <c r="M72" s="24">
        <v>0</v>
      </c>
    </row>
    <row r="73" spans="2:13">
      <c r="B73" s="25"/>
      <c r="C73" s="26" t="s">
        <v>138</v>
      </c>
      <c r="E73" s="27">
        <v>200000</v>
      </c>
      <c r="F73" s="27">
        <v>-200000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200000</v>
      </c>
      <c r="F74" s="22">
        <v>-200000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492C26F1-282C-4BD8-A466-2272BFE9D33D}">
      <formula1>Taxes</formula1>
    </dataValidation>
    <dataValidation type="list" allowBlank="1" showInputMessage="1" showErrorMessage="1" sqref="C75:C603" xr:uid="{635AC912-EF44-43C8-AEB6-DFEACF779723}">
      <formula1>Compadjust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1BC3-2729-49C8-ACCE-204AC211F845}">
  <dimension ref="B1:M605"/>
  <sheetViews>
    <sheetView showGridLines="0" zoomScale="80" zoomScaleNormal="80" workbookViewId="0">
      <selection activeCell="C21" sqref="C21"/>
    </sheetView>
  </sheetViews>
  <sheetFormatPr baseColWidth="10" defaultColWidth="12.36328125" defaultRowHeight="14.5"/>
  <cols>
    <col min="1" max="1" width="12.3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36328125" style="2"/>
  </cols>
  <sheetData>
    <row r="1" spans="2:13">
      <c r="C1" s="7" t="s">
        <v>60</v>
      </c>
      <c r="E1" s="9" t="s">
        <v>34</v>
      </c>
      <c r="F1" s="9" t="s">
        <v>153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607066994</v>
      </c>
      <c r="F8" s="19">
        <v>9678167296</v>
      </c>
      <c r="G8" s="19">
        <v>10285234290</v>
      </c>
      <c r="I8" s="19">
        <v>9758167296</v>
      </c>
      <c r="J8" s="19">
        <v>496971994</v>
      </c>
      <c r="K8" s="19">
        <v>10255139290</v>
      </c>
      <c r="M8" s="19">
        <v>30095000</v>
      </c>
    </row>
    <row r="9" spans="2:13">
      <c r="B9" s="25"/>
      <c r="C9" s="26" t="s">
        <v>74</v>
      </c>
      <c r="E9" s="27">
        <v>30095000</v>
      </c>
      <c r="F9" s="27">
        <v>0</v>
      </c>
      <c r="G9" s="27">
        <v>30095000</v>
      </c>
      <c r="I9" s="27">
        <v>80000000</v>
      </c>
      <c r="J9" s="27">
        <v>-80000000</v>
      </c>
      <c r="K9" s="27">
        <v>0</v>
      </c>
      <c r="M9" s="27">
        <v>30095000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26950000</v>
      </c>
      <c r="F11" s="24">
        <v>0</v>
      </c>
      <c r="G11" s="24">
        <v>26950000</v>
      </c>
      <c r="I11" s="24">
        <v>0</v>
      </c>
      <c r="J11" s="24">
        <v>0</v>
      </c>
      <c r="K11" s="24">
        <v>0</v>
      </c>
      <c r="M11" s="24">
        <v>26950000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3145000</v>
      </c>
      <c r="F14" s="22">
        <v>0</v>
      </c>
      <c r="G14" s="22">
        <v>3145000</v>
      </c>
      <c r="I14" s="22">
        <v>80000000</v>
      </c>
      <c r="J14" s="22">
        <v>-80000000</v>
      </c>
      <c r="K14" s="22">
        <v>0</v>
      </c>
      <c r="M14" s="22">
        <v>3145000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576971994</v>
      </c>
      <c r="F36" s="27">
        <v>9678167296</v>
      </c>
      <c r="G36" s="27">
        <v>10255139290</v>
      </c>
      <c r="I36" s="27">
        <v>9678167296</v>
      </c>
      <c r="J36" s="27">
        <v>576971994</v>
      </c>
      <c r="K36" s="27">
        <v>10255139290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576971994</v>
      </c>
      <c r="F38" s="24">
        <v>0</v>
      </c>
      <c r="G38" s="24">
        <v>576971994</v>
      </c>
      <c r="I38" s="24">
        <v>0</v>
      </c>
      <c r="J38" s="24">
        <v>576971994</v>
      </c>
      <c r="K38" s="24">
        <v>576971994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9678167296</v>
      </c>
      <c r="G39" s="22">
        <v>9678167296</v>
      </c>
      <c r="I39" s="22">
        <v>9678167296</v>
      </c>
      <c r="J39" s="22">
        <v>0</v>
      </c>
      <c r="K39" s="22">
        <v>9678167296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0</v>
      </c>
      <c r="F44" s="24">
        <v>0</v>
      </c>
      <c r="G44" s="24">
        <v>0</v>
      </c>
      <c r="I44" s="24">
        <v>0</v>
      </c>
      <c r="J44" s="24">
        <v>0</v>
      </c>
      <c r="K44" s="24">
        <v>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0</v>
      </c>
      <c r="J53" s="27">
        <v>0</v>
      </c>
      <c r="K53" s="27">
        <v>0</v>
      </c>
      <c r="M53" s="27">
        <v>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0</v>
      </c>
      <c r="J57" s="24">
        <v>0</v>
      </c>
      <c r="K57" s="24">
        <v>0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0</v>
      </c>
      <c r="F69" s="27">
        <v>0</v>
      </c>
      <c r="G69" s="27">
        <v>0</v>
      </c>
      <c r="I69" s="27">
        <v>0</v>
      </c>
      <c r="J69" s="27">
        <v>0</v>
      </c>
      <c r="K69" s="27">
        <v>0</v>
      </c>
      <c r="M69" s="27">
        <v>0</v>
      </c>
    </row>
    <row r="70" spans="2:13">
      <c r="B70" s="43">
        <v>56</v>
      </c>
      <c r="C70" s="41" t="s">
        <v>135</v>
      </c>
      <c r="E70" s="22">
        <v>0</v>
      </c>
      <c r="F70" s="22">
        <v>0</v>
      </c>
      <c r="G70" s="22">
        <v>0</v>
      </c>
      <c r="I70" s="22">
        <v>0</v>
      </c>
      <c r="J70" s="22">
        <v>0</v>
      </c>
      <c r="K70" s="22">
        <v>0</v>
      </c>
      <c r="M70" s="22">
        <v>0</v>
      </c>
    </row>
    <row r="71" spans="2:13">
      <c r="B71" s="25"/>
      <c r="C71" s="26" t="s">
        <v>136</v>
      </c>
      <c r="E71" s="27">
        <v>0</v>
      </c>
      <c r="F71" s="27">
        <v>0</v>
      </c>
      <c r="G71" s="27">
        <v>0</v>
      </c>
      <c r="I71" s="27">
        <v>0</v>
      </c>
      <c r="J71" s="27">
        <v>0</v>
      </c>
      <c r="K71" s="27">
        <v>0</v>
      </c>
      <c r="M71" s="27">
        <v>0</v>
      </c>
    </row>
    <row r="72" spans="2:13">
      <c r="B72" s="44">
        <v>57</v>
      </c>
      <c r="C72" s="42" t="s">
        <v>137</v>
      </c>
      <c r="E72" s="24">
        <v>0</v>
      </c>
      <c r="F72" s="24">
        <v>0</v>
      </c>
      <c r="G72" s="24">
        <v>0</v>
      </c>
      <c r="I72" s="24">
        <v>0</v>
      </c>
      <c r="J72" s="24">
        <v>0</v>
      </c>
      <c r="K72" s="24">
        <v>0</v>
      </c>
      <c r="M72" s="24">
        <v>0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5:C603" xr:uid="{84FF8C64-ACEA-4661-9F43-F0D795FB879C}">
      <formula1>Compadjust</formula1>
    </dataValidation>
    <dataValidation type="list" allowBlank="1" showInputMessage="1" showErrorMessage="1" sqref="J203:J600 K75:M600" xr:uid="{9AF7BEB4-B7A2-44EC-B63C-DE8D68E62C11}">
      <formula1>Taxes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6167-814A-401C-B503-5876DD280A11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22">
      <c r="C1" s="7" t="s">
        <v>60</v>
      </c>
      <c r="E1" s="9" t="s">
        <v>36</v>
      </c>
      <c r="F1" s="9" t="s">
        <v>154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105016716</v>
      </c>
      <c r="F8" s="19">
        <v>0</v>
      </c>
      <c r="G8" s="19">
        <v>105016716</v>
      </c>
      <c r="I8" s="19">
        <v>272114310</v>
      </c>
      <c r="J8" s="19">
        <v>0</v>
      </c>
      <c r="K8" s="19">
        <v>272114310</v>
      </c>
      <c r="M8" s="19">
        <v>-167097594</v>
      </c>
    </row>
    <row r="9" spans="2:13">
      <c r="B9" s="25"/>
      <c r="C9" s="26" t="s">
        <v>74</v>
      </c>
      <c r="E9" s="27">
        <v>11735000</v>
      </c>
      <c r="F9" s="27">
        <v>0</v>
      </c>
      <c r="G9" s="27">
        <v>11735000</v>
      </c>
      <c r="I9" s="27">
        <v>174687417</v>
      </c>
      <c r="J9" s="27">
        <v>0</v>
      </c>
      <c r="K9" s="27">
        <v>174687417</v>
      </c>
      <c r="M9" s="27">
        <v>-162952417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162952417</v>
      </c>
      <c r="J10" s="22">
        <v>0</v>
      </c>
      <c r="K10" s="22">
        <v>162952417</v>
      </c>
      <c r="M10" s="22">
        <v>-162952417</v>
      </c>
    </row>
    <row r="11" spans="2:13">
      <c r="B11" s="6">
        <v>4</v>
      </c>
      <c r="C11" s="42" t="s">
        <v>76</v>
      </c>
      <c r="E11" s="24">
        <v>11735000</v>
      </c>
      <c r="F11" s="24">
        <v>0</v>
      </c>
      <c r="G11" s="24">
        <v>11735000</v>
      </c>
      <c r="I11" s="24">
        <v>11735000</v>
      </c>
      <c r="J11" s="24">
        <v>0</v>
      </c>
      <c r="K11" s="24">
        <v>11735000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58377755</v>
      </c>
      <c r="F36" s="27">
        <v>0</v>
      </c>
      <c r="G36" s="27">
        <v>58377755</v>
      </c>
      <c r="I36" s="27">
        <v>65210761</v>
      </c>
      <c r="J36" s="27">
        <v>0</v>
      </c>
      <c r="K36" s="27">
        <v>65210761</v>
      </c>
      <c r="M36" s="27">
        <v>-6833006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41876946</v>
      </c>
      <c r="F38" s="24">
        <v>0</v>
      </c>
      <c r="G38" s="24">
        <v>41876946</v>
      </c>
      <c r="I38" s="24">
        <v>40448056</v>
      </c>
      <c r="J38" s="24">
        <v>0</v>
      </c>
      <c r="K38" s="24">
        <v>40448056</v>
      </c>
      <c r="M38" s="24">
        <v>1428890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7500000</v>
      </c>
      <c r="J39" s="22">
        <v>0</v>
      </c>
      <c r="K39" s="22">
        <v>7500000</v>
      </c>
      <c r="M39" s="22">
        <v>-7500000</v>
      </c>
    </row>
    <row r="40" spans="2:13">
      <c r="B40" s="44">
        <v>30</v>
      </c>
      <c r="C40" s="42" t="s">
        <v>105</v>
      </c>
      <c r="E40" s="24">
        <v>8065089</v>
      </c>
      <c r="F40" s="24">
        <v>0</v>
      </c>
      <c r="G40" s="24">
        <v>8065089</v>
      </c>
      <c r="I40" s="24">
        <v>5000000</v>
      </c>
      <c r="J40" s="24">
        <v>0</v>
      </c>
      <c r="K40" s="24">
        <v>5000000</v>
      </c>
      <c r="M40" s="24">
        <v>3065089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6769070</v>
      </c>
      <c r="F44" s="24">
        <v>0</v>
      </c>
      <c r="G44" s="24">
        <v>6769070</v>
      </c>
      <c r="I44" s="24">
        <v>5973501</v>
      </c>
      <c r="J44" s="24">
        <v>0</v>
      </c>
      <c r="K44" s="24">
        <v>5973501</v>
      </c>
      <c r="M44" s="24">
        <v>795569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1666650</v>
      </c>
      <c r="F49" s="22">
        <v>0</v>
      </c>
      <c r="G49" s="22">
        <v>1666650</v>
      </c>
      <c r="I49" s="22">
        <v>6289204</v>
      </c>
      <c r="J49" s="22">
        <v>0</v>
      </c>
      <c r="K49" s="22">
        <v>6289204</v>
      </c>
      <c r="M49" s="22">
        <v>-4622554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460323</v>
      </c>
      <c r="J53" s="27">
        <v>0</v>
      </c>
      <c r="K53" s="27">
        <v>460323</v>
      </c>
      <c r="M53" s="27">
        <v>-460323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460323</v>
      </c>
      <c r="J57" s="24">
        <v>0</v>
      </c>
      <c r="K57" s="24">
        <v>460323</v>
      </c>
      <c r="M57" s="24">
        <v>-460323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4218480</v>
      </c>
      <c r="F69" s="27">
        <v>0</v>
      </c>
      <c r="G69" s="27">
        <v>4218480</v>
      </c>
      <c r="I69" s="27">
        <v>3870720</v>
      </c>
      <c r="J69" s="27">
        <v>0</v>
      </c>
      <c r="K69" s="27">
        <v>3870720</v>
      </c>
      <c r="M69" s="27">
        <v>347760</v>
      </c>
    </row>
    <row r="70" spans="2:13">
      <c r="B70" s="43">
        <v>56</v>
      </c>
      <c r="C70" s="41" t="s">
        <v>135</v>
      </c>
      <c r="E70" s="22">
        <v>4218480</v>
      </c>
      <c r="F70" s="22">
        <v>0</v>
      </c>
      <c r="G70" s="22">
        <v>4218480</v>
      </c>
      <c r="I70" s="22">
        <v>3870720</v>
      </c>
      <c r="J70" s="22">
        <v>0</v>
      </c>
      <c r="K70" s="22">
        <v>3870720</v>
      </c>
      <c r="M70" s="22">
        <v>347760</v>
      </c>
    </row>
    <row r="71" spans="2:13">
      <c r="B71" s="25"/>
      <c r="C71" s="26" t="s">
        <v>136</v>
      </c>
      <c r="E71" s="27">
        <v>30685481</v>
      </c>
      <c r="F71" s="27">
        <v>0</v>
      </c>
      <c r="G71" s="27">
        <v>30685481</v>
      </c>
      <c r="I71" s="27">
        <v>27885089</v>
      </c>
      <c r="J71" s="27">
        <v>0</v>
      </c>
      <c r="K71" s="27">
        <v>27885089</v>
      </c>
      <c r="M71" s="27">
        <v>2800392</v>
      </c>
    </row>
    <row r="72" spans="2:13">
      <c r="B72" s="44">
        <v>57</v>
      </c>
      <c r="C72" s="42" t="s">
        <v>137</v>
      </c>
      <c r="E72" s="24">
        <v>30685481</v>
      </c>
      <c r="F72" s="24">
        <v>0</v>
      </c>
      <c r="G72" s="24">
        <v>30685481</v>
      </c>
      <c r="I72" s="24">
        <v>27885089</v>
      </c>
      <c r="J72" s="24">
        <v>0</v>
      </c>
      <c r="K72" s="24">
        <v>27885089</v>
      </c>
      <c r="M72" s="24">
        <v>2800392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E5ADDD0D-D3D6-41F7-9008-15DF39EA4D92}">
      <formula1>Taxes</formula1>
    </dataValidation>
    <dataValidation type="list" allowBlank="1" showInputMessage="1" showErrorMessage="1" sqref="C75:C603" xr:uid="{C48655D6-8709-40A2-825E-6CAC3973711D}">
      <formula1>Compadjust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2A5E-2BFE-4A9E-9773-2469CC51E253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33">
      <c r="C1" s="7" t="s">
        <v>60</v>
      </c>
      <c r="E1" s="9" t="s">
        <v>38</v>
      </c>
      <c r="F1" s="9" t="s">
        <v>155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21321465</v>
      </c>
      <c r="F8" s="19">
        <v>-660000</v>
      </c>
      <c r="G8" s="19">
        <v>20661465</v>
      </c>
      <c r="I8" s="19">
        <v>15596971</v>
      </c>
      <c r="J8" s="19">
        <v>0</v>
      </c>
      <c r="K8" s="19">
        <v>15596971</v>
      </c>
      <c r="M8" s="19">
        <v>5064494</v>
      </c>
    </row>
    <row r="9" spans="2:13">
      <c r="B9" s="25"/>
      <c r="C9" s="26" t="s">
        <v>74</v>
      </c>
      <c r="E9" s="27">
        <v>12883480</v>
      </c>
      <c r="F9" s="27">
        <v>0</v>
      </c>
      <c r="G9" s="27">
        <v>12883480</v>
      </c>
      <c r="I9" s="27">
        <v>7883480</v>
      </c>
      <c r="J9" s="27">
        <v>0</v>
      </c>
      <c r="K9" s="27">
        <v>7883480</v>
      </c>
      <c r="M9" s="27">
        <v>5000000</v>
      </c>
    </row>
    <row r="10" spans="2:13">
      <c r="B10" s="20">
        <v>3</v>
      </c>
      <c r="C10" s="41" t="s">
        <v>75</v>
      </c>
      <c r="E10" s="22">
        <v>7883480</v>
      </c>
      <c r="F10" s="22">
        <v>0</v>
      </c>
      <c r="G10" s="22">
        <v>7883480</v>
      </c>
      <c r="I10" s="22">
        <v>7883480</v>
      </c>
      <c r="J10" s="22">
        <v>0</v>
      </c>
      <c r="K10" s="22">
        <v>7883480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5000000</v>
      </c>
      <c r="F12" s="22">
        <v>0</v>
      </c>
      <c r="G12" s="22">
        <v>5000000</v>
      </c>
      <c r="I12" s="22">
        <v>0</v>
      </c>
      <c r="J12" s="22">
        <v>0</v>
      </c>
      <c r="K12" s="22">
        <v>0</v>
      </c>
      <c r="M12" s="22">
        <v>5000000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3666665</v>
      </c>
      <c r="F36" s="27">
        <v>0</v>
      </c>
      <c r="G36" s="27">
        <v>3666665</v>
      </c>
      <c r="I36" s="27">
        <v>3192891</v>
      </c>
      <c r="J36" s="27">
        <v>0</v>
      </c>
      <c r="K36" s="27">
        <v>3192891</v>
      </c>
      <c r="M36" s="27">
        <v>473774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0</v>
      </c>
      <c r="F38" s="24">
        <v>0</v>
      </c>
      <c r="G38" s="24">
        <v>0</v>
      </c>
      <c r="I38" s="24">
        <v>0</v>
      </c>
      <c r="J38" s="24">
        <v>0</v>
      </c>
      <c r="K38" s="24">
        <v>0</v>
      </c>
      <c r="M38" s="24">
        <v>0</v>
      </c>
    </row>
    <row r="39" spans="2:13">
      <c r="B39" s="43">
        <v>29</v>
      </c>
      <c r="C39" s="41" t="s">
        <v>104</v>
      </c>
      <c r="E39" s="22">
        <v>3500000</v>
      </c>
      <c r="F39" s="22">
        <v>0</v>
      </c>
      <c r="G39" s="22">
        <v>3500000</v>
      </c>
      <c r="I39" s="22">
        <v>3000000</v>
      </c>
      <c r="J39" s="22">
        <v>0</v>
      </c>
      <c r="K39" s="22">
        <v>3000000</v>
      </c>
      <c r="M39" s="22">
        <v>500000</v>
      </c>
    </row>
    <row r="40" spans="2:13">
      <c r="B40" s="44">
        <v>30</v>
      </c>
      <c r="C40" s="42" t="s">
        <v>105</v>
      </c>
      <c r="E40" s="24">
        <v>166665</v>
      </c>
      <c r="F40" s="24">
        <v>0</v>
      </c>
      <c r="G40" s="24">
        <v>166665</v>
      </c>
      <c r="I40" s="24">
        <v>0</v>
      </c>
      <c r="J40" s="24">
        <v>0</v>
      </c>
      <c r="K40" s="24">
        <v>0</v>
      </c>
      <c r="M40" s="24">
        <v>166665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0</v>
      </c>
      <c r="F44" s="24">
        <v>0</v>
      </c>
      <c r="G44" s="24">
        <v>0</v>
      </c>
      <c r="I44" s="24">
        <v>192891</v>
      </c>
      <c r="J44" s="24">
        <v>0</v>
      </c>
      <c r="K44" s="24">
        <v>192891</v>
      </c>
      <c r="M44" s="24">
        <v>-192891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0</v>
      </c>
      <c r="J53" s="27">
        <v>0</v>
      </c>
      <c r="K53" s="27">
        <v>0</v>
      </c>
      <c r="M53" s="27">
        <v>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0</v>
      </c>
      <c r="J57" s="24">
        <v>0</v>
      </c>
      <c r="K57" s="24">
        <v>0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3500000</v>
      </c>
      <c r="J66" s="27">
        <v>0</v>
      </c>
      <c r="K66" s="27">
        <v>3500000</v>
      </c>
      <c r="M66" s="27">
        <v>-3500000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3500000</v>
      </c>
      <c r="J67" s="22">
        <v>0</v>
      </c>
      <c r="K67" s="22">
        <v>3500000</v>
      </c>
      <c r="M67" s="22">
        <v>-3500000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1111320</v>
      </c>
      <c r="F69" s="27">
        <v>0</v>
      </c>
      <c r="G69" s="27">
        <v>1111320</v>
      </c>
      <c r="I69" s="27">
        <v>1020600</v>
      </c>
      <c r="J69" s="27">
        <v>0</v>
      </c>
      <c r="K69" s="27">
        <v>1020600</v>
      </c>
      <c r="M69" s="27">
        <v>90720</v>
      </c>
    </row>
    <row r="70" spans="2:13">
      <c r="B70" s="43">
        <v>56</v>
      </c>
      <c r="C70" s="41" t="s">
        <v>135</v>
      </c>
      <c r="E70" s="22">
        <v>1111320</v>
      </c>
      <c r="F70" s="22">
        <v>0</v>
      </c>
      <c r="G70" s="22">
        <v>1111320</v>
      </c>
      <c r="I70" s="22">
        <v>1020600</v>
      </c>
      <c r="J70" s="22">
        <v>0</v>
      </c>
      <c r="K70" s="22">
        <v>1020600</v>
      </c>
      <c r="M70" s="22">
        <v>90720</v>
      </c>
    </row>
    <row r="71" spans="2:13">
      <c r="B71" s="25"/>
      <c r="C71" s="26" t="s">
        <v>136</v>
      </c>
      <c r="E71" s="27">
        <v>3000000</v>
      </c>
      <c r="F71" s="27">
        <v>0</v>
      </c>
      <c r="G71" s="27">
        <v>3000000</v>
      </c>
      <c r="I71" s="27">
        <v>0</v>
      </c>
      <c r="J71" s="27">
        <v>0</v>
      </c>
      <c r="K71" s="27">
        <v>0</v>
      </c>
      <c r="M71" s="27">
        <v>3000000</v>
      </c>
    </row>
    <row r="72" spans="2:13">
      <c r="B72" s="44">
        <v>57</v>
      </c>
      <c r="C72" s="42" t="s">
        <v>137</v>
      </c>
      <c r="E72" s="24">
        <v>3000000</v>
      </c>
      <c r="F72" s="24">
        <v>0</v>
      </c>
      <c r="G72" s="24">
        <v>3000000</v>
      </c>
      <c r="I72" s="24">
        <v>0</v>
      </c>
      <c r="J72" s="24">
        <v>0</v>
      </c>
      <c r="K72" s="24">
        <v>0</v>
      </c>
      <c r="M72" s="24">
        <v>3000000</v>
      </c>
    </row>
    <row r="73" spans="2:13">
      <c r="B73" s="25"/>
      <c r="C73" s="26" t="s">
        <v>138</v>
      </c>
      <c r="E73" s="27">
        <v>660000</v>
      </c>
      <c r="F73" s="27">
        <v>-660000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660000</v>
      </c>
      <c r="F74" s="22">
        <v>-660000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F8C081F9-AED9-462E-9C9E-47F3C2EFC445}">
      <formula1>Taxes</formula1>
    </dataValidation>
    <dataValidation type="list" allowBlank="1" showInputMessage="1" showErrorMessage="1" sqref="C75:C603" xr:uid="{BA6B94E7-4362-4DEB-B051-772FC8DD6210}">
      <formula1>Compadjust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A6C6-50F4-4711-8C6E-2B396981E553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44">
      <c r="C1" s="7" t="s">
        <v>60</v>
      </c>
      <c r="E1" s="9" t="s">
        <v>40</v>
      </c>
      <c r="F1" s="9" t="s">
        <v>156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1699644092</v>
      </c>
      <c r="F8" s="19">
        <v>0</v>
      </c>
      <c r="G8" s="19">
        <v>1699644092</v>
      </c>
      <c r="I8" s="19">
        <v>1607598485</v>
      </c>
      <c r="J8" s="19">
        <v>590399148</v>
      </c>
      <c r="K8" s="19">
        <v>2197997633</v>
      </c>
      <c r="M8" s="19">
        <v>-498353541</v>
      </c>
    </row>
    <row r="9" spans="2:13">
      <c r="B9" s="25"/>
      <c r="C9" s="26" t="s">
        <v>74</v>
      </c>
      <c r="E9" s="27">
        <v>534316132</v>
      </c>
      <c r="F9" s="27">
        <v>0</v>
      </c>
      <c r="G9" s="27">
        <v>534316132</v>
      </c>
      <c r="I9" s="27">
        <v>115766548</v>
      </c>
      <c r="J9" s="27">
        <v>438305164</v>
      </c>
      <c r="K9" s="27">
        <v>554071712</v>
      </c>
      <c r="M9" s="27">
        <v>-19755580</v>
      </c>
    </row>
    <row r="10" spans="2:13">
      <c r="B10" s="20">
        <v>3</v>
      </c>
      <c r="C10" s="41" t="s">
        <v>75</v>
      </c>
      <c r="E10" s="22">
        <v>534316132</v>
      </c>
      <c r="F10" s="22">
        <v>0</v>
      </c>
      <c r="G10" s="22">
        <v>534316132</v>
      </c>
      <c r="I10" s="22">
        <v>96010968</v>
      </c>
      <c r="J10" s="22">
        <v>438305164</v>
      </c>
      <c r="K10" s="22">
        <v>534316132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2500000</v>
      </c>
      <c r="J12" s="22">
        <v>0</v>
      </c>
      <c r="K12" s="22">
        <v>2500000</v>
      </c>
      <c r="M12" s="22">
        <v>-2500000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17255580</v>
      </c>
      <c r="J14" s="22">
        <v>0</v>
      </c>
      <c r="K14" s="22">
        <v>17255580</v>
      </c>
      <c r="M14" s="22">
        <v>-17255580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123390125</v>
      </c>
      <c r="J25" s="27">
        <v>0</v>
      </c>
      <c r="K25" s="27">
        <v>123390125</v>
      </c>
      <c r="M25" s="27">
        <v>-123390125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123390125</v>
      </c>
      <c r="J35" s="24">
        <v>0</v>
      </c>
      <c r="K35" s="24">
        <v>123390125</v>
      </c>
      <c r="M35" s="24">
        <v>-123390125</v>
      </c>
    </row>
    <row r="36" spans="2:13">
      <c r="B36" s="25"/>
      <c r="C36" s="26" t="s">
        <v>101</v>
      </c>
      <c r="E36" s="27">
        <v>911698694</v>
      </c>
      <c r="F36" s="27">
        <v>0</v>
      </c>
      <c r="G36" s="27">
        <v>911698694</v>
      </c>
      <c r="I36" s="27">
        <v>886124886</v>
      </c>
      <c r="J36" s="27">
        <v>152693984</v>
      </c>
      <c r="K36" s="27">
        <v>1038818870</v>
      </c>
      <c r="M36" s="27">
        <v>-127120176</v>
      </c>
    </row>
    <row r="37" spans="2:13">
      <c r="B37" s="43">
        <v>27</v>
      </c>
      <c r="C37" s="41" t="s">
        <v>102</v>
      </c>
      <c r="E37" s="22">
        <v>72317963</v>
      </c>
      <c r="F37" s="22">
        <v>0</v>
      </c>
      <c r="G37" s="22">
        <v>72317963</v>
      </c>
      <c r="I37" s="22">
        <v>95811433</v>
      </c>
      <c r="J37" s="22">
        <v>0</v>
      </c>
      <c r="K37" s="22">
        <v>95811433</v>
      </c>
      <c r="M37" s="22">
        <v>-23493470</v>
      </c>
    </row>
    <row r="38" spans="2:13">
      <c r="B38" s="44">
        <v>28</v>
      </c>
      <c r="C38" s="42" t="s">
        <v>103</v>
      </c>
      <c r="E38" s="24">
        <v>225646637</v>
      </c>
      <c r="F38" s="24">
        <v>0</v>
      </c>
      <c r="G38" s="24">
        <v>225646637</v>
      </c>
      <c r="I38" s="24">
        <v>265264171</v>
      </c>
      <c r="J38" s="24">
        <v>0</v>
      </c>
      <c r="K38" s="24">
        <v>265264171</v>
      </c>
      <c r="M38" s="24">
        <v>-39617534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207357416</v>
      </c>
      <c r="F40" s="24">
        <v>0</v>
      </c>
      <c r="G40" s="24">
        <v>207357416</v>
      </c>
      <c r="I40" s="24">
        <v>0</v>
      </c>
      <c r="J40" s="24">
        <v>207357416</v>
      </c>
      <c r="K40" s="24">
        <v>207357416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25188750</v>
      </c>
      <c r="F42" s="24">
        <v>0</v>
      </c>
      <c r="G42" s="24">
        <v>25188750</v>
      </c>
      <c r="I42" s="24">
        <v>84697169</v>
      </c>
      <c r="J42" s="24">
        <v>0</v>
      </c>
      <c r="K42" s="24">
        <v>84697169</v>
      </c>
      <c r="M42" s="24">
        <v>-59508419</v>
      </c>
    </row>
    <row r="43" spans="2:13" ht="21">
      <c r="B43" s="43">
        <v>33</v>
      </c>
      <c r="C43" s="41" t="s">
        <v>108</v>
      </c>
      <c r="E43" s="22">
        <v>363380654</v>
      </c>
      <c r="F43" s="22">
        <v>0</v>
      </c>
      <c r="G43" s="22">
        <v>363380654</v>
      </c>
      <c r="I43" s="22">
        <v>363390654</v>
      </c>
      <c r="J43" s="22">
        <v>0</v>
      </c>
      <c r="K43" s="22">
        <v>363390654</v>
      </c>
      <c r="M43" s="22">
        <v>-10000</v>
      </c>
    </row>
    <row r="44" spans="2:13">
      <c r="B44" s="44">
        <v>34</v>
      </c>
      <c r="C44" s="42" t="s">
        <v>109</v>
      </c>
      <c r="E44" s="24">
        <v>8541910</v>
      </c>
      <c r="F44" s="24">
        <v>0</v>
      </c>
      <c r="G44" s="24">
        <v>8541910</v>
      </c>
      <c r="I44" s="24">
        <v>10723717</v>
      </c>
      <c r="J44" s="24">
        <v>594386</v>
      </c>
      <c r="K44" s="24">
        <v>11318103</v>
      </c>
      <c r="M44" s="24">
        <v>-2776193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55257818</v>
      </c>
      <c r="J45" s="22">
        <v>-55257818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9265364</v>
      </c>
      <c r="F49" s="22">
        <v>0</v>
      </c>
      <c r="G49" s="22">
        <v>9265364</v>
      </c>
      <c r="I49" s="22">
        <v>10979924</v>
      </c>
      <c r="J49" s="22">
        <v>0</v>
      </c>
      <c r="K49" s="22">
        <v>10979924</v>
      </c>
      <c r="M49" s="22">
        <v>-1714560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253629266</v>
      </c>
      <c r="F53" s="27">
        <v>0</v>
      </c>
      <c r="G53" s="27">
        <v>253629266</v>
      </c>
      <c r="I53" s="27">
        <v>276984131</v>
      </c>
      <c r="J53" s="27">
        <v>0</v>
      </c>
      <c r="K53" s="27">
        <v>276984131</v>
      </c>
      <c r="M53" s="27">
        <v>-23354865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253629266</v>
      </c>
      <c r="F57" s="24">
        <v>0</v>
      </c>
      <c r="G57" s="24">
        <v>253629266</v>
      </c>
      <c r="I57" s="24">
        <v>276984131</v>
      </c>
      <c r="J57" s="24">
        <v>0</v>
      </c>
      <c r="K57" s="24">
        <v>276984131</v>
      </c>
      <c r="M57" s="24">
        <v>-23354865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13000000</v>
      </c>
      <c r="J66" s="27">
        <v>0</v>
      </c>
      <c r="K66" s="27">
        <v>13000000</v>
      </c>
      <c r="M66" s="27">
        <v>-13000000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13000000</v>
      </c>
      <c r="J68" s="24">
        <v>0</v>
      </c>
      <c r="K68" s="24">
        <v>13000000</v>
      </c>
      <c r="M68" s="24">
        <v>-13000000</v>
      </c>
    </row>
    <row r="69" spans="2:13">
      <c r="B69" s="25"/>
      <c r="C69" s="26" t="s">
        <v>134</v>
      </c>
      <c r="E69" s="27">
        <v>0</v>
      </c>
      <c r="F69" s="27">
        <v>0</v>
      </c>
      <c r="G69" s="27">
        <v>0</v>
      </c>
      <c r="I69" s="27">
        <v>44673051</v>
      </c>
      <c r="J69" s="27">
        <v>0</v>
      </c>
      <c r="K69" s="27">
        <v>44673051</v>
      </c>
      <c r="M69" s="27">
        <v>-44673051</v>
      </c>
    </row>
    <row r="70" spans="2:13">
      <c r="B70" s="43">
        <v>56</v>
      </c>
      <c r="C70" s="41" t="s">
        <v>135</v>
      </c>
      <c r="E70" s="22">
        <v>0</v>
      </c>
      <c r="F70" s="22">
        <v>0</v>
      </c>
      <c r="G70" s="22">
        <v>0</v>
      </c>
      <c r="I70" s="22">
        <v>44673051</v>
      </c>
      <c r="J70" s="22">
        <v>0</v>
      </c>
      <c r="K70" s="22">
        <v>44673051</v>
      </c>
      <c r="M70" s="22">
        <v>-44673051</v>
      </c>
    </row>
    <row r="71" spans="2:13">
      <c r="B71" s="25"/>
      <c r="C71" s="26" t="s">
        <v>136</v>
      </c>
      <c r="E71" s="27">
        <v>0</v>
      </c>
      <c r="F71" s="27">
        <v>0</v>
      </c>
      <c r="G71" s="27">
        <v>0</v>
      </c>
      <c r="I71" s="27">
        <v>147059744</v>
      </c>
      <c r="J71" s="27">
        <v>0</v>
      </c>
      <c r="K71" s="27">
        <v>147059744</v>
      </c>
      <c r="M71" s="27">
        <v>-147059744</v>
      </c>
    </row>
    <row r="72" spans="2:13">
      <c r="B72" s="44">
        <v>57</v>
      </c>
      <c r="C72" s="42" t="s">
        <v>137</v>
      </c>
      <c r="E72" s="24">
        <v>0</v>
      </c>
      <c r="F72" s="24">
        <v>0</v>
      </c>
      <c r="G72" s="24">
        <v>0</v>
      </c>
      <c r="I72" s="24">
        <v>147059744</v>
      </c>
      <c r="J72" s="24">
        <v>0</v>
      </c>
      <c r="K72" s="24">
        <v>147059744</v>
      </c>
      <c r="M72" s="24">
        <v>-147059744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600000</v>
      </c>
      <c r="J73" s="27">
        <v>-600000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600000</v>
      </c>
      <c r="J74" s="22">
        <v>-600000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B4BD5D20-7999-4C82-BD90-284F84873BF9}">
      <formula1>Taxes</formula1>
    </dataValidation>
    <dataValidation type="list" allowBlank="1" showInputMessage="1" showErrorMessage="1" sqref="C75:C603" xr:uid="{7D0CE8DE-0117-4950-8738-4E482A67A5F9}">
      <formula1>Compadjust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16A3-3CCB-4282-A670-329E2ED0FD48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22">
      <c r="C1" s="7" t="s">
        <v>60</v>
      </c>
      <c r="E1" s="9" t="s">
        <v>42</v>
      </c>
      <c r="F1" s="9" t="s">
        <v>157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2826329968</v>
      </c>
      <c r="F8" s="19">
        <v>-17050561</v>
      </c>
      <c r="G8" s="19">
        <v>2809279407</v>
      </c>
      <c r="I8" s="19">
        <v>2960242835</v>
      </c>
      <c r="J8" s="19">
        <v>-31823940</v>
      </c>
      <c r="K8" s="19">
        <v>2928418895</v>
      </c>
      <c r="M8" s="19">
        <v>-119139488</v>
      </c>
    </row>
    <row r="9" spans="2:13">
      <c r="B9" s="25"/>
      <c r="C9" s="26" t="s">
        <v>74</v>
      </c>
      <c r="E9" s="27">
        <v>603345617</v>
      </c>
      <c r="F9" s="27">
        <v>0</v>
      </c>
      <c r="G9" s="27">
        <v>603345617</v>
      </c>
      <c r="I9" s="27">
        <v>635169557</v>
      </c>
      <c r="J9" s="27">
        <v>-31823940</v>
      </c>
      <c r="K9" s="27">
        <v>603345617</v>
      </c>
      <c r="M9" s="27">
        <v>0</v>
      </c>
    </row>
    <row r="10" spans="2:13">
      <c r="B10" s="20">
        <v>3</v>
      </c>
      <c r="C10" s="41" t="s">
        <v>75</v>
      </c>
      <c r="E10" s="22">
        <v>579435752</v>
      </c>
      <c r="F10" s="22">
        <v>0</v>
      </c>
      <c r="G10" s="22">
        <v>579435752</v>
      </c>
      <c r="I10" s="22">
        <v>632141222</v>
      </c>
      <c r="J10" s="22">
        <v>-52705470</v>
      </c>
      <c r="K10" s="22">
        <v>579435752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2500000</v>
      </c>
      <c r="G12" s="22">
        <v>2500000</v>
      </c>
      <c r="I12" s="22">
        <v>2500000</v>
      </c>
      <c r="J12" s="22">
        <v>0</v>
      </c>
      <c r="K12" s="22">
        <v>2500000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23909865</v>
      </c>
      <c r="F14" s="22">
        <v>-2500000</v>
      </c>
      <c r="G14" s="22">
        <v>21409865</v>
      </c>
      <c r="I14" s="22">
        <v>528335</v>
      </c>
      <c r="J14" s="22">
        <v>20881530</v>
      </c>
      <c r="K14" s="22">
        <v>21409865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96942794</v>
      </c>
      <c r="F25" s="27">
        <v>0</v>
      </c>
      <c r="G25" s="27">
        <v>96942794</v>
      </c>
      <c r="I25" s="27">
        <v>96942794</v>
      </c>
      <c r="J25" s="27">
        <v>0</v>
      </c>
      <c r="K25" s="27">
        <v>96942794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96942794</v>
      </c>
      <c r="F35" s="24">
        <v>0</v>
      </c>
      <c r="G35" s="24">
        <v>96942794</v>
      </c>
      <c r="I35" s="24">
        <v>96942794</v>
      </c>
      <c r="J35" s="24">
        <v>0</v>
      </c>
      <c r="K35" s="24">
        <v>96942794</v>
      </c>
      <c r="M35" s="24">
        <v>0</v>
      </c>
    </row>
    <row r="36" spans="2:13">
      <c r="B36" s="25"/>
      <c r="C36" s="26" t="s">
        <v>101</v>
      </c>
      <c r="E36" s="27">
        <v>1562803618</v>
      </c>
      <c r="F36" s="27">
        <v>-5000000</v>
      </c>
      <c r="G36" s="27">
        <v>1557803618</v>
      </c>
      <c r="I36" s="27">
        <v>1557803622</v>
      </c>
      <c r="J36" s="27">
        <v>0</v>
      </c>
      <c r="K36" s="27">
        <v>1557803622</v>
      </c>
      <c r="M36" s="27">
        <v>-4</v>
      </c>
    </row>
    <row r="37" spans="2:13">
      <c r="B37" s="43">
        <v>27</v>
      </c>
      <c r="C37" s="41" t="s">
        <v>102</v>
      </c>
      <c r="E37" s="22">
        <v>246055355</v>
      </c>
      <c r="F37" s="22">
        <v>0</v>
      </c>
      <c r="G37" s="22">
        <v>246055355</v>
      </c>
      <c r="I37" s="22">
        <v>246055359</v>
      </c>
      <c r="J37" s="22">
        <v>0</v>
      </c>
      <c r="K37" s="22">
        <v>246055359</v>
      </c>
      <c r="M37" s="22">
        <v>-4</v>
      </c>
    </row>
    <row r="38" spans="2:13">
      <c r="B38" s="44">
        <v>28</v>
      </c>
      <c r="C38" s="42" t="s">
        <v>103</v>
      </c>
      <c r="E38" s="24">
        <v>187486578</v>
      </c>
      <c r="F38" s="24">
        <v>0</v>
      </c>
      <c r="G38" s="24">
        <v>187486578</v>
      </c>
      <c r="I38" s="24">
        <v>187486578</v>
      </c>
      <c r="J38" s="24">
        <v>0</v>
      </c>
      <c r="K38" s="24">
        <v>187486578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793058519</v>
      </c>
      <c r="F40" s="24">
        <v>-5000000</v>
      </c>
      <c r="G40" s="24">
        <v>788058519</v>
      </c>
      <c r="I40" s="24">
        <v>788058519</v>
      </c>
      <c r="J40" s="24">
        <v>0</v>
      </c>
      <c r="K40" s="24">
        <v>788058519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140299480</v>
      </c>
      <c r="F44" s="24">
        <v>0</v>
      </c>
      <c r="G44" s="24">
        <v>140299480</v>
      </c>
      <c r="I44" s="24">
        <v>140299480</v>
      </c>
      <c r="J44" s="24">
        <v>0</v>
      </c>
      <c r="K44" s="24">
        <v>140299480</v>
      </c>
      <c r="M44" s="24">
        <v>0</v>
      </c>
    </row>
    <row r="45" spans="2:13">
      <c r="B45" s="43">
        <v>35</v>
      </c>
      <c r="C45" s="41" t="s">
        <v>110</v>
      </c>
      <c r="E45" s="22">
        <v>162179477</v>
      </c>
      <c r="F45" s="22">
        <v>0</v>
      </c>
      <c r="G45" s="22">
        <v>162179477</v>
      </c>
      <c r="I45" s="22">
        <v>162179477</v>
      </c>
      <c r="J45" s="22">
        <v>0</v>
      </c>
      <c r="K45" s="22">
        <v>162179477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33724209</v>
      </c>
      <c r="F49" s="22">
        <v>0</v>
      </c>
      <c r="G49" s="22">
        <v>33724209</v>
      </c>
      <c r="I49" s="22">
        <v>33724209</v>
      </c>
      <c r="J49" s="22">
        <v>0</v>
      </c>
      <c r="K49" s="22">
        <v>33724209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343372558</v>
      </c>
      <c r="F53" s="27">
        <v>0</v>
      </c>
      <c r="G53" s="27">
        <v>343372558</v>
      </c>
      <c r="I53" s="27">
        <v>479684789</v>
      </c>
      <c r="J53" s="27">
        <v>0</v>
      </c>
      <c r="K53" s="27">
        <v>479684789</v>
      </c>
      <c r="M53" s="27">
        <v>-136312231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343372558</v>
      </c>
      <c r="F57" s="24">
        <v>0</v>
      </c>
      <c r="G57" s="24">
        <v>343372558</v>
      </c>
      <c r="I57" s="24">
        <v>479684789</v>
      </c>
      <c r="J57" s="24">
        <v>0</v>
      </c>
      <c r="K57" s="24">
        <v>479684789</v>
      </c>
      <c r="M57" s="24">
        <v>-136312231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41521426</v>
      </c>
      <c r="F69" s="27">
        <v>-491793</v>
      </c>
      <c r="G69" s="27">
        <v>41029633</v>
      </c>
      <c r="I69" s="27">
        <v>37199933</v>
      </c>
      <c r="J69" s="27">
        <v>0</v>
      </c>
      <c r="K69" s="27">
        <v>37199933</v>
      </c>
      <c r="M69" s="27">
        <v>3829700</v>
      </c>
    </row>
    <row r="70" spans="2:13">
      <c r="B70" s="43">
        <v>56</v>
      </c>
      <c r="C70" s="41" t="s">
        <v>135</v>
      </c>
      <c r="E70" s="22">
        <v>41521426</v>
      </c>
      <c r="F70" s="22">
        <v>-491793</v>
      </c>
      <c r="G70" s="22">
        <v>41029633</v>
      </c>
      <c r="I70" s="22">
        <v>37199933</v>
      </c>
      <c r="J70" s="22">
        <v>0</v>
      </c>
      <c r="K70" s="22">
        <v>37199933</v>
      </c>
      <c r="M70" s="22">
        <v>3829700</v>
      </c>
    </row>
    <row r="71" spans="2:13">
      <c r="B71" s="25"/>
      <c r="C71" s="26" t="s">
        <v>136</v>
      </c>
      <c r="E71" s="27">
        <v>165485187</v>
      </c>
      <c r="F71" s="27">
        <v>0</v>
      </c>
      <c r="G71" s="27">
        <v>165485187</v>
      </c>
      <c r="I71" s="27">
        <v>152142140</v>
      </c>
      <c r="J71" s="27">
        <v>0</v>
      </c>
      <c r="K71" s="27">
        <v>152142140</v>
      </c>
      <c r="M71" s="27">
        <v>13343047</v>
      </c>
    </row>
    <row r="72" spans="2:13">
      <c r="B72" s="44">
        <v>57</v>
      </c>
      <c r="C72" s="42" t="s">
        <v>137</v>
      </c>
      <c r="E72" s="24">
        <v>165485187</v>
      </c>
      <c r="F72" s="24">
        <v>0</v>
      </c>
      <c r="G72" s="24">
        <v>165485187</v>
      </c>
      <c r="I72" s="24">
        <v>152142140</v>
      </c>
      <c r="J72" s="24">
        <v>0</v>
      </c>
      <c r="K72" s="24">
        <v>152142140</v>
      </c>
      <c r="M72" s="24">
        <v>13343047</v>
      </c>
    </row>
    <row r="73" spans="2:13">
      <c r="B73" s="25"/>
      <c r="C73" s="26" t="s">
        <v>138</v>
      </c>
      <c r="E73" s="27">
        <v>12858768</v>
      </c>
      <c r="F73" s="27">
        <v>-11558768</v>
      </c>
      <c r="G73" s="27">
        <v>1300000</v>
      </c>
      <c r="H73" s="28">
        <v>808920</v>
      </c>
      <c r="I73" s="27">
        <v>1300000</v>
      </c>
      <c r="J73" s="27">
        <v>0</v>
      </c>
      <c r="K73" s="27">
        <v>1300000</v>
      </c>
      <c r="M73" s="27">
        <v>0</v>
      </c>
    </row>
    <row r="74" spans="2:13" ht="21">
      <c r="B74" s="43">
        <v>58</v>
      </c>
      <c r="C74" s="41" t="s">
        <v>139</v>
      </c>
      <c r="E74" s="22">
        <v>12858768</v>
      </c>
      <c r="F74" s="22">
        <v>-11558768</v>
      </c>
      <c r="G74" s="22">
        <v>1300000</v>
      </c>
      <c r="I74" s="22">
        <v>1300000</v>
      </c>
      <c r="J74" s="22">
        <v>0</v>
      </c>
      <c r="K74" s="22">
        <v>1300000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FFD2A8D9-39AB-4E55-987A-F8FDBB6154C1}">
      <formula1>Taxes</formula1>
    </dataValidation>
    <dataValidation type="list" allowBlank="1" showInputMessage="1" showErrorMessage="1" sqref="C75:C603" xr:uid="{048715EE-2000-4DED-B76F-B7143CBE07C1}">
      <formula1>Compadjust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B59E-5993-4CD1-8371-5281846FA9EE}">
  <dimension ref="B1:M605"/>
  <sheetViews>
    <sheetView showGridLines="0" zoomScale="80" zoomScaleNormal="80" workbookViewId="0">
      <selection activeCell="C21" sqref="C21"/>
    </sheetView>
  </sheetViews>
  <sheetFormatPr baseColWidth="10" defaultColWidth="12.36328125" defaultRowHeight="14.5"/>
  <cols>
    <col min="1" max="1" width="12.3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36328125" style="2"/>
  </cols>
  <sheetData>
    <row r="1" spans="2:13">
      <c r="C1" s="7" t="s">
        <v>60</v>
      </c>
      <c r="E1" s="9" t="s">
        <v>44</v>
      </c>
      <c r="F1" s="9">
        <v>2236190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0</v>
      </c>
      <c r="F8" s="19">
        <v>0</v>
      </c>
      <c r="G8" s="19">
        <v>0</v>
      </c>
      <c r="I8" s="19">
        <v>102125019</v>
      </c>
      <c r="J8" s="19">
        <v>0</v>
      </c>
      <c r="K8" s="19">
        <v>102125019</v>
      </c>
      <c r="M8" s="19">
        <v>-102125019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69720482</v>
      </c>
      <c r="J9" s="27">
        <v>0</v>
      </c>
      <c r="K9" s="27">
        <v>69720482</v>
      </c>
      <c r="M9" s="27">
        <v>-69720482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67220482</v>
      </c>
      <c r="J10" s="22">
        <v>0</v>
      </c>
      <c r="K10" s="22">
        <v>67220482</v>
      </c>
      <c r="M10" s="22">
        <v>-67220482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1500000</v>
      </c>
      <c r="J12" s="22">
        <v>0</v>
      </c>
      <c r="K12" s="22">
        <v>1500000</v>
      </c>
      <c r="M12" s="22">
        <v>-1500000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1000000</v>
      </c>
      <c r="J14" s="22">
        <v>0</v>
      </c>
      <c r="K14" s="22">
        <v>1000000</v>
      </c>
      <c r="M14" s="22">
        <v>-1000000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0</v>
      </c>
      <c r="F36" s="27">
        <v>0</v>
      </c>
      <c r="G36" s="27">
        <v>0</v>
      </c>
      <c r="I36" s="27">
        <v>0</v>
      </c>
      <c r="J36" s="27">
        <v>0</v>
      </c>
      <c r="K36" s="27">
        <v>0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0</v>
      </c>
      <c r="F38" s="24">
        <v>0</v>
      </c>
      <c r="G38" s="24">
        <v>0</v>
      </c>
      <c r="I38" s="24">
        <v>0</v>
      </c>
      <c r="J38" s="24">
        <v>0</v>
      </c>
      <c r="K38" s="24">
        <v>0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0</v>
      </c>
      <c r="F44" s="24">
        <v>0</v>
      </c>
      <c r="G44" s="24">
        <v>0</v>
      </c>
      <c r="I44" s="24">
        <v>0</v>
      </c>
      <c r="J44" s="24">
        <v>0</v>
      </c>
      <c r="K44" s="24">
        <v>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0</v>
      </c>
      <c r="J53" s="27">
        <v>0</v>
      </c>
      <c r="K53" s="27">
        <v>0</v>
      </c>
      <c r="M53" s="27">
        <v>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0</v>
      </c>
      <c r="J57" s="24">
        <v>0</v>
      </c>
      <c r="K57" s="24">
        <v>0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0</v>
      </c>
      <c r="F69" s="27">
        <v>0</v>
      </c>
      <c r="G69" s="27">
        <v>0</v>
      </c>
      <c r="I69" s="27">
        <v>9592250</v>
      </c>
      <c r="J69" s="27">
        <v>0</v>
      </c>
      <c r="K69" s="27">
        <v>9592250</v>
      </c>
      <c r="M69" s="27">
        <v>-9592250</v>
      </c>
    </row>
    <row r="70" spans="2:13">
      <c r="B70" s="43">
        <v>56</v>
      </c>
      <c r="C70" s="41" t="s">
        <v>135</v>
      </c>
      <c r="E70" s="22">
        <v>0</v>
      </c>
      <c r="F70" s="22">
        <v>0</v>
      </c>
      <c r="G70" s="22">
        <v>0</v>
      </c>
      <c r="I70" s="22">
        <v>9592250</v>
      </c>
      <c r="J70" s="22">
        <v>0</v>
      </c>
      <c r="K70" s="22">
        <v>9592250</v>
      </c>
      <c r="M70" s="22">
        <v>-9592250</v>
      </c>
    </row>
    <row r="71" spans="2:13">
      <c r="B71" s="25"/>
      <c r="C71" s="26" t="s">
        <v>136</v>
      </c>
      <c r="E71" s="27">
        <v>0</v>
      </c>
      <c r="F71" s="27">
        <v>0</v>
      </c>
      <c r="G71" s="27">
        <v>0</v>
      </c>
      <c r="I71" s="27">
        <v>22812287</v>
      </c>
      <c r="J71" s="27">
        <v>0</v>
      </c>
      <c r="K71" s="27">
        <v>22812287</v>
      </c>
      <c r="M71" s="27">
        <v>-22812287</v>
      </c>
    </row>
    <row r="72" spans="2:13">
      <c r="B72" s="44">
        <v>57</v>
      </c>
      <c r="C72" s="42" t="s">
        <v>137</v>
      </c>
      <c r="E72" s="24">
        <v>0</v>
      </c>
      <c r="F72" s="24">
        <v>0</v>
      </c>
      <c r="G72" s="24">
        <v>0</v>
      </c>
      <c r="I72" s="24">
        <v>22812287</v>
      </c>
      <c r="J72" s="24">
        <v>0</v>
      </c>
      <c r="K72" s="24">
        <v>22812287</v>
      </c>
      <c r="M72" s="24">
        <v>-22812287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5:C603" xr:uid="{7737BE1E-1C91-42DE-8289-ED30137769D6}">
      <formula1>Compadjust</formula1>
    </dataValidation>
    <dataValidation type="list" allowBlank="1" showInputMessage="1" showErrorMessage="1" sqref="J203:J600 K75:M600" xr:uid="{3966FE0C-D234-4436-90F5-21E84E81C11F}">
      <formula1>Taxes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56AD-5083-4388-A0CD-0A8557999979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44">
      <c r="C1" s="7" t="s">
        <v>60</v>
      </c>
      <c r="E1" s="9" t="s">
        <v>46</v>
      </c>
      <c r="F1" s="9" t="s">
        <v>158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462676478</v>
      </c>
      <c r="F8" s="19">
        <v>684463014</v>
      </c>
      <c r="G8" s="19">
        <v>1147139492</v>
      </c>
      <c r="I8" s="19">
        <v>1157029356</v>
      </c>
      <c r="J8" s="19">
        <v>0</v>
      </c>
      <c r="K8" s="19">
        <v>1157029356</v>
      </c>
      <c r="M8" s="19">
        <v>-9889864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424722399</v>
      </c>
      <c r="F36" s="27">
        <v>678415335</v>
      </c>
      <c r="G36" s="27">
        <v>1103137734</v>
      </c>
      <c r="I36" s="27">
        <v>1112644050</v>
      </c>
      <c r="J36" s="27">
        <v>0</v>
      </c>
      <c r="K36" s="27">
        <v>1112644050</v>
      </c>
      <c r="M36" s="27">
        <v>-9506316</v>
      </c>
    </row>
    <row r="37" spans="2:13">
      <c r="B37" s="43">
        <v>27</v>
      </c>
      <c r="C37" s="41" t="s">
        <v>102</v>
      </c>
      <c r="E37" s="22">
        <v>104009005</v>
      </c>
      <c r="F37" s="22">
        <v>0</v>
      </c>
      <c r="G37" s="22">
        <v>104009005</v>
      </c>
      <c r="I37" s="22">
        <v>104009005</v>
      </c>
      <c r="J37" s="22">
        <v>0</v>
      </c>
      <c r="K37" s="22">
        <v>104009005</v>
      </c>
      <c r="M37" s="22">
        <v>0</v>
      </c>
    </row>
    <row r="38" spans="2:13">
      <c r="B38" s="44">
        <v>28</v>
      </c>
      <c r="C38" s="42" t="s">
        <v>103</v>
      </c>
      <c r="E38" s="24">
        <v>283602021</v>
      </c>
      <c r="F38" s="24">
        <v>0</v>
      </c>
      <c r="G38" s="24">
        <v>283602021</v>
      </c>
      <c r="I38" s="24">
        <v>214119324</v>
      </c>
      <c r="J38" s="24">
        <v>0</v>
      </c>
      <c r="K38" s="24">
        <v>214119324</v>
      </c>
      <c r="M38" s="24">
        <v>69482697</v>
      </c>
    </row>
    <row r="39" spans="2:13">
      <c r="B39" s="43">
        <v>29</v>
      </c>
      <c r="C39" s="41" t="s">
        <v>104</v>
      </c>
      <c r="E39" s="22">
        <v>0</v>
      </c>
      <c r="F39" s="22">
        <v>678415335</v>
      </c>
      <c r="G39" s="22">
        <v>678415335</v>
      </c>
      <c r="I39" s="22">
        <v>764076428</v>
      </c>
      <c r="J39" s="22">
        <v>0</v>
      </c>
      <c r="K39" s="22">
        <v>764076428</v>
      </c>
      <c r="M39" s="22">
        <v>-85661093</v>
      </c>
    </row>
    <row r="40" spans="2:13">
      <c r="B40" s="44">
        <v>30</v>
      </c>
      <c r="C40" s="42" t="s">
        <v>105</v>
      </c>
      <c r="E40" s="24">
        <v>5000000</v>
      </c>
      <c r="F40" s="24">
        <v>0</v>
      </c>
      <c r="G40" s="24">
        <v>5000000</v>
      </c>
      <c r="I40" s="24">
        <v>0</v>
      </c>
      <c r="J40" s="24">
        <v>0</v>
      </c>
      <c r="K40" s="24">
        <v>0</v>
      </c>
      <c r="M40" s="24">
        <v>5000000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538271</v>
      </c>
      <c r="F42" s="24">
        <v>0</v>
      </c>
      <c r="G42" s="24">
        <v>538271</v>
      </c>
      <c r="I42" s="24">
        <v>238271</v>
      </c>
      <c r="J42" s="24">
        <v>0</v>
      </c>
      <c r="K42" s="24">
        <v>238271</v>
      </c>
      <c r="M42" s="24">
        <v>300000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1701425</v>
      </c>
      <c r="F44" s="24">
        <v>0</v>
      </c>
      <c r="G44" s="24">
        <v>1701425</v>
      </c>
      <c r="I44" s="24">
        <v>1186490</v>
      </c>
      <c r="J44" s="24">
        <v>0</v>
      </c>
      <c r="K44" s="24">
        <v>1186490</v>
      </c>
      <c r="M44" s="24">
        <v>514935</v>
      </c>
    </row>
    <row r="45" spans="2:13">
      <c r="B45" s="43">
        <v>35</v>
      </c>
      <c r="C45" s="41" t="s">
        <v>110</v>
      </c>
      <c r="E45" s="22">
        <v>24745261</v>
      </c>
      <c r="F45" s="22">
        <v>0</v>
      </c>
      <c r="G45" s="22">
        <v>24745261</v>
      </c>
      <c r="I45" s="22">
        <v>24745261</v>
      </c>
      <c r="J45" s="22">
        <v>0</v>
      </c>
      <c r="K45" s="22">
        <v>24745261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5126416</v>
      </c>
      <c r="F49" s="22">
        <v>0</v>
      </c>
      <c r="G49" s="22">
        <v>5126416</v>
      </c>
      <c r="I49" s="22">
        <v>4269271</v>
      </c>
      <c r="J49" s="22">
        <v>0</v>
      </c>
      <c r="K49" s="22">
        <v>4269271</v>
      </c>
      <c r="M49" s="22">
        <v>857145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6047679</v>
      </c>
      <c r="G53" s="27">
        <v>6047679</v>
      </c>
      <c r="I53" s="27">
        <v>6047679</v>
      </c>
      <c r="J53" s="27">
        <v>0</v>
      </c>
      <c r="K53" s="27">
        <v>6047679</v>
      </c>
      <c r="M53" s="27">
        <v>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6047679</v>
      </c>
      <c r="G57" s="24">
        <v>6047679</v>
      </c>
      <c r="I57" s="24">
        <v>6047679</v>
      </c>
      <c r="J57" s="24">
        <v>0</v>
      </c>
      <c r="K57" s="24">
        <v>6047679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3129840</v>
      </c>
      <c r="F69" s="27">
        <v>0</v>
      </c>
      <c r="G69" s="27">
        <v>3129840</v>
      </c>
      <c r="I69" s="27">
        <v>3129840</v>
      </c>
      <c r="J69" s="27">
        <v>0</v>
      </c>
      <c r="K69" s="27">
        <v>3129840</v>
      </c>
      <c r="M69" s="27">
        <v>0</v>
      </c>
    </row>
    <row r="70" spans="2:13">
      <c r="B70" s="43">
        <v>56</v>
      </c>
      <c r="C70" s="41" t="s">
        <v>135</v>
      </c>
      <c r="E70" s="22">
        <v>3129840</v>
      </c>
      <c r="F70" s="22">
        <v>0</v>
      </c>
      <c r="G70" s="22">
        <v>3129840</v>
      </c>
      <c r="I70" s="22">
        <v>3129840</v>
      </c>
      <c r="J70" s="22">
        <v>0</v>
      </c>
      <c r="K70" s="22">
        <v>3129840</v>
      </c>
      <c r="M70" s="22">
        <v>0</v>
      </c>
    </row>
    <row r="71" spans="2:13">
      <c r="B71" s="25"/>
      <c r="C71" s="26" t="s">
        <v>136</v>
      </c>
      <c r="E71" s="27">
        <v>34824239</v>
      </c>
      <c r="F71" s="27">
        <v>0</v>
      </c>
      <c r="G71" s="27">
        <v>34824239</v>
      </c>
      <c r="I71" s="27">
        <v>35207787</v>
      </c>
      <c r="J71" s="27">
        <v>0</v>
      </c>
      <c r="K71" s="27">
        <v>35207787</v>
      </c>
      <c r="M71" s="27">
        <v>-383548</v>
      </c>
    </row>
    <row r="72" spans="2:13">
      <c r="B72" s="44">
        <v>57</v>
      </c>
      <c r="C72" s="42" t="s">
        <v>137</v>
      </c>
      <c r="E72" s="24">
        <v>34824239</v>
      </c>
      <c r="F72" s="24">
        <v>0</v>
      </c>
      <c r="G72" s="24">
        <v>34824239</v>
      </c>
      <c r="I72" s="24">
        <v>35207787</v>
      </c>
      <c r="J72" s="24">
        <v>0</v>
      </c>
      <c r="K72" s="24">
        <v>35207787</v>
      </c>
      <c r="M72" s="24">
        <v>-383548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2D09ABE9-4D45-4DD8-9A0E-1FF616884D62}">
      <formula1>Taxes</formula1>
    </dataValidation>
    <dataValidation type="list" allowBlank="1" showInputMessage="1" showErrorMessage="1" sqref="C75:C603" xr:uid="{F7916B31-15E7-4BDF-9198-46248B7C41A3}">
      <formula1>Compadjust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32D2-2C2E-48F4-8EC2-1E8D2ACB3671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33">
      <c r="C1" s="7" t="s">
        <v>60</v>
      </c>
      <c r="E1" s="9" t="s">
        <v>48</v>
      </c>
      <c r="F1" s="9" t="s">
        <v>159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265237493</v>
      </c>
      <c r="F8" s="19">
        <v>0</v>
      </c>
      <c r="G8" s="19">
        <v>265237493</v>
      </c>
      <c r="I8" s="19">
        <v>58003381</v>
      </c>
      <c r="J8" s="19">
        <v>167051188</v>
      </c>
      <c r="K8" s="19">
        <v>225054569</v>
      </c>
      <c r="M8" s="19">
        <v>40182924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41598616</v>
      </c>
      <c r="F15" s="27">
        <v>0</v>
      </c>
      <c r="G15" s="27">
        <v>41598616</v>
      </c>
      <c r="I15" s="27">
        <v>0</v>
      </c>
      <c r="J15" s="27">
        <v>41598616</v>
      </c>
      <c r="K15" s="27">
        <v>41598616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21598616</v>
      </c>
      <c r="F20" s="22">
        <v>0</v>
      </c>
      <c r="G20" s="22">
        <v>21598616</v>
      </c>
      <c r="I20" s="22">
        <v>0</v>
      </c>
      <c r="J20" s="22">
        <v>21598616</v>
      </c>
      <c r="K20" s="22">
        <v>21598616</v>
      </c>
      <c r="M20" s="22">
        <v>0</v>
      </c>
    </row>
    <row r="21" spans="2:13">
      <c r="B21" s="6">
        <v>13</v>
      </c>
      <c r="C21" s="42" t="s">
        <v>86</v>
      </c>
      <c r="E21" s="24">
        <v>20000000</v>
      </c>
      <c r="F21" s="24">
        <v>0</v>
      </c>
      <c r="G21" s="24">
        <v>20000000</v>
      </c>
      <c r="I21" s="24">
        <v>0</v>
      </c>
      <c r="J21" s="24">
        <v>20000000</v>
      </c>
      <c r="K21" s="24">
        <v>20000000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32397924</v>
      </c>
      <c r="F25" s="27">
        <v>0</v>
      </c>
      <c r="G25" s="27">
        <v>32397924</v>
      </c>
      <c r="I25" s="27">
        <v>14646000</v>
      </c>
      <c r="J25" s="27">
        <v>0</v>
      </c>
      <c r="K25" s="27">
        <v>14646000</v>
      </c>
      <c r="M25" s="27">
        <v>17751924</v>
      </c>
    </row>
    <row r="26" spans="2:13" ht="21">
      <c r="B26" s="43">
        <v>17</v>
      </c>
      <c r="C26" s="41" t="s">
        <v>91</v>
      </c>
      <c r="E26" s="22">
        <v>32397924</v>
      </c>
      <c r="F26" s="22">
        <v>0</v>
      </c>
      <c r="G26" s="22">
        <v>32397924</v>
      </c>
      <c r="I26" s="22">
        <v>14646000</v>
      </c>
      <c r="J26" s="22">
        <v>0</v>
      </c>
      <c r="K26" s="22">
        <v>14646000</v>
      </c>
      <c r="M26" s="22">
        <v>17751924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45788381</v>
      </c>
      <c r="F36" s="27">
        <v>0</v>
      </c>
      <c r="G36" s="27">
        <v>45788381</v>
      </c>
      <c r="I36" s="27">
        <v>0</v>
      </c>
      <c r="J36" s="27">
        <v>0</v>
      </c>
      <c r="K36" s="27">
        <v>0</v>
      </c>
      <c r="M36" s="27">
        <v>45788381</v>
      </c>
    </row>
    <row r="37" spans="2:13">
      <c r="B37" s="43">
        <v>27</v>
      </c>
      <c r="C37" s="41" t="s">
        <v>102</v>
      </c>
      <c r="E37" s="22">
        <v>45788381</v>
      </c>
      <c r="F37" s="22">
        <v>0</v>
      </c>
      <c r="G37" s="22">
        <v>45788381</v>
      </c>
      <c r="I37" s="22">
        <v>0</v>
      </c>
      <c r="J37" s="22">
        <v>0</v>
      </c>
      <c r="K37" s="22">
        <v>0</v>
      </c>
      <c r="M37" s="22">
        <v>45788381</v>
      </c>
    </row>
    <row r="38" spans="2:13">
      <c r="B38" s="44">
        <v>28</v>
      </c>
      <c r="C38" s="42" t="s">
        <v>103</v>
      </c>
      <c r="E38" s="24">
        <v>0</v>
      </c>
      <c r="F38" s="24">
        <v>0</v>
      </c>
      <c r="G38" s="24">
        <v>0</v>
      </c>
      <c r="I38" s="24">
        <v>0</v>
      </c>
      <c r="J38" s="24">
        <v>0</v>
      </c>
      <c r="K38" s="24">
        <v>0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0</v>
      </c>
      <c r="F44" s="24">
        <v>0</v>
      </c>
      <c r="G44" s="24">
        <v>0</v>
      </c>
      <c r="I44" s="24">
        <v>0</v>
      </c>
      <c r="J44" s="24">
        <v>0</v>
      </c>
      <c r="K44" s="24">
        <v>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3357381</v>
      </c>
      <c r="J53" s="27">
        <v>0</v>
      </c>
      <c r="K53" s="27">
        <v>3357381</v>
      </c>
      <c r="M53" s="27">
        <v>-3357381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3357381</v>
      </c>
      <c r="J57" s="24">
        <v>0</v>
      </c>
      <c r="K57" s="24">
        <v>3357381</v>
      </c>
      <c r="M57" s="24">
        <v>-3357381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0</v>
      </c>
      <c r="F69" s="27">
        <v>0</v>
      </c>
      <c r="G69" s="27">
        <v>0</v>
      </c>
      <c r="I69" s="27">
        <v>0</v>
      </c>
      <c r="J69" s="27">
        <v>0</v>
      </c>
      <c r="K69" s="27">
        <v>0</v>
      </c>
      <c r="M69" s="27">
        <v>0</v>
      </c>
    </row>
    <row r="70" spans="2:13">
      <c r="B70" s="43">
        <v>56</v>
      </c>
      <c r="C70" s="41" t="s">
        <v>135</v>
      </c>
      <c r="E70" s="22">
        <v>0</v>
      </c>
      <c r="F70" s="22">
        <v>0</v>
      </c>
      <c r="G70" s="22">
        <v>0</v>
      </c>
      <c r="I70" s="22">
        <v>0</v>
      </c>
      <c r="J70" s="22">
        <v>0</v>
      </c>
      <c r="K70" s="22">
        <v>0</v>
      </c>
      <c r="M70" s="22">
        <v>0</v>
      </c>
    </row>
    <row r="71" spans="2:13">
      <c r="B71" s="25"/>
      <c r="C71" s="26" t="s">
        <v>136</v>
      </c>
      <c r="E71" s="27">
        <v>0</v>
      </c>
      <c r="F71" s="27">
        <v>0</v>
      </c>
      <c r="G71" s="27">
        <v>0</v>
      </c>
      <c r="I71" s="27">
        <v>0</v>
      </c>
      <c r="J71" s="27">
        <v>0</v>
      </c>
      <c r="K71" s="27">
        <v>0</v>
      </c>
      <c r="M71" s="27">
        <v>0</v>
      </c>
    </row>
    <row r="72" spans="2:13">
      <c r="B72" s="44">
        <v>57</v>
      </c>
      <c r="C72" s="42" t="s">
        <v>137</v>
      </c>
      <c r="E72" s="24">
        <v>0</v>
      </c>
      <c r="F72" s="24">
        <v>0</v>
      </c>
      <c r="G72" s="24">
        <v>0</v>
      </c>
      <c r="I72" s="24">
        <v>0</v>
      </c>
      <c r="J72" s="24">
        <v>0</v>
      </c>
      <c r="K72" s="24">
        <v>0</v>
      </c>
      <c r="M72" s="24">
        <v>0</v>
      </c>
    </row>
    <row r="73" spans="2:13">
      <c r="B73" s="25"/>
      <c r="C73" s="26" t="s">
        <v>138</v>
      </c>
      <c r="E73" s="27">
        <v>145452572</v>
      </c>
      <c r="F73" s="27">
        <v>0</v>
      </c>
      <c r="G73" s="27">
        <v>145452572</v>
      </c>
      <c r="H73" s="28">
        <v>808920</v>
      </c>
      <c r="I73" s="27">
        <v>40000000</v>
      </c>
      <c r="J73" s="27">
        <v>125452572</v>
      </c>
      <c r="K73" s="27">
        <v>165452572</v>
      </c>
      <c r="M73" s="27">
        <v>-20000000</v>
      </c>
    </row>
    <row r="74" spans="2:13" ht="21">
      <c r="B74" s="43">
        <v>58</v>
      </c>
      <c r="C74" s="41" t="s">
        <v>139</v>
      </c>
      <c r="E74" s="22">
        <v>145452572</v>
      </c>
      <c r="F74" s="22">
        <v>0</v>
      </c>
      <c r="G74" s="22">
        <v>145452572</v>
      </c>
      <c r="I74" s="22">
        <v>40000000</v>
      </c>
      <c r="J74" s="22">
        <v>125452572</v>
      </c>
      <c r="K74" s="22">
        <v>165452572</v>
      </c>
      <c r="M74" s="22">
        <v>-20000000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AB0EB9CF-6CA3-4287-B7C0-565ABBCBED47}">
      <formula1>Taxes</formula1>
    </dataValidation>
    <dataValidation type="list" allowBlank="1" showInputMessage="1" showErrorMessage="1" sqref="C75:C603" xr:uid="{9CD51240-3A8A-4761-B5FA-A857B8FCC149}">
      <formula1>Compadjust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6AB2-95AB-4517-A1F0-23DD7B6A3A1D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22">
      <c r="C1" s="7" t="s">
        <v>60</v>
      </c>
      <c r="E1" s="9" t="s">
        <v>50</v>
      </c>
      <c r="F1" s="9" t="s">
        <v>160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620557276</v>
      </c>
      <c r="F8" s="19">
        <v>0</v>
      </c>
      <c r="G8" s="19">
        <v>620557276</v>
      </c>
      <c r="I8" s="19">
        <v>5524200</v>
      </c>
      <c r="J8" s="19">
        <v>215033076</v>
      </c>
      <c r="K8" s="19">
        <v>220557276</v>
      </c>
      <c r="M8" s="19">
        <v>400000000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0</v>
      </c>
      <c r="F15" s="27">
        <v>0</v>
      </c>
      <c r="G15" s="27">
        <v>0</v>
      </c>
      <c r="I15" s="27">
        <v>0</v>
      </c>
      <c r="J15" s="27">
        <v>0</v>
      </c>
      <c r="K15" s="27">
        <v>0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0</v>
      </c>
      <c r="F18" s="22">
        <v>0</v>
      </c>
      <c r="G18" s="22">
        <v>0</v>
      </c>
      <c r="I18" s="22">
        <v>0</v>
      </c>
      <c r="J18" s="22">
        <v>0</v>
      </c>
      <c r="K18" s="22">
        <v>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0</v>
      </c>
      <c r="F21" s="24">
        <v>0</v>
      </c>
      <c r="G21" s="24">
        <v>0</v>
      </c>
      <c r="I21" s="24">
        <v>0</v>
      </c>
      <c r="J21" s="24">
        <v>0</v>
      </c>
      <c r="K21" s="24">
        <v>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215033076</v>
      </c>
      <c r="F36" s="27">
        <v>0</v>
      </c>
      <c r="G36" s="27">
        <v>215033076</v>
      </c>
      <c r="I36" s="27">
        <v>0</v>
      </c>
      <c r="J36" s="27">
        <v>215033076</v>
      </c>
      <c r="K36" s="27">
        <v>215033076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215033076</v>
      </c>
      <c r="F38" s="24">
        <v>0</v>
      </c>
      <c r="G38" s="24">
        <v>215033076</v>
      </c>
      <c r="I38" s="24">
        <v>0</v>
      </c>
      <c r="J38" s="24">
        <v>215033076</v>
      </c>
      <c r="K38" s="24">
        <v>215033076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0</v>
      </c>
      <c r="F44" s="24">
        <v>0</v>
      </c>
      <c r="G44" s="24">
        <v>0</v>
      </c>
      <c r="I44" s="24">
        <v>0</v>
      </c>
      <c r="J44" s="24">
        <v>0</v>
      </c>
      <c r="K44" s="24">
        <v>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400000000</v>
      </c>
      <c r="F53" s="27">
        <v>0</v>
      </c>
      <c r="G53" s="27">
        <v>400000000</v>
      </c>
      <c r="I53" s="27">
        <v>0</v>
      </c>
      <c r="J53" s="27">
        <v>0</v>
      </c>
      <c r="K53" s="27">
        <v>0</v>
      </c>
      <c r="M53" s="27">
        <v>400000000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0</v>
      </c>
      <c r="J57" s="24">
        <v>0</v>
      </c>
      <c r="K57" s="24">
        <v>0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400000000</v>
      </c>
      <c r="F61" s="24">
        <v>0</v>
      </c>
      <c r="G61" s="24">
        <v>400000000</v>
      </c>
      <c r="I61" s="24">
        <v>0</v>
      </c>
      <c r="J61" s="24">
        <v>0</v>
      </c>
      <c r="K61" s="24">
        <v>0</v>
      </c>
      <c r="M61" s="24">
        <v>400000000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340200</v>
      </c>
      <c r="F69" s="27">
        <v>0</v>
      </c>
      <c r="G69" s="27">
        <v>340200</v>
      </c>
      <c r="I69" s="27">
        <v>340200</v>
      </c>
      <c r="J69" s="27">
        <v>0</v>
      </c>
      <c r="K69" s="27">
        <v>340200</v>
      </c>
      <c r="M69" s="27">
        <v>0</v>
      </c>
    </row>
    <row r="70" spans="2:13">
      <c r="B70" s="43">
        <v>56</v>
      </c>
      <c r="C70" s="41" t="s">
        <v>135</v>
      </c>
      <c r="E70" s="22">
        <v>340200</v>
      </c>
      <c r="F70" s="22">
        <v>0</v>
      </c>
      <c r="G70" s="22">
        <v>340200</v>
      </c>
      <c r="I70" s="22">
        <v>340200</v>
      </c>
      <c r="J70" s="22">
        <v>0</v>
      </c>
      <c r="K70" s="22">
        <v>340200</v>
      </c>
      <c r="M70" s="22">
        <v>0</v>
      </c>
    </row>
    <row r="71" spans="2:13">
      <c r="B71" s="25"/>
      <c r="C71" s="26" t="s">
        <v>136</v>
      </c>
      <c r="E71" s="27">
        <v>5184000</v>
      </c>
      <c r="F71" s="27">
        <v>0</v>
      </c>
      <c r="G71" s="27">
        <v>5184000</v>
      </c>
      <c r="I71" s="27">
        <v>5184000</v>
      </c>
      <c r="J71" s="27">
        <v>0</v>
      </c>
      <c r="K71" s="27">
        <v>5184000</v>
      </c>
      <c r="M71" s="27">
        <v>0</v>
      </c>
    </row>
    <row r="72" spans="2:13">
      <c r="B72" s="44">
        <v>57</v>
      </c>
      <c r="C72" s="42" t="s">
        <v>137</v>
      </c>
      <c r="E72" s="24">
        <v>5184000</v>
      </c>
      <c r="F72" s="24">
        <v>0</v>
      </c>
      <c r="G72" s="24">
        <v>5184000</v>
      </c>
      <c r="I72" s="24">
        <v>5184000</v>
      </c>
      <c r="J72" s="24">
        <v>0</v>
      </c>
      <c r="K72" s="24">
        <v>5184000</v>
      </c>
      <c r="M72" s="24">
        <v>0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84D44625-66A9-4F64-84BE-CA91CD5E7B37}">
      <formula1>Taxes</formula1>
    </dataValidation>
    <dataValidation type="list" allowBlank="1" showInputMessage="1" showErrorMessage="1" sqref="C75:C603" xr:uid="{F26F43BD-327A-47A5-B530-0F947FBA104D}">
      <formula1>Compadjust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EAD9-F971-4183-9090-0DDD02FEF7F6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9.63281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>
      <c r="C1" s="7" t="s">
        <v>60</v>
      </c>
      <c r="E1" s="9" t="s">
        <v>52</v>
      </c>
      <c r="F1" s="9" t="s">
        <v>161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681197475.19999993</v>
      </c>
      <c r="F8" s="19">
        <v>0</v>
      </c>
      <c r="G8" s="19">
        <v>681197475.19999993</v>
      </c>
      <c r="I8" s="19">
        <v>268407520</v>
      </c>
      <c r="J8" s="19">
        <v>0</v>
      </c>
      <c r="K8" s="19">
        <v>268407520</v>
      </c>
      <c r="M8" s="19">
        <v>412789955.19999993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679276083.19999993</v>
      </c>
      <c r="F15" s="27">
        <v>0</v>
      </c>
      <c r="G15" s="27">
        <v>679276083.19999993</v>
      </c>
      <c r="I15" s="27">
        <v>267280000</v>
      </c>
      <c r="J15" s="27">
        <v>0</v>
      </c>
      <c r="K15" s="27">
        <v>267280000</v>
      </c>
      <c r="M15" s="27">
        <v>411996083.19999993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534559999.99999994</v>
      </c>
      <c r="F18" s="22">
        <v>0</v>
      </c>
      <c r="G18" s="22">
        <v>534559999.99999994</v>
      </c>
      <c r="I18" s="22">
        <v>267280000</v>
      </c>
      <c r="J18" s="22">
        <v>0</v>
      </c>
      <c r="K18" s="22">
        <v>267280000</v>
      </c>
      <c r="M18" s="22">
        <v>267279999.99999994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144716083.19999999</v>
      </c>
      <c r="F21" s="24">
        <v>0</v>
      </c>
      <c r="G21" s="24">
        <v>144716083.19999999</v>
      </c>
      <c r="I21" s="24">
        <v>0</v>
      </c>
      <c r="J21" s="24">
        <v>0</v>
      </c>
      <c r="K21" s="24">
        <v>0</v>
      </c>
      <c r="M21" s="24">
        <v>144716083.19999999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808992</v>
      </c>
      <c r="F36" s="27">
        <v>0</v>
      </c>
      <c r="G36" s="27">
        <v>808992</v>
      </c>
      <c r="I36" s="27">
        <v>0</v>
      </c>
      <c r="J36" s="27">
        <v>0</v>
      </c>
      <c r="K36" s="27">
        <v>0</v>
      </c>
      <c r="M36" s="27">
        <v>808992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808992</v>
      </c>
      <c r="F38" s="24">
        <v>0</v>
      </c>
      <c r="G38" s="24">
        <v>808992</v>
      </c>
      <c r="I38" s="24">
        <v>0</v>
      </c>
      <c r="J38" s="24">
        <v>0</v>
      </c>
      <c r="K38" s="24">
        <v>0</v>
      </c>
      <c r="M38" s="24">
        <v>808992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0</v>
      </c>
      <c r="F42" s="24">
        <v>0</v>
      </c>
      <c r="G42" s="24">
        <v>0</v>
      </c>
      <c r="I42" s="24">
        <v>0</v>
      </c>
      <c r="J42" s="24">
        <v>0</v>
      </c>
      <c r="K42" s="24">
        <v>0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0</v>
      </c>
      <c r="F44" s="24">
        <v>0</v>
      </c>
      <c r="G44" s="24">
        <v>0</v>
      </c>
      <c r="I44" s="24">
        <v>0</v>
      </c>
      <c r="J44" s="24">
        <v>0</v>
      </c>
      <c r="K44" s="24">
        <v>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0</v>
      </c>
      <c r="J53" s="27">
        <v>0</v>
      </c>
      <c r="K53" s="27">
        <v>0</v>
      </c>
      <c r="M53" s="27">
        <v>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0</v>
      </c>
      <c r="J57" s="24">
        <v>0</v>
      </c>
      <c r="K57" s="24">
        <v>0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75600</v>
      </c>
      <c r="F69" s="27">
        <v>0</v>
      </c>
      <c r="G69" s="27">
        <v>75600</v>
      </c>
      <c r="I69" s="27">
        <v>90720</v>
      </c>
      <c r="J69" s="27">
        <v>0</v>
      </c>
      <c r="K69" s="27">
        <v>90720</v>
      </c>
      <c r="M69" s="27">
        <v>-15120</v>
      </c>
    </row>
    <row r="70" spans="2:13">
      <c r="B70" s="43">
        <v>56</v>
      </c>
      <c r="C70" s="41" t="s">
        <v>135</v>
      </c>
      <c r="E70" s="22">
        <v>75600</v>
      </c>
      <c r="F70" s="22">
        <v>0</v>
      </c>
      <c r="G70" s="22">
        <v>75600</v>
      </c>
      <c r="I70" s="22">
        <v>90720</v>
      </c>
      <c r="J70" s="22">
        <v>0</v>
      </c>
      <c r="K70" s="22">
        <v>90720</v>
      </c>
      <c r="M70" s="22">
        <v>-15120</v>
      </c>
    </row>
    <row r="71" spans="2:13">
      <c r="B71" s="25"/>
      <c r="C71" s="26" t="s">
        <v>136</v>
      </c>
      <c r="E71" s="27">
        <v>1036800</v>
      </c>
      <c r="F71" s="27">
        <v>0</v>
      </c>
      <c r="G71" s="27">
        <v>1036800</v>
      </c>
      <c r="I71" s="27">
        <v>1036800</v>
      </c>
      <c r="J71" s="27">
        <v>0</v>
      </c>
      <c r="K71" s="27">
        <v>1036800</v>
      </c>
      <c r="M71" s="27">
        <v>0</v>
      </c>
    </row>
    <row r="72" spans="2:13">
      <c r="B72" s="44">
        <v>57</v>
      </c>
      <c r="C72" s="42" t="s">
        <v>137</v>
      </c>
      <c r="E72" s="24">
        <v>1036800</v>
      </c>
      <c r="F72" s="24">
        <v>0</v>
      </c>
      <c r="G72" s="24">
        <v>1036800</v>
      </c>
      <c r="I72" s="24">
        <v>1036800</v>
      </c>
      <c r="J72" s="24">
        <v>0</v>
      </c>
      <c r="K72" s="24">
        <v>1036800</v>
      </c>
      <c r="M72" s="24">
        <v>0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FCA69A10-AD17-4650-B6ED-F27BED16FAAD}">
      <formula1>Taxes</formula1>
    </dataValidation>
    <dataValidation type="list" allowBlank="1" showInputMessage="1" showErrorMessage="1" sqref="C75:C603" xr:uid="{004D767C-C15E-434F-B098-503309AB013C}">
      <formula1>Compadjust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DDAA-8948-4EB0-8EFD-084CBA3BC3FA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22">
      <c r="C1" s="7" t="s">
        <v>60</v>
      </c>
      <c r="E1" s="9" t="s">
        <v>162</v>
      </c>
      <c r="F1" s="9">
        <v>6501383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785522796</v>
      </c>
      <c r="F8" s="19">
        <v>-432248352</v>
      </c>
      <c r="G8" s="19">
        <v>353274444</v>
      </c>
      <c r="I8" s="19">
        <v>270344241</v>
      </c>
      <c r="J8" s="19">
        <v>82983123</v>
      </c>
      <c r="K8" s="19">
        <v>353327364</v>
      </c>
      <c r="M8" s="19">
        <v>-52920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272910623</v>
      </c>
      <c r="F15" s="27">
        <v>0</v>
      </c>
      <c r="G15" s="27">
        <v>272910623</v>
      </c>
      <c r="I15" s="27">
        <v>189927500</v>
      </c>
      <c r="J15" s="27">
        <v>82983123</v>
      </c>
      <c r="K15" s="27">
        <v>272910623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162795000</v>
      </c>
      <c r="F18" s="22">
        <v>0</v>
      </c>
      <c r="G18" s="22">
        <v>162795000</v>
      </c>
      <c r="I18" s="22">
        <v>162795000</v>
      </c>
      <c r="J18" s="22">
        <v>0</v>
      </c>
      <c r="K18" s="22">
        <v>162795000</v>
      </c>
      <c r="M18" s="22">
        <v>0</v>
      </c>
    </row>
    <row r="19" spans="2:13">
      <c r="B19" s="6">
        <v>11</v>
      </c>
      <c r="C19" s="42" t="s">
        <v>84</v>
      </c>
      <c r="E19" s="24">
        <v>82983123</v>
      </c>
      <c r="F19" s="24">
        <v>0</v>
      </c>
      <c r="G19" s="24">
        <v>82983123</v>
      </c>
      <c r="I19" s="24">
        <v>0</v>
      </c>
      <c r="J19" s="24">
        <v>82983123</v>
      </c>
      <c r="K19" s="24">
        <v>82983123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27132500</v>
      </c>
      <c r="F21" s="24">
        <v>0</v>
      </c>
      <c r="G21" s="24">
        <v>27132500</v>
      </c>
      <c r="I21" s="24">
        <v>27132500</v>
      </c>
      <c r="J21" s="24">
        <v>0</v>
      </c>
      <c r="K21" s="24">
        <v>27132500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77990701</v>
      </c>
      <c r="F36" s="27">
        <v>0</v>
      </c>
      <c r="G36" s="27">
        <v>77990701</v>
      </c>
      <c r="I36" s="27">
        <v>77990701</v>
      </c>
      <c r="J36" s="27">
        <v>0</v>
      </c>
      <c r="K36" s="27">
        <v>77990701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60712964</v>
      </c>
      <c r="F38" s="24">
        <v>0</v>
      </c>
      <c r="G38" s="24">
        <v>60712964</v>
      </c>
      <c r="I38" s="24">
        <v>60712964</v>
      </c>
      <c r="J38" s="24">
        <v>0</v>
      </c>
      <c r="K38" s="24">
        <v>60712964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16527737</v>
      </c>
      <c r="F42" s="24">
        <v>0</v>
      </c>
      <c r="G42" s="24">
        <v>16527737</v>
      </c>
      <c r="I42" s="24">
        <v>16527737</v>
      </c>
      <c r="J42" s="24">
        <v>0</v>
      </c>
      <c r="K42" s="24">
        <v>16527737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750000</v>
      </c>
      <c r="F44" s="24">
        <v>0</v>
      </c>
      <c r="G44" s="24">
        <v>750000</v>
      </c>
      <c r="I44" s="24">
        <v>750000</v>
      </c>
      <c r="J44" s="24">
        <v>0</v>
      </c>
      <c r="K44" s="24">
        <v>750000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0</v>
      </c>
      <c r="G53" s="27">
        <v>0</v>
      </c>
      <c r="I53" s="27">
        <v>0</v>
      </c>
      <c r="J53" s="27">
        <v>0</v>
      </c>
      <c r="K53" s="27">
        <v>0</v>
      </c>
      <c r="M53" s="27">
        <v>0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0</v>
      </c>
      <c r="G57" s="24">
        <v>0</v>
      </c>
      <c r="I57" s="24">
        <v>0</v>
      </c>
      <c r="J57" s="24">
        <v>0</v>
      </c>
      <c r="K57" s="24">
        <v>0</v>
      </c>
      <c r="M57" s="24">
        <v>0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90720</v>
      </c>
      <c r="F69" s="27">
        <v>0</v>
      </c>
      <c r="G69" s="27">
        <v>90720</v>
      </c>
      <c r="I69" s="27">
        <v>143640</v>
      </c>
      <c r="J69" s="27">
        <v>0</v>
      </c>
      <c r="K69" s="27">
        <v>143640</v>
      </c>
      <c r="M69" s="27">
        <v>-52920</v>
      </c>
    </row>
    <row r="70" spans="2:13">
      <c r="B70" s="43">
        <v>56</v>
      </c>
      <c r="C70" s="41" t="s">
        <v>135</v>
      </c>
      <c r="E70" s="22">
        <v>90720</v>
      </c>
      <c r="F70" s="22">
        <v>0</v>
      </c>
      <c r="G70" s="22">
        <v>90720</v>
      </c>
      <c r="I70" s="22">
        <v>143640</v>
      </c>
      <c r="J70" s="22">
        <v>0</v>
      </c>
      <c r="K70" s="22">
        <v>143640</v>
      </c>
      <c r="M70" s="22">
        <v>-52920</v>
      </c>
    </row>
    <row r="71" spans="2:13">
      <c r="B71" s="25"/>
      <c r="C71" s="26" t="s">
        <v>136</v>
      </c>
      <c r="E71" s="27">
        <v>1382400</v>
      </c>
      <c r="F71" s="27">
        <v>0</v>
      </c>
      <c r="G71" s="27">
        <v>1382400</v>
      </c>
      <c r="I71" s="27">
        <v>1382400</v>
      </c>
      <c r="J71" s="27">
        <v>0</v>
      </c>
      <c r="K71" s="27">
        <v>1382400</v>
      </c>
      <c r="M71" s="27">
        <v>0</v>
      </c>
    </row>
    <row r="72" spans="2:13">
      <c r="B72" s="44">
        <v>57</v>
      </c>
      <c r="C72" s="42" t="s">
        <v>137</v>
      </c>
      <c r="E72" s="24">
        <v>1382400</v>
      </c>
      <c r="F72" s="24">
        <v>0</v>
      </c>
      <c r="G72" s="24">
        <v>1382400</v>
      </c>
      <c r="I72" s="24">
        <v>1382400</v>
      </c>
      <c r="J72" s="24">
        <v>0</v>
      </c>
      <c r="K72" s="24">
        <v>1382400</v>
      </c>
      <c r="M72" s="24">
        <v>0</v>
      </c>
    </row>
    <row r="73" spans="2:13">
      <c r="B73" s="25"/>
      <c r="C73" s="26" t="s">
        <v>138</v>
      </c>
      <c r="E73" s="27">
        <v>433148352</v>
      </c>
      <c r="F73" s="27">
        <v>-432248352</v>
      </c>
      <c r="G73" s="27">
        <v>900000</v>
      </c>
      <c r="H73" s="28">
        <v>808920</v>
      </c>
      <c r="I73" s="27">
        <v>900000</v>
      </c>
      <c r="J73" s="27">
        <v>0</v>
      </c>
      <c r="K73" s="27">
        <v>900000</v>
      </c>
      <c r="M73" s="27">
        <v>0</v>
      </c>
    </row>
    <row r="74" spans="2:13" ht="21">
      <c r="B74" s="43">
        <v>58</v>
      </c>
      <c r="C74" s="41" t="s">
        <v>139</v>
      </c>
      <c r="E74" s="22">
        <v>433148352</v>
      </c>
      <c r="F74" s="22">
        <v>-432248352</v>
      </c>
      <c r="G74" s="22">
        <v>900000</v>
      </c>
      <c r="I74" s="22">
        <v>900000</v>
      </c>
      <c r="J74" s="22">
        <v>0</v>
      </c>
      <c r="K74" s="22">
        <v>900000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DF4D0EE9-5B20-440E-87F3-1313EDD8026D}">
      <formula1>Taxes</formula1>
    </dataValidation>
    <dataValidation type="list" allowBlank="1" showInputMessage="1" showErrorMessage="1" sqref="C75:C603" xr:uid="{30609FA6-C979-4E29-84E0-A4F5D79B20B5}">
      <formula1>Compadjust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190F-2918-409B-BA93-F6350966915A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33">
      <c r="C1" s="7" t="s">
        <v>60</v>
      </c>
      <c r="E1" s="9" t="s">
        <v>163</v>
      </c>
      <c r="F1" s="9" t="s">
        <v>164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3535861264.2200003</v>
      </c>
      <c r="F8" s="19">
        <v>2096883914</v>
      </c>
      <c r="G8" s="19">
        <v>5632745178.2200003</v>
      </c>
      <c r="I8" s="19">
        <v>3728311888.2200003</v>
      </c>
      <c r="J8" s="19">
        <v>1905051161</v>
      </c>
      <c r="K8" s="19">
        <v>5633363049.2200003</v>
      </c>
      <c r="M8" s="19">
        <v>-617871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359262185.22000003</v>
      </c>
      <c r="F15" s="27">
        <v>0</v>
      </c>
      <c r="G15" s="27">
        <v>359262185.22000003</v>
      </c>
      <c r="I15" s="27">
        <v>359262185.22000003</v>
      </c>
      <c r="J15" s="27">
        <v>0</v>
      </c>
      <c r="K15" s="27">
        <v>359262185.22000003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332742600</v>
      </c>
      <c r="F18" s="22">
        <v>0</v>
      </c>
      <c r="G18" s="22">
        <v>332742600</v>
      </c>
      <c r="I18" s="22">
        <v>332742600</v>
      </c>
      <c r="J18" s="22">
        <v>0</v>
      </c>
      <c r="K18" s="22">
        <v>332742600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26519585.220000003</v>
      </c>
      <c r="F21" s="24">
        <v>0</v>
      </c>
      <c r="G21" s="24">
        <v>26519585.220000003</v>
      </c>
      <c r="I21" s="24">
        <v>26519585.220000003</v>
      </c>
      <c r="J21" s="24">
        <v>0</v>
      </c>
      <c r="K21" s="24">
        <v>26519585.220000003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3122942321</v>
      </c>
      <c r="F36" s="27">
        <v>2085948050</v>
      </c>
      <c r="G36" s="27">
        <v>5208890371</v>
      </c>
      <c r="I36" s="27">
        <v>3303839210</v>
      </c>
      <c r="J36" s="27">
        <v>1905051161</v>
      </c>
      <c r="K36" s="27">
        <v>5208890371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1085054231</v>
      </c>
      <c r="F38" s="24">
        <v>85948050</v>
      </c>
      <c r="G38" s="24">
        <v>1171002281</v>
      </c>
      <c r="I38" s="24">
        <v>1171002281</v>
      </c>
      <c r="J38" s="24">
        <v>0</v>
      </c>
      <c r="K38" s="24">
        <v>1171002281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2000000000</v>
      </c>
      <c r="G39" s="22">
        <v>2000000000</v>
      </c>
      <c r="I39" s="22">
        <v>2000000000</v>
      </c>
      <c r="J39" s="22">
        <v>0</v>
      </c>
      <c r="K39" s="22">
        <v>2000000000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101922734</v>
      </c>
      <c r="F42" s="24">
        <v>0</v>
      </c>
      <c r="G42" s="24">
        <v>101922734</v>
      </c>
      <c r="I42" s="24">
        <v>101922734</v>
      </c>
      <c r="J42" s="24">
        <v>0</v>
      </c>
      <c r="K42" s="24">
        <v>101922734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1935965356</v>
      </c>
      <c r="F44" s="24">
        <v>0</v>
      </c>
      <c r="G44" s="24">
        <v>1935965356</v>
      </c>
      <c r="I44" s="24">
        <v>30914195</v>
      </c>
      <c r="J44" s="24">
        <v>1905051161</v>
      </c>
      <c r="K44" s="24">
        <v>1935965356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0</v>
      </c>
      <c r="F53" s="27">
        <v>4080877</v>
      </c>
      <c r="G53" s="27">
        <v>4080877</v>
      </c>
      <c r="I53" s="27">
        <v>4239644</v>
      </c>
      <c r="J53" s="27">
        <v>0</v>
      </c>
      <c r="K53" s="27">
        <v>4239644</v>
      </c>
      <c r="M53" s="27">
        <v>-158767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0</v>
      </c>
      <c r="F57" s="24">
        <v>4080877</v>
      </c>
      <c r="G57" s="24">
        <v>4080877</v>
      </c>
      <c r="I57" s="24">
        <v>4239644</v>
      </c>
      <c r="J57" s="24">
        <v>0</v>
      </c>
      <c r="K57" s="24">
        <v>4239644</v>
      </c>
      <c r="M57" s="24">
        <v>-158767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3608176</v>
      </c>
      <c r="F69" s="27">
        <v>0</v>
      </c>
      <c r="G69" s="27">
        <v>3608176</v>
      </c>
      <c r="I69" s="27">
        <v>4067280</v>
      </c>
      <c r="J69" s="27">
        <v>0</v>
      </c>
      <c r="K69" s="27">
        <v>4067280</v>
      </c>
      <c r="M69" s="27">
        <v>-459104</v>
      </c>
    </row>
    <row r="70" spans="2:13">
      <c r="B70" s="43">
        <v>56</v>
      </c>
      <c r="C70" s="41" t="s">
        <v>135</v>
      </c>
      <c r="E70" s="22">
        <v>3608176</v>
      </c>
      <c r="F70" s="22">
        <v>0</v>
      </c>
      <c r="G70" s="22">
        <v>3608176</v>
      </c>
      <c r="I70" s="22">
        <v>4067280</v>
      </c>
      <c r="J70" s="22">
        <v>0</v>
      </c>
      <c r="K70" s="22">
        <v>4067280</v>
      </c>
      <c r="M70" s="22">
        <v>-459104</v>
      </c>
    </row>
    <row r="71" spans="2:13">
      <c r="B71" s="25"/>
      <c r="C71" s="26" t="s">
        <v>136</v>
      </c>
      <c r="E71" s="27">
        <v>50048582</v>
      </c>
      <c r="F71" s="27">
        <v>6854987</v>
      </c>
      <c r="G71" s="27">
        <v>56903569</v>
      </c>
      <c r="I71" s="27">
        <v>56903569</v>
      </c>
      <c r="J71" s="27">
        <v>0</v>
      </c>
      <c r="K71" s="27">
        <v>56903569</v>
      </c>
      <c r="M71" s="27">
        <v>0</v>
      </c>
    </row>
    <row r="72" spans="2:13">
      <c r="B72" s="44">
        <v>57</v>
      </c>
      <c r="C72" s="42" t="s">
        <v>137</v>
      </c>
      <c r="E72" s="24">
        <v>50048582</v>
      </c>
      <c r="F72" s="24">
        <v>6854987</v>
      </c>
      <c r="G72" s="24">
        <v>56903569</v>
      </c>
      <c r="I72" s="24">
        <v>56903569</v>
      </c>
      <c r="J72" s="24">
        <v>0</v>
      </c>
      <c r="K72" s="24">
        <v>56903569</v>
      </c>
      <c r="M72" s="24">
        <v>0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4E89E607-6883-4D4E-8096-4D6A94C4FFFC}">
      <formula1>Taxes</formula1>
    </dataValidation>
    <dataValidation type="list" allowBlank="1" showInputMessage="1" showErrorMessage="1" sqref="C75:C603" xr:uid="{067E9021-3C6B-42E5-992C-E71F098E6E37}">
      <formula1>Compadjust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C6C4-8AC5-4436-AE54-68B0DA2E4A27}">
  <dimension ref="B1:M605"/>
  <sheetViews>
    <sheetView showGridLines="0" zoomScale="80" zoomScaleNormal="8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6.6328125" style="6" customWidth="1"/>
    <col min="3" max="3" width="64.453125" style="33" customWidth="1"/>
    <col min="4" max="4" width="0.90625" style="8" customWidth="1"/>
    <col min="5" max="5" width="16.7265625" style="8" customWidth="1"/>
    <col min="6" max="6" width="16.7265625" style="6" customWidth="1"/>
    <col min="7" max="7" width="16.7265625" style="8" customWidth="1"/>
    <col min="8" max="8" width="0.90625" style="8" customWidth="1"/>
    <col min="9" max="9" width="16.7265625" style="8" customWidth="1"/>
    <col min="10" max="10" width="15.6328125" style="8" customWidth="1"/>
    <col min="11" max="11" width="16.7265625" style="8" customWidth="1"/>
    <col min="12" max="12" width="0.90625" style="8" customWidth="1"/>
    <col min="13" max="13" width="16.1796875" style="8" customWidth="1"/>
    <col min="14" max="16384" width="12.6328125" style="2"/>
  </cols>
  <sheetData>
    <row r="1" spans="2:13" ht="22">
      <c r="C1" s="7" t="s">
        <v>60</v>
      </c>
      <c r="E1" s="9" t="s">
        <v>58</v>
      </c>
      <c r="F1" s="9">
        <v>6011291</v>
      </c>
      <c r="G1" s="10"/>
      <c r="J1" s="10" t="s">
        <v>61</v>
      </c>
      <c r="K1" s="10">
        <v>2021</v>
      </c>
    </row>
    <row r="2" spans="2:13">
      <c r="C2" s="11"/>
      <c r="F2" s="8"/>
      <c r="I2" s="40" t="s">
        <v>141</v>
      </c>
      <c r="J2" s="40">
        <f>[2]Cours!$E$4</f>
        <v>585.96749999999997</v>
      </c>
    </row>
    <row r="3" spans="2:13">
      <c r="B3" s="12" t="s">
        <v>62</v>
      </c>
      <c r="C3" s="13" t="s">
        <v>63</v>
      </c>
      <c r="E3" s="14" t="s">
        <v>64</v>
      </c>
      <c r="F3" s="14"/>
      <c r="G3" s="14"/>
      <c r="I3" s="14" t="s">
        <v>65</v>
      </c>
      <c r="J3" s="14"/>
      <c r="K3" s="14"/>
      <c r="M3" s="15" t="s">
        <v>66</v>
      </c>
    </row>
    <row r="4" spans="2:13">
      <c r="B4" s="12"/>
      <c r="C4" s="13"/>
      <c r="E4" s="16" t="s">
        <v>67</v>
      </c>
      <c r="F4" s="16" t="s">
        <v>68</v>
      </c>
      <c r="G4" s="16" t="s">
        <v>69</v>
      </c>
      <c r="I4" s="16" t="s">
        <v>67</v>
      </c>
      <c r="J4" s="16" t="s">
        <v>68</v>
      </c>
      <c r="K4" s="16" t="s">
        <v>69</v>
      </c>
      <c r="M4" s="15"/>
    </row>
    <row r="5" spans="2:13">
      <c r="B5" s="17" t="s">
        <v>70</v>
      </c>
      <c r="C5" s="18"/>
      <c r="E5" s="19">
        <v>0</v>
      </c>
      <c r="F5" s="19">
        <v>0</v>
      </c>
      <c r="G5" s="19">
        <v>0</v>
      </c>
      <c r="I5" s="19">
        <v>0</v>
      </c>
      <c r="J5" s="19">
        <v>0</v>
      </c>
      <c r="K5" s="19">
        <v>0</v>
      </c>
      <c r="M5" s="19">
        <v>0</v>
      </c>
    </row>
    <row r="6" spans="2:13">
      <c r="B6" s="20">
        <v>1</v>
      </c>
      <c r="C6" s="21" t="s">
        <v>71</v>
      </c>
      <c r="E6" s="22">
        <v>0</v>
      </c>
      <c r="F6" s="22">
        <v>0</v>
      </c>
      <c r="G6" s="22">
        <v>0</v>
      </c>
      <c r="I6" s="22">
        <v>0</v>
      </c>
      <c r="J6" s="22">
        <v>0</v>
      </c>
      <c r="K6" s="22">
        <v>0</v>
      </c>
      <c r="M6" s="22">
        <v>0</v>
      </c>
    </row>
    <row r="7" spans="2:13">
      <c r="B7" s="6">
        <v>2</v>
      </c>
      <c r="C7" s="23" t="s">
        <v>72</v>
      </c>
      <c r="E7" s="24">
        <v>0</v>
      </c>
      <c r="F7" s="24">
        <v>0</v>
      </c>
      <c r="G7" s="24">
        <v>0</v>
      </c>
      <c r="I7" s="24">
        <v>0</v>
      </c>
      <c r="J7" s="24">
        <v>0</v>
      </c>
      <c r="K7" s="24">
        <v>0</v>
      </c>
      <c r="M7" s="24">
        <v>0</v>
      </c>
    </row>
    <row r="8" spans="2:13">
      <c r="B8" s="17" t="s">
        <v>73</v>
      </c>
      <c r="C8" s="18"/>
      <c r="E8" s="19">
        <v>7223881323.75</v>
      </c>
      <c r="F8" s="19">
        <v>99776846</v>
      </c>
      <c r="G8" s="19">
        <v>7323658169.75</v>
      </c>
      <c r="I8" s="19">
        <v>6811759384.75</v>
      </c>
      <c r="J8" s="19">
        <v>0</v>
      </c>
      <c r="K8" s="19">
        <v>6811759384.75</v>
      </c>
      <c r="M8" s="19">
        <v>511898785</v>
      </c>
    </row>
    <row r="9" spans="2:13">
      <c r="B9" s="25"/>
      <c r="C9" s="26" t="s">
        <v>74</v>
      </c>
      <c r="E9" s="27">
        <v>0</v>
      </c>
      <c r="F9" s="27">
        <v>0</v>
      </c>
      <c r="G9" s="27">
        <v>0</v>
      </c>
      <c r="I9" s="27">
        <v>0</v>
      </c>
      <c r="J9" s="27">
        <v>0</v>
      </c>
      <c r="K9" s="27">
        <v>0</v>
      </c>
      <c r="M9" s="27">
        <v>0</v>
      </c>
    </row>
    <row r="10" spans="2:13">
      <c r="B10" s="20">
        <v>3</v>
      </c>
      <c r="C10" s="41" t="s">
        <v>75</v>
      </c>
      <c r="E10" s="22">
        <v>0</v>
      </c>
      <c r="F10" s="22">
        <v>0</v>
      </c>
      <c r="G10" s="22">
        <v>0</v>
      </c>
      <c r="I10" s="22">
        <v>0</v>
      </c>
      <c r="J10" s="22">
        <v>0</v>
      </c>
      <c r="K10" s="22">
        <v>0</v>
      </c>
      <c r="M10" s="22">
        <v>0</v>
      </c>
    </row>
    <row r="11" spans="2:13">
      <c r="B11" s="6">
        <v>4</v>
      </c>
      <c r="C11" s="42" t="s">
        <v>76</v>
      </c>
      <c r="E11" s="24">
        <v>0</v>
      </c>
      <c r="F11" s="24">
        <v>0</v>
      </c>
      <c r="G11" s="24">
        <v>0</v>
      </c>
      <c r="I11" s="24">
        <v>0</v>
      </c>
      <c r="J11" s="24">
        <v>0</v>
      </c>
      <c r="K11" s="24">
        <v>0</v>
      </c>
      <c r="M11" s="24">
        <v>0</v>
      </c>
    </row>
    <row r="12" spans="2:13">
      <c r="B12" s="20">
        <v>5</v>
      </c>
      <c r="C12" s="41" t="s">
        <v>77</v>
      </c>
      <c r="E12" s="22">
        <v>0</v>
      </c>
      <c r="F12" s="22">
        <v>0</v>
      </c>
      <c r="G12" s="22">
        <v>0</v>
      </c>
      <c r="I12" s="22">
        <v>0</v>
      </c>
      <c r="J12" s="22">
        <v>0</v>
      </c>
      <c r="K12" s="22">
        <v>0</v>
      </c>
      <c r="M12" s="22">
        <v>0</v>
      </c>
    </row>
    <row r="13" spans="2:13">
      <c r="B13" s="6">
        <v>6</v>
      </c>
      <c r="C13" s="42" t="s">
        <v>78</v>
      </c>
      <c r="E13" s="24">
        <v>0</v>
      </c>
      <c r="F13" s="24">
        <v>0</v>
      </c>
      <c r="G13" s="24">
        <v>0</v>
      </c>
      <c r="I13" s="24">
        <v>0</v>
      </c>
      <c r="J13" s="24">
        <v>0</v>
      </c>
      <c r="K13" s="24">
        <v>0</v>
      </c>
      <c r="M13" s="24">
        <v>0</v>
      </c>
    </row>
    <row r="14" spans="2:13">
      <c r="B14" s="20">
        <v>7</v>
      </c>
      <c r="C14" s="41" t="s">
        <v>79</v>
      </c>
      <c r="E14" s="22">
        <v>0</v>
      </c>
      <c r="F14" s="22">
        <v>0</v>
      </c>
      <c r="G14" s="22">
        <v>0</v>
      </c>
      <c r="I14" s="22">
        <v>0</v>
      </c>
      <c r="J14" s="22">
        <v>0</v>
      </c>
      <c r="K14" s="22">
        <v>0</v>
      </c>
      <c r="M14" s="22">
        <v>0</v>
      </c>
    </row>
    <row r="15" spans="2:13">
      <c r="B15" s="25"/>
      <c r="C15" s="26" t="s">
        <v>80</v>
      </c>
      <c r="E15" s="27">
        <v>281628943.75</v>
      </c>
      <c r="F15" s="27">
        <v>0</v>
      </c>
      <c r="G15" s="27">
        <v>281628943.75</v>
      </c>
      <c r="I15" s="27">
        <v>281628943.75</v>
      </c>
      <c r="J15" s="27">
        <v>0</v>
      </c>
      <c r="K15" s="27">
        <v>281628943.75</v>
      </c>
      <c r="M15" s="27">
        <v>0</v>
      </c>
    </row>
    <row r="16" spans="2:13">
      <c r="B16" s="20">
        <v>8</v>
      </c>
      <c r="C16" s="41" t="s">
        <v>81</v>
      </c>
      <c r="E16" s="22">
        <v>0</v>
      </c>
      <c r="F16" s="22">
        <v>0</v>
      </c>
      <c r="G16" s="22">
        <v>0</v>
      </c>
      <c r="I16" s="22">
        <v>0</v>
      </c>
      <c r="J16" s="22">
        <v>0</v>
      </c>
      <c r="K16" s="22">
        <v>0</v>
      </c>
      <c r="M16" s="22">
        <v>0</v>
      </c>
    </row>
    <row r="17" spans="2:13">
      <c r="B17" s="6">
        <v>9</v>
      </c>
      <c r="C17" s="42" t="s">
        <v>82</v>
      </c>
      <c r="E17" s="24">
        <v>0</v>
      </c>
      <c r="F17" s="24">
        <v>0</v>
      </c>
      <c r="G17" s="24">
        <v>0</v>
      </c>
      <c r="I17" s="24">
        <v>0</v>
      </c>
      <c r="J17" s="24">
        <v>0</v>
      </c>
      <c r="K17" s="24">
        <v>0</v>
      </c>
      <c r="M17" s="24">
        <v>0</v>
      </c>
    </row>
    <row r="18" spans="2:13">
      <c r="B18" s="20">
        <v>10</v>
      </c>
      <c r="C18" s="41" t="s">
        <v>83</v>
      </c>
      <c r="E18" s="22">
        <v>263031250</v>
      </c>
      <c r="F18" s="22">
        <v>0</v>
      </c>
      <c r="G18" s="22">
        <v>263031250</v>
      </c>
      <c r="I18" s="22">
        <v>263031250</v>
      </c>
      <c r="J18" s="22">
        <v>0</v>
      </c>
      <c r="K18" s="22">
        <v>263031250</v>
      </c>
      <c r="M18" s="22">
        <v>0</v>
      </c>
    </row>
    <row r="19" spans="2:13">
      <c r="B19" s="6">
        <v>11</v>
      </c>
      <c r="C19" s="42" t="s">
        <v>84</v>
      </c>
      <c r="E19" s="24">
        <v>0</v>
      </c>
      <c r="F19" s="24">
        <v>0</v>
      </c>
      <c r="G19" s="24">
        <v>0</v>
      </c>
      <c r="I19" s="24">
        <v>0</v>
      </c>
      <c r="J19" s="24">
        <v>0</v>
      </c>
      <c r="K19" s="24">
        <v>0</v>
      </c>
      <c r="M19" s="24">
        <v>0</v>
      </c>
    </row>
    <row r="20" spans="2:13" ht="21">
      <c r="B20" s="20">
        <v>12</v>
      </c>
      <c r="C20" s="41" t="s">
        <v>85</v>
      </c>
      <c r="E20" s="22">
        <v>0</v>
      </c>
      <c r="F20" s="22">
        <v>0</v>
      </c>
      <c r="G20" s="22">
        <v>0</v>
      </c>
      <c r="I20" s="22">
        <v>0</v>
      </c>
      <c r="J20" s="22">
        <v>0</v>
      </c>
      <c r="K20" s="22">
        <v>0</v>
      </c>
      <c r="M20" s="22">
        <v>0</v>
      </c>
    </row>
    <row r="21" spans="2:13">
      <c r="B21" s="6">
        <v>13</v>
      </c>
      <c r="C21" s="42" t="s">
        <v>86</v>
      </c>
      <c r="E21" s="24">
        <v>18597693.75</v>
      </c>
      <c r="F21" s="24">
        <v>0</v>
      </c>
      <c r="G21" s="24">
        <v>18597693.75</v>
      </c>
      <c r="I21" s="24">
        <v>18597693.75</v>
      </c>
      <c r="J21" s="24">
        <v>0</v>
      </c>
      <c r="K21" s="24">
        <v>18597693.75</v>
      </c>
      <c r="M21" s="24">
        <v>0</v>
      </c>
    </row>
    <row r="22" spans="2:13">
      <c r="B22" s="20">
        <v>14</v>
      </c>
      <c r="C22" s="41" t="s">
        <v>87</v>
      </c>
      <c r="E22" s="22">
        <v>0</v>
      </c>
      <c r="F22" s="22">
        <v>0</v>
      </c>
      <c r="G22" s="22">
        <v>0</v>
      </c>
      <c r="I22" s="22">
        <v>0</v>
      </c>
      <c r="J22" s="22">
        <v>0</v>
      </c>
      <c r="K22" s="22">
        <v>0</v>
      </c>
      <c r="M22" s="22">
        <v>0</v>
      </c>
    </row>
    <row r="23" spans="2:13">
      <c r="B23" s="6">
        <v>15</v>
      </c>
      <c r="C23" s="42" t="s">
        <v>88</v>
      </c>
      <c r="E23" s="24">
        <v>0</v>
      </c>
      <c r="F23" s="24">
        <v>0</v>
      </c>
      <c r="G23" s="24">
        <v>0</v>
      </c>
      <c r="I23" s="24">
        <v>0</v>
      </c>
      <c r="J23" s="24">
        <v>0</v>
      </c>
      <c r="K23" s="24">
        <v>0</v>
      </c>
      <c r="M23" s="24">
        <v>0</v>
      </c>
    </row>
    <row r="24" spans="2:13">
      <c r="B24" s="20">
        <v>16</v>
      </c>
      <c r="C24" s="41" t="s">
        <v>89</v>
      </c>
      <c r="E24" s="22">
        <v>0</v>
      </c>
      <c r="F24" s="22">
        <v>0</v>
      </c>
      <c r="G24" s="22">
        <v>0</v>
      </c>
      <c r="I24" s="22">
        <v>0</v>
      </c>
      <c r="J24" s="22">
        <v>0</v>
      </c>
      <c r="K24" s="22">
        <v>0</v>
      </c>
      <c r="M24" s="22">
        <v>0</v>
      </c>
    </row>
    <row r="25" spans="2:13">
      <c r="B25" s="25"/>
      <c r="C25" s="26" t="s">
        <v>90</v>
      </c>
      <c r="E25" s="27">
        <v>0</v>
      </c>
      <c r="F25" s="27">
        <v>0</v>
      </c>
      <c r="G25" s="27">
        <v>0</v>
      </c>
      <c r="I25" s="27">
        <v>0</v>
      </c>
      <c r="J25" s="27">
        <v>0</v>
      </c>
      <c r="K25" s="27">
        <v>0</v>
      </c>
      <c r="M25" s="27">
        <v>0</v>
      </c>
    </row>
    <row r="26" spans="2:13" ht="21">
      <c r="B26" s="43">
        <v>17</v>
      </c>
      <c r="C26" s="41" t="s">
        <v>91</v>
      </c>
      <c r="E26" s="22">
        <v>0</v>
      </c>
      <c r="F26" s="22">
        <v>0</v>
      </c>
      <c r="G26" s="22">
        <v>0</v>
      </c>
      <c r="I26" s="22">
        <v>0</v>
      </c>
      <c r="J26" s="22">
        <v>0</v>
      </c>
      <c r="K26" s="22">
        <v>0</v>
      </c>
      <c r="M26" s="22">
        <v>0</v>
      </c>
    </row>
    <row r="27" spans="2:13">
      <c r="B27" s="44">
        <v>18</v>
      </c>
      <c r="C27" s="42" t="s">
        <v>92</v>
      </c>
      <c r="E27" s="24">
        <v>0</v>
      </c>
      <c r="F27" s="24">
        <v>0</v>
      </c>
      <c r="G27" s="24">
        <v>0</v>
      </c>
      <c r="I27" s="24">
        <v>0</v>
      </c>
      <c r="J27" s="24">
        <v>0</v>
      </c>
      <c r="K27" s="24">
        <v>0</v>
      </c>
      <c r="M27" s="24">
        <v>0</v>
      </c>
    </row>
    <row r="28" spans="2:13">
      <c r="B28" s="43">
        <v>19</v>
      </c>
      <c r="C28" s="41" t="s">
        <v>93</v>
      </c>
      <c r="E28" s="22">
        <v>0</v>
      </c>
      <c r="F28" s="22">
        <v>0</v>
      </c>
      <c r="G28" s="22">
        <v>0</v>
      </c>
      <c r="I28" s="22">
        <v>0</v>
      </c>
      <c r="J28" s="22">
        <v>0</v>
      </c>
      <c r="K28" s="22">
        <v>0</v>
      </c>
      <c r="M28" s="22">
        <v>0</v>
      </c>
    </row>
    <row r="29" spans="2:13">
      <c r="B29" s="44">
        <v>20</v>
      </c>
      <c r="C29" s="42" t="s">
        <v>94</v>
      </c>
      <c r="E29" s="24">
        <v>0</v>
      </c>
      <c r="F29" s="24">
        <v>0</v>
      </c>
      <c r="G29" s="24">
        <v>0</v>
      </c>
      <c r="I29" s="24">
        <v>0</v>
      </c>
      <c r="J29" s="24">
        <v>0</v>
      </c>
      <c r="K29" s="24">
        <v>0</v>
      </c>
      <c r="M29" s="24">
        <v>0</v>
      </c>
    </row>
    <row r="30" spans="2:13">
      <c r="B30" s="43">
        <v>21</v>
      </c>
      <c r="C30" s="41" t="s">
        <v>95</v>
      </c>
      <c r="E30" s="22">
        <v>0</v>
      </c>
      <c r="F30" s="22">
        <v>0</v>
      </c>
      <c r="G30" s="22">
        <v>0</v>
      </c>
      <c r="I30" s="22">
        <v>0</v>
      </c>
      <c r="J30" s="22">
        <v>0</v>
      </c>
      <c r="K30" s="22">
        <v>0</v>
      </c>
      <c r="M30" s="22">
        <v>0</v>
      </c>
    </row>
    <row r="31" spans="2:13">
      <c r="B31" s="44">
        <v>22</v>
      </c>
      <c r="C31" s="42" t="s">
        <v>96</v>
      </c>
      <c r="E31" s="24">
        <v>0</v>
      </c>
      <c r="F31" s="24">
        <v>0</v>
      </c>
      <c r="G31" s="24">
        <v>0</v>
      </c>
      <c r="I31" s="24">
        <v>0</v>
      </c>
      <c r="J31" s="24">
        <v>0</v>
      </c>
      <c r="K31" s="24">
        <v>0</v>
      </c>
      <c r="M31" s="24">
        <v>0</v>
      </c>
    </row>
    <row r="32" spans="2:13">
      <c r="B32" s="43">
        <v>23</v>
      </c>
      <c r="C32" s="41" t="s">
        <v>97</v>
      </c>
      <c r="E32" s="22">
        <v>0</v>
      </c>
      <c r="F32" s="22">
        <v>0</v>
      </c>
      <c r="G32" s="22">
        <v>0</v>
      </c>
      <c r="I32" s="22">
        <v>0</v>
      </c>
      <c r="J32" s="22">
        <v>0</v>
      </c>
      <c r="K32" s="22">
        <v>0</v>
      </c>
      <c r="M32" s="22">
        <v>0</v>
      </c>
    </row>
    <row r="33" spans="2:13" ht="21">
      <c r="B33" s="44">
        <v>24</v>
      </c>
      <c r="C33" s="42" t="s">
        <v>98</v>
      </c>
      <c r="E33" s="24">
        <v>0</v>
      </c>
      <c r="F33" s="24">
        <v>0</v>
      </c>
      <c r="G33" s="24">
        <v>0</v>
      </c>
      <c r="I33" s="24">
        <v>0</v>
      </c>
      <c r="J33" s="24">
        <v>0</v>
      </c>
      <c r="K33" s="24">
        <v>0</v>
      </c>
      <c r="M33" s="24">
        <v>0</v>
      </c>
    </row>
    <row r="34" spans="2:13">
      <c r="B34" s="43">
        <v>25</v>
      </c>
      <c r="C34" s="41" t="s">
        <v>99</v>
      </c>
      <c r="E34" s="22">
        <v>0</v>
      </c>
      <c r="F34" s="22">
        <v>0</v>
      </c>
      <c r="G34" s="22">
        <v>0</v>
      </c>
      <c r="I34" s="22">
        <v>0</v>
      </c>
      <c r="J34" s="22">
        <v>0</v>
      </c>
      <c r="K34" s="22">
        <v>0</v>
      </c>
      <c r="M34" s="22">
        <v>0</v>
      </c>
    </row>
    <row r="35" spans="2:13">
      <c r="B35" s="44">
        <v>26</v>
      </c>
      <c r="C35" s="42" t="s">
        <v>100</v>
      </c>
      <c r="E35" s="24">
        <v>0</v>
      </c>
      <c r="F35" s="24">
        <v>0</v>
      </c>
      <c r="G35" s="24">
        <v>0</v>
      </c>
      <c r="I35" s="24">
        <v>0</v>
      </c>
      <c r="J35" s="24">
        <v>0</v>
      </c>
      <c r="K35" s="24">
        <v>0</v>
      </c>
      <c r="M35" s="24">
        <v>0</v>
      </c>
    </row>
    <row r="36" spans="2:13">
      <c r="B36" s="25"/>
      <c r="C36" s="26" t="s">
        <v>101</v>
      </c>
      <c r="E36" s="27">
        <v>5604732520</v>
      </c>
      <c r="F36" s="27">
        <v>0</v>
      </c>
      <c r="G36" s="27">
        <v>5604732520</v>
      </c>
      <c r="I36" s="27">
        <v>5604732520</v>
      </c>
      <c r="J36" s="27">
        <v>0</v>
      </c>
      <c r="K36" s="27">
        <v>5604732520</v>
      </c>
      <c r="M36" s="27">
        <v>0</v>
      </c>
    </row>
    <row r="37" spans="2:13">
      <c r="B37" s="43">
        <v>27</v>
      </c>
      <c r="C37" s="41" t="s">
        <v>102</v>
      </c>
      <c r="E37" s="22">
        <v>0</v>
      </c>
      <c r="F37" s="22">
        <v>0</v>
      </c>
      <c r="G37" s="22">
        <v>0</v>
      </c>
      <c r="I37" s="22">
        <v>0</v>
      </c>
      <c r="J37" s="22">
        <v>0</v>
      </c>
      <c r="K37" s="22">
        <v>0</v>
      </c>
      <c r="M37" s="22">
        <v>0</v>
      </c>
    </row>
    <row r="38" spans="2:13">
      <c r="B38" s="44">
        <v>28</v>
      </c>
      <c r="C38" s="42" t="s">
        <v>103</v>
      </c>
      <c r="E38" s="24">
        <v>1965021683</v>
      </c>
      <c r="F38" s="24">
        <v>0</v>
      </c>
      <c r="G38" s="24">
        <v>1965021683</v>
      </c>
      <c r="I38" s="24">
        <v>1965021683</v>
      </c>
      <c r="J38" s="24">
        <v>0</v>
      </c>
      <c r="K38" s="24">
        <v>1965021683</v>
      </c>
      <c r="M38" s="24">
        <v>0</v>
      </c>
    </row>
    <row r="39" spans="2:13">
      <c r="B39" s="43">
        <v>29</v>
      </c>
      <c r="C39" s="41" t="s">
        <v>104</v>
      </c>
      <c r="E39" s="22">
        <v>0</v>
      </c>
      <c r="F39" s="22">
        <v>0</v>
      </c>
      <c r="G39" s="22">
        <v>0</v>
      </c>
      <c r="I39" s="22">
        <v>0</v>
      </c>
      <c r="J39" s="22">
        <v>0</v>
      </c>
      <c r="K39" s="22">
        <v>0</v>
      </c>
      <c r="M39" s="22">
        <v>0</v>
      </c>
    </row>
    <row r="40" spans="2:13">
      <c r="B40" s="44">
        <v>30</v>
      </c>
      <c r="C40" s="42" t="s">
        <v>105</v>
      </c>
      <c r="E40" s="24">
        <v>0</v>
      </c>
      <c r="F40" s="24">
        <v>0</v>
      </c>
      <c r="G40" s="24">
        <v>0</v>
      </c>
      <c r="I40" s="24">
        <v>0</v>
      </c>
      <c r="J40" s="24">
        <v>0</v>
      </c>
      <c r="K40" s="24">
        <v>0</v>
      </c>
      <c r="M40" s="24">
        <v>0</v>
      </c>
    </row>
    <row r="41" spans="2:13">
      <c r="B41" s="43">
        <v>31</v>
      </c>
      <c r="C41" s="41" t="s">
        <v>106</v>
      </c>
      <c r="E41" s="22">
        <v>0</v>
      </c>
      <c r="F41" s="22">
        <v>0</v>
      </c>
      <c r="G41" s="22">
        <v>0</v>
      </c>
      <c r="I41" s="22">
        <v>0</v>
      </c>
      <c r="J41" s="22">
        <v>0</v>
      </c>
      <c r="K41" s="22">
        <v>0</v>
      </c>
      <c r="M41" s="22">
        <v>0</v>
      </c>
    </row>
    <row r="42" spans="2:13">
      <c r="B42" s="44">
        <v>32</v>
      </c>
      <c r="C42" s="42" t="s">
        <v>107</v>
      </c>
      <c r="E42" s="24">
        <v>3637592907</v>
      </c>
      <c r="F42" s="24">
        <v>0</v>
      </c>
      <c r="G42" s="24">
        <v>3637592907</v>
      </c>
      <c r="I42" s="24">
        <v>3637592907</v>
      </c>
      <c r="J42" s="24">
        <v>0</v>
      </c>
      <c r="K42" s="24">
        <v>3637592907</v>
      </c>
      <c r="M42" s="24">
        <v>0</v>
      </c>
    </row>
    <row r="43" spans="2:13" ht="21">
      <c r="B43" s="43">
        <v>33</v>
      </c>
      <c r="C43" s="41" t="s">
        <v>108</v>
      </c>
      <c r="E43" s="22">
        <v>0</v>
      </c>
      <c r="F43" s="22">
        <v>0</v>
      </c>
      <c r="G43" s="22">
        <v>0</v>
      </c>
      <c r="I43" s="22">
        <v>0</v>
      </c>
      <c r="J43" s="22">
        <v>0</v>
      </c>
      <c r="K43" s="22">
        <v>0</v>
      </c>
      <c r="M43" s="22">
        <v>0</v>
      </c>
    </row>
    <row r="44" spans="2:13">
      <c r="B44" s="44">
        <v>34</v>
      </c>
      <c r="C44" s="42" t="s">
        <v>109</v>
      </c>
      <c r="E44" s="24">
        <v>2117930</v>
      </c>
      <c r="F44" s="24">
        <v>0</v>
      </c>
      <c r="G44" s="24">
        <v>2117930</v>
      </c>
      <c r="I44" s="24">
        <v>2117930</v>
      </c>
      <c r="J44" s="24">
        <v>0</v>
      </c>
      <c r="K44" s="24">
        <v>2117930</v>
      </c>
      <c r="M44" s="24">
        <v>0</v>
      </c>
    </row>
    <row r="45" spans="2:13">
      <c r="B45" s="43">
        <v>35</v>
      </c>
      <c r="C45" s="41" t="s">
        <v>110</v>
      </c>
      <c r="E45" s="22">
        <v>0</v>
      </c>
      <c r="F45" s="22">
        <v>0</v>
      </c>
      <c r="G45" s="22">
        <v>0</v>
      </c>
      <c r="I45" s="22">
        <v>0</v>
      </c>
      <c r="J45" s="22">
        <v>0</v>
      </c>
      <c r="K45" s="22">
        <v>0</v>
      </c>
      <c r="M45" s="22">
        <v>0</v>
      </c>
    </row>
    <row r="46" spans="2:13">
      <c r="B46" s="44">
        <v>36</v>
      </c>
      <c r="C46" s="42" t="s">
        <v>111</v>
      </c>
      <c r="E46" s="24">
        <v>0</v>
      </c>
      <c r="F46" s="24">
        <v>0</v>
      </c>
      <c r="G46" s="24">
        <v>0</v>
      </c>
      <c r="I46" s="24">
        <v>0</v>
      </c>
      <c r="J46" s="24">
        <v>0</v>
      </c>
      <c r="K46" s="24">
        <v>0</v>
      </c>
      <c r="M46" s="24">
        <v>0</v>
      </c>
    </row>
    <row r="47" spans="2:13">
      <c r="B47" s="43">
        <v>37</v>
      </c>
      <c r="C47" s="41" t="s">
        <v>112</v>
      </c>
      <c r="E47" s="22">
        <v>0</v>
      </c>
      <c r="F47" s="22">
        <v>0</v>
      </c>
      <c r="G47" s="22">
        <v>0</v>
      </c>
      <c r="I47" s="22">
        <v>0</v>
      </c>
      <c r="J47" s="22">
        <v>0</v>
      </c>
      <c r="K47" s="22">
        <v>0</v>
      </c>
      <c r="M47" s="22">
        <v>0</v>
      </c>
    </row>
    <row r="48" spans="2:13">
      <c r="B48" s="44">
        <v>38</v>
      </c>
      <c r="C48" s="42" t="s">
        <v>113</v>
      </c>
      <c r="E48" s="24">
        <v>0</v>
      </c>
      <c r="F48" s="24">
        <v>0</v>
      </c>
      <c r="G48" s="24">
        <v>0</v>
      </c>
      <c r="I48" s="24">
        <v>0</v>
      </c>
      <c r="J48" s="24">
        <v>0</v>
      </c>
      <c r="K48" s="24">
        <v>0</v>
      </c>
      <c r="M48" s="24">
        <v>0</v>
      </c>
    </row>
    <row r="49" spans="2:13">
      <c r="B49" s="43">
        <v>39</v>
      </c>
      <c r="C49" s="41" t="s">
        <v>114</v>
      </c>
      <c r="E49" s="22">
        <v>0</v>
      </c>
      <c r="F49" s="22">
        <v>0</v>
      </c>
      <c r="G49" s="22">
        <v>0</v>
      </c>
      <c r="I49" s="22">
        <v>0</v>
      </c>
      <c r="J49" s="22">
        <v>0</v>
      </c>
      <c r="K49" s="22">
        <v>0</v>
      </c>
      <c r="M49" s="22">
        <v>0</v>
      </c>
    </row>
    <row r="50" spans="2:13">
      <c r="B50" s="44">
        <v>40</v>
      </c>
      <c r="C50" s="42" t="s">
        <v>115</v>
      </c>
      <c r="E50" s="24">
        <v>0</v>
      </c>
      <c r="F50" s="24">
        <v>0</v>
      </c>
      <c r="G50" s="24">
        <v>0</v>
      </c>
      <c r="I50" s="24">
        <v>0</v>
      </c>
      <c r="J50" s="24">
        <v>0</v>
      </c>
      <c r="K50" s="24">
        <v>0</v>
      </c>
      <c r="M50" s="24">
        <v>0</v>
      </c>
    </row>
    <row r="51" spans="2:13" ht="21">
      <c r="B51" s="43">
        <v>41</v>
      </c>
      <c r="C51" s="41" t="s">
        <v>116</v>
      </c>
      <c r="E51" s="22">
        <v>0</v>
      </c>
      <c r="F51" s="22">
        <v>0</v>
      </c>
      <c r="G51" s="22">
        <v>0</v>
      </c>
      <c r="I51" s="22">
        <v>0</v>
      </c>
      <c r="J51" s="22">
        <v>0</v>
      </c>
      <c r="K51" s="22">
        <v>0</v>
      </c>
      <c r="M51" s="22">
        <v>0</v>
      </c>
    </row>
    <row r="52" spans="2:13">
      <c r="B52" s="44">
        <v>42</v>
      </c>
      <c r="C52" s="42" t="s">
        <v>117</v>
      </c>
      <c r="E52" s="24">
        <v>0</v>
      </c>
      <c r="F52" s="24">
        <v>0</v>
      </c>
      <c r="G52" s="24">
        <v>0</v>
      </c>
      <c r="I52" s="24">
        <v>0</v>
      </c>
      <c r="J52" s="24">
        <v>0</v>
      </c>
      <c r="K52" s="24">
        <v>0</v>
      </c>
      <c r="M52" s="24">
        <v>0</v>
      </c>
    </row>
    <row r="53" spans="2:13">
      <c r="B53" s="25"/>
      <c r="C53" s="26" t="s">
        <v>118</v>
      </c>
      <c r="E53" s="27">
        <v>1297573222</v>
      </c>
      <c r="F53" s="27">
        <v>99776846</v>
      </c>
      <c r="G53" s="27">
        <v>1397350068</v>
      </c>
      <c r="I53" s="27">
        <v>885451283</v>
      </c>
      <c r="J53" s="27">
        <v>0</v>
      </c>
      <c r="K53" s="27">
        <v>885451283</v>
      </c>
      <c r="M53" s="27">
        <v>511898785</v>
      </c>
    </row>
    <row r="54" spans="2:13">
      <c r="B54" s="43">
        <v>43</v>
      </c>
      <c r="C54" s="41" t="s">
        <v>119</v>
      </c>
      <c r="E54" s="22">
        <v>0</v>
      </c>
      <c r="F54" s="22">
        <v>0</v>
      </c>
      <c r="G54" s="22">
        <v>0</v>
      </c>
      <c r="I54" s="22">
        <v>0</v>
      </c>
      <c r="J54" s="22">
        <v>0</v>
      </c>
      <c r="K54" s="22">
        <v>0</v>
      </c>
      <c r="M54" s="22">
        <v>0</v>
      </c>
    </row>
    <row r="55" spans="2:13">
      <c r="B55" s="44">
        <v>44</v>
      </c>
      <c r="C55" s="42" t="s">
        <v>120</v>
      </c>
      <c r="E55" s="24">
        <v>0</v>
      </c>
      <c r="F55" s="24">
        <v>0</v>
      </c>
      <c r="G55" s="24">
        <v>0</v>
      </c>
      <c r="I55" s="24">
        <v>0</v>
      </c>
      <c r="J55" s="24">
        <v>0</v>
      </c>
      <c r="K55" s="24">
        <v>0</v>
      </c>
      <c r="M55" s="24">
        <v>0</v>
      </c>
    </row>
    <row r="56" spans="2:13">
      <c r="B56" s="43">
        <v>45</v>
      </c>
      <c r="C56" s="41" t="s">
        <v>121</v>
      </c>
      <c r="E56" s="22">
        <v>0</v>
      </c>
      <c r="F56" s="22">
        <v>0</v>
      </c>
      <c r="G56" s="22">
        <v>0</v>
      </c>
      <c r="I56" s="22">
        <v>0</v>
      </c>
      <c r="J56" s="22">
        <v>0</v>
      </c>
      <c r="K56" s="22">
        <v>0</v>
      </c>
      <c r="M56" s="22">
        <v>0</v>
      </c>
    </row>
    <row r="57" spans="2:13">
      <c r="B57" s="44">
        <v>46</v>
      </c>
      <c r="C57" s="42" t="s">
        <v>122</v>
      </c>
      <c r="E57" s="24">
        <v>1297573222</v>
      </c>
      <c r="F57" s="24">
        <v>99776846</v>
      </c>
      <c r="G57" s="24">
        <v>1397350068</v>
      </c>
      <c r="I57" s="24">
        <v>885451283</v>
      </c>
      <c r="J57" s="24">
        <v>0</v>
      </c>
      <c r="K57" s="24">
        <v>885451283</v>
      </c>
      <c r="M57" s="24">
        <v>511898785</v>
      </c>
    </row>
    <row r="58" spans="2:13">
      <c r="B58" s="43">
        <v>47</v>
      </c>
      <c r="C58" s="41" t="s">
        <v>123</v>
      </c>
      <c r="E58" s="22">
        <v>0</v>
      </c>
      <c r="F58" s="22">
        <v>0</v>
      </c>
      <c r="G58" s="22">
        <v>0</v>
      </c>
      <c r="I58" s="22">
        <v>0</v>
      </c>
      <c r="J58" s="22">
        <v>0</v>
      </c>
      <c r="K58" s="22">
        <v>0</v>
      </c>
      <c r="M58" s="22">
        <v>0</v>
      </c>
    </row>
    <row r="59" spans="2:13">
      <c r="B59" s="44">
        <v>48</v>
      </c>
      <c r="C59" s="42" t="s">
        <v>124</v>
      </c>
      <c r="E59" s="24">
        <v>0</v>
      </c>
      <c r="F59" s="24">
        <v>0</v>
      </c>
      <c r="G59" s="24">
        <v>0</v>
      </c>
      <c r="I59" s="24">
        <v>0</v>
      </c>
      <c r="J59" s="24">
        <v>0</v>
      </c>
      <c r="K59" s="24">
        <v>0</v>
      </c>
      <c r="M59" s="24">
        <v>0</v>
      </c>
    </row>
    <row r="60" spans="2:13">
      <c r="B60" s="43">
        <v>49</v>
      </c>
      <c r="C60" s="41" t="s">
        <v>125</v>
      </c>
      <c r="E60" s="22">
        <v>0</v>
      </c>
      <c r="F60" s="22">
        <v>0</v>
      </c>
      <c r="G60" s="22">
        <v>0</v>
      </c>
      <c r="I60" s="22">
        <v>0</v>
      </c>
      <c r="J60" s="22">
        <v>0</v>
      </c>
      <c r="K60" s="22">
        <v>0</v>
      </c>
      <c r="M60" s="22">
        <v>0</v>
      </c>
    </row>
    <row r="61" spans="2:13">
      <c r="B61" s="44">
        <v>50</v>
      </c>
      <c r="C61" s="42" t="s">
        <v>126</v>
      </c>
      <c r="E61" s="24">
        <v>0</v>
      </c>
      <c r="F61" s="24">
        <v>0</v>
      </c>
      <c r="G61" s="24">
        <v>0</v>
      </c>
      <c r="I61" s="24">
        <v>0</v>
      </c>
      <c r="J61" s="24">
        <v>0</v>
      </c>
      <c r="K61" s="24">
        <v>0</v>
      </c>
      <c r="M61" s="24">
        <v>0</v>
      </c>
    </row>
    <row r="62" spans="2:13">
      <c r="B62" s="25"/>
      <c r="C62" s="26" t="s">
        <v>127</v>
      </c>
      <c r="E62" s="27">
        <v>0</v>
      </c>
      <c r="F62" s="27">
        <v>0</v>
      </c>
      <c r="G62" s="27">
        <v>0</v>
      </c>
      <c r="I62" s="27">
        <v>0</v>
      </c>
      <c r="J62" s="27">
        <v>0</v>
      </c>
      <c r="K62" s="27">
        <v>0</v>
      </c>
      <c r="M62" s="27">
        <v>0</v>
      </c>
    </row>
    <row r="63" spans="2:13">
      <c r="B63" s="43">
        <v>51</v>
      </c>
      <c r="C63" s="41" t="s">
        <v>128</v>
      </c>
      <c r="E63" s="22">
        <v>0</v>
      </c>
      <c r="F63" s="22">
        <v>0</v>
      </c>
      <c r="G63" s="22">
        <v>0</v>
      </c>
      <c r="I63" s="22">
        <v>0</v>
      </c>
      <c r="J63" s="22">
        <v>0</v>
      </c>
      <c r="K63" s="22">
        <v>0</v>
      </c>
      <c r="M63" s="22">
        <v>0</v>
      </c>
    </row>
    <row r="64" spans="2:13">
      <c r="B64" s="44">
        <v>52</v>
      </c>
      <c r="C64" s="42" t="s">
        <v>129</v>
      </c>
      <c r="E64" s="24">
        <v>0</v>
      </c>
      <c r="F64" s="24">
        <v>0</v>
      </c>
      <c r="G64" s="24">
        <v>0</v>
      </c>
      <c r="I64" s="24">
        <v>0</v>
      </c>
      <c r="J64" s="24">
        <v>0</v>
      </c>
      <c r="K64" s="24">
        <v>0</v>
      </c>
      <c r="M64" s="24">
        <v>0</v>
      </c>
    </row>
    <row r="65" spans="2:13">
      <c r="B65" s="43">
        <v>53</v>
      </c>
      <c r="C65" s="41" t="s">
        <v>130</v>
      </c>
      <c r="E65" s="22">
        <v>0</v>
      </c>
      <c r="F65" s="22">
        <v>0</v>
      </c>
      <c r="G65" s="22">
        <v>0</v>
      </c>
      <c r="I65" s="22">
        <v>0</v>
      </c>
      <c r="J65" s="22">
        <v>0</v>
      </c>
      <c r="K65" s="22">
        <v>0</v>
      </c>
      <c r="M65" s="22">
        <v>0</v>
      </c>
    </row>
    <row r="66" spans="2:13">
      <c r="B66" s="25"/>
      <c r="C66" s="26" t="s">
        <v>131</v>
      </c>
      <c r="E66" s="27">
        <v>0</v>
      </c>
      <c r="F66" s="27">
        <v>0</v>
      </c>
      <c r="G66" s="27">
        <v>0</v>
      </c>
      <c r="I66" s="27">
        <v>0</v>
      </c>
      <c r="J66" s="27">
        <v>0</v>
      </c>
      <c r="K66" s="27">
        <v>0</v>
      </c>
      <c r="M66" s="27">
        <v>0</v>
      </c>
    </row>
    <row r="67" spans="2:13">
      <c r="B67" s="43">
        <v>54</v>
      </c>
      <c r="C67" s="41" t="s">
        <v>132</v>
      </c>
      <c r="E67" s="22">
        <v>0</v>
      </c>
      <c r="F67" s="22">
        <v>0</v>
      </c>
      <c r="G67" s="22">
        <v>0</v>
      </c>
      <c r="I67" s="22">
        <v>0</v>
      </c>
      <c r="J67" s="22">
        <v>0</v>
      </c>
      <c r="K67" s="22">
        <v>0</v>
      </c>
      <c r="M67" s="22">
        <v>0</v>
      </c>
    </row>
    <row r="68" spans="2:13">
      <c r="B68" s="44">
        <v>55</v>
      </c>
      <c r="C68" s="42" t="s">
        <v>133</v>
      </c>
      <c r="E68" s="24">
        <v>0</v>
      </c>
      <c r="F68" s="24">
        <v>0</v>
      </c>
      <c r="G68" s="24">
        <v>0</v>
      </c>
      <c r="I68" s="24">
        <v>0</v>
      </c>
      <c r="J68" s="24">
        <v>0</v>
      </c>
      <c r="K68" s="24">
        <v>0</v>
      </c>
      <c r="M68" s="24">
        <v>0</v>
      </c>
    </row>
    <row r="69" spans="2:13">
      <c r="B69" s="25"/>
      <c r="C69" s="26" t="s">
        <v>134</v>
      </c>
      <c r="E69" s="27">
        <v>1126440</v>
      </c>
      <c r="F69" s="27">
        <v>1338345</v>
      </c>
      <c r="G69" s="27">
        <v>2464785</v>
      </c>
      <c r="I69" s="27">
        <v>2464785</v>
      </c>
      <c r="J69" s="27">
        <v>0</v>
      </c>
      <c r="K69" s="27">
        <v>2464785</v>
      </c>
      <c r="M69" s="27">
        <v>0</v>
      </c>
    </row>
    <row r="70" spans="2:13">
      <c r="B70" s="43">
        <v>56</v>
      </c>
      <c r="C70" s="41" t="s">
        <v>135</v>
      </c>
      <c r="E70" s="22">
        <v>1126440</v>
      </c>
      <c r="F70" s="22">
        <v>1338345</v>
      </c>
      <c r="G70" s="22">
        <v>2464785</v>
      </c>
      <c r="I70" s="22">
        <v>2464785</v>
      </c>
      <c r="J70" s="22">
        <v>0</v>
      </c>
      <c r="K70" s="22">
        <v>2464785</v>
      </c>
      <c r="M70" s="22">
        <v>0</v>
      </c>
    </row>
    <row r="71" spans="2:13">
      <c r="B71" s="25"/>
      <c r="C71" s="26" t="s">
        <v>136</v>
      </c>
      <c r="E71" s="27">
        <v>38820198</v>
      </c>
      <c r="F71" s="27">
        <v>-1338345</v>
      </c>
      <c r="G71" s="27">
        <v>37481853</v>
      </c>
      <c r="I71" s="27">
        <v>37481853</v>
      </c>
      <c r="J71" s="27">
        <v>0</v>
      </c>
      <c r="K71" s="27">
        <v>37481853</v>
      </c>
      <c r="M71" s="27">
        <v>0</v>
      </c>
    </row>
    <row r="72" spans="2:13">
      <c r="B72" s="44">
        <v>57</v>
      </c>
      <c r="C72" s="42" t="s">
        <v>137</v>
      </c>
      <c r="E72" s="24">
        <v>38820198</v>
      </c>
      <c r="F72" s="24">
        <v>-1338345</v>
      </c>
      <c r="G72" s="24">
        <v>37481853</v>
      </c>
      <c r="I72" s="24">
        <v>37481853</v>
      </c>
      <c r="J72" s="24">
        <v>0</v>
      </c>
      <c r="K72" s="24">
        <v>37481853</v>
      </c>
      <c r="M72" s="24">
        <v>0</v>
      </c>
    </row>
    <row r="73" spans="2:13">
      <c r="B73" s="25"/>
      <c r="C73" s="26" t="s">
        <v>138</v>
      </c>
      <c r="E73" s="27">
        <v>0</v>
      </c>
      <c r="F73" s="27">
        <v>0</v>
      </c>
      <c r="G73" s="27">
        <v>0</v>
      </c>
      <c r="H73" s="28">
        <v>808920</v>
      </c>
      <c r="I73" s="27">
        <v>0</v>
      </c>
      <c r="J73" s="27">
        <v>0</v>
      </c>
      <c r="K73" s="27">
        <v>0</v>
      </c>
      <c r="M73" s="27">
        <v>0</v>
      </c>
    </row>
    <row r="74" spans="2:13" ht="21">
      <c r="B74" s="43">
        <v>58</v>
      </c>
      <c r="C74" s="41" t="s">
        <v>139</v>
      </c>
      <c r="E74" s="22">
        <v>0</v>
      </c>
      <c r="F74" s="22">
        <v>0</v>
      </c>
      <c r="G74" s="22">
        <v>0</v>
      </c>
      <c r="I74" s="22">
        <v>0</v>
      </c>
      <c r="J74" s="22">
        <v>0</v>
      </c>
      <c r="K74" s="22">
        <v>0</v>
      </c>
      <c r="M74" s="22">
        <v>0</v>
      </c>
    </row>
    <row r="75" spans="2:13">
      <c r="B75" s="23"/>
      <c r="E75" s="34"/>
      <c r="F75" s="35"/>
      <c r="G75" s="34"/>
      <c r="J75" s="23"/>
      <c r="K75" s="23"/>
      <c r="L75" s="33"/>
    </row>
    <row r="76" spans="2:13">
      <c r="B76" s="23"/>
      <c r="E76" s="34"/>
      <c r="F76" s="35"/>
      <c r="G76" s="34"/>
      <c r="J76" s="23"/>
      <c r="K76" s="23"/>
      <c r="L76" s="33"/>
    </row>
    <row r="77" spans="2:13">
      <c r="B77" s="23"/>
      <c r="E77" s="34"/>
      <c r="F77" s="35"/>
      <c r="G77" s="34"/>
      <c r="J77" s="23"/>
      <c r="K77" s="23"/>
      <c r="L77" s="33"/>
    </row>
    <row r="78" spans="2:13">
      <c r="B78" s="23"/>
      <c r="E78" s="34"/>
      <c r="F78" s="35"/>
      <c r="G78" s="34"/>
      <c r="J78" s="23"/>
      <c r="K78" s="23"/>
      <c r="L78" s="33"/>
    </row>
    <row r="79" spans="2:13">
      <c r="B79" s="23"/>
      <c r="E79" s="34"/>
      <c r="F79" s="35"/>
      <c r="G79" s="34"/>
      <c r="J79" s="23"/>
      <c r="K79" s="23"/>
      <c r="L79" s="33"/>
    </row>
    <row r="80" spans="2:13">
      <c r="B80" s="23"/>
      <c r="E80" s="34"/>
      <c r="F80" s="35"/>
      <c r="G80" s="34"/>
      <c r="J80" s="23"/>
      <c r="K80" s="23"/>
      <c r="L80" s="33"/>
    </row>
    <row r="81" spans="2:12">
      <c r="B81" s="23"/>
      <c r="E81" s="34"/>
      <c r="F81" s="35"/>
      <c r="G81" s="34"/>
      <c r="J81" s="23"/>
      <c r="K81" s="23"/>
      <c r="L81" s="33"/>
    </row>
    <row r="82" spans="2:12">
      <c r="B82" s="23"/>
      <c r="E82" s="34"/>
      <c r="F82" s="35"/>
      <c r="G82" s="34"/>
      <c r="J82" s="23"/>
      <c r="K82" s="23"/>
      <c r="L82" s="33"/>
    </row>
    <row r="83" spans="2:12">
      <c r="B83" s="23"/>
      <c r="E83" s="34"/>
      <c r="F83" s="35"/>
      <c r="G83" s="34"/>
      <c r="J83" s="23"/>
      <c r="K83" s="23"/>
      <c r="L83" s="33"/>
    </row>
    <row r="84" spans="2:12">
      <c r="B84" s="23"/>
      <c r="E84" s="34"/>
      <c r="F84" s="35"/>
      <c r="G84" s="34"/>
      <c r="J84" s="23"/>
      <c r="K84" s="23"/>
      <c r="L84" s="33"/>
    </row>
    <row r="85" spans="2:12">
      <c r="B85" s="23"/>
      <c r="E85" s="34"/>
      <c r="F85" s="35"/>
      <c r="G85" s="34"/>
      <c r="J85" s="23"/>
      <c r="K85" s="23"/>
      <c r="L85" s="33"/>
    </row>
    <row r="86" spans="2:12">
      <c r="B86" s="23"/>
      <c r="E86" s="34"/>
      <c r="F86" s="35"/>
      <c r="G86" s="34"/>
      <c r="J86" s="23"/>
      <c r="K86" s="23"/>
      <c r="L86" s="33"/>
    </row>
    <row r="87" spans="2:12">
      <c r="B87" s="23"/>
      <c r="E87" s="34"/>
      <c r="F87" s="35"/>
      <c r="G87" s="34"/>
      <c r="J87" s="23"/>
      <c r="K87" s="23"/>
      <c r="L87" s="33"/>
    </row>
    <row r="88" spans="2:12">
      <c r="B88" s="23"/>
      <c r="E88" s="34"/>
      <c r="F88" s="35"/>
      <c r="G88" s="34"/>
      <c r="J88" s="23"/>
      <c r="K88" s="23"/>
      <c r="L88" s="33"/>
    </row>
    <row r="89" spans="2:12">
      <c r="B89" s="23"/>
      <c r="E89" s="34"/>
      <c r="F89" s="35"/>
      <c r="G89" s="34"/>
      <c r="J89" s="23"/>
      <c r="K89" s="23"/>
      <c r="L89" s="33"/>
    </row>
    <row r="90" spans="2:12">
      <c r="B90" s="23"/>
      <c r="E90" s="34"/>
      <c r="F90" s="35"/>
      <c r="G90" s="34"/>
      <c r="J90" s="23"/>
      <c r="K90" s="23"/>
      <c r="L90" s="33"/>
    </row>
    <row r="91" spans="2:12">
      <c r="B91" s="23"/>
      <c r="E91" s="34"/>
      <c r="F91" s="35"/>
      <c r="G91" s="34"/>
      <c r="J91" s="23"/>
      <c r="K91" s="23"/>
      <c r="L91" s="33"/>
    </row>
    <row r="92" spans="2:12">
      <c r="B92" s="23"/>
      <c r="E92" s="34"/>
      <c r="F92" s="35"/>
      <c r="G92" s="34"/>
      <c r="J92" s="23"/>
      <c r="K92" s="23"/>
      <c r="L92" s="33"/>
    </row>
    <row r="93" spans="2:12">
      <c r="B93" s="23"/>
      <c r="E93" s="34"/>
      <c r="F93" s="35"/>
      <c r="G93" s="34"/>
      <c r="J93" s="23"/>
      <c r="K93" s="23"/>
      <c r="L93" s="33"/>
    </row>
    <row r="94" spans="2:12">
      <c r="B94" s="23"/>
      <c r="E94" s="34"/>
      <c r="F94" s="35"/>
      <c r="G94" s="34"/>
      <c r="J94" s="23"/>
      <c r="K94" s="23"/>
      <c r="L94" s="33"/>
    </row>
    <row r="95" spans="2:12">
      <c r="B95" s="23"/>
      <c r="E95" s="34"/>
      <c r="F95" s="35"/>
      <c r="G95" s="34"/>
      <c r="J95" s="23"/>
      <c r="K95" s="23"/>
      <c r="L95" s="33"/>
    </row>
    <row r="96" spans="2:12">
      <c r="B96" s="23"/>
      <c r="E96" s="34"/>
      <c r="F96" s="35"/>
      <c r="G96" s="34"/>
      <c r="J96" s="23"/>
      <c r="K96" s="23"/>
      <c r="L96" s="33"/>
    </row>
    <row r="97" spans="2:12">
      <c r="B97" s="23"/>
      <c r="E97" s="34"/>
      <c r="F97" s="35"/>
      <c r="G97" s="34"/>
      <c r="J97" s="23"/>
      <c r="K97" s="23"/>
      <c r="L97" s="33"/>
    </row>
    <row r="98" spans="2:12">
      <c r="B98" s="23"/>
      <c r="E98" s="34"/>
      <c r="F98" s="35"/>
      <c r="G98" s="34"/>
      <c r="J98" s="23"/>
      <c r="K98" s="23"/>
      <c r="L98" s="33"/>
    </row>
    <row r="99" spans="2:12">
      <c r="B99" s="23"/>
      <c r="E99" s="34"/>
      <c r="F99" s="35"/>
      <c r="G99" s="34"/>
      <c r="J99" s="23"/>
      <c r="K99" s="23"/>
      <c r="L99" s="33"/>
    </row>
    <row r="100" spans="2:12">
      <c r="B100" s="23"/>
      <c r="E100" s="34"/>
      <c r="F100" s="35"/>
      <c r="G100" s="34"/>
      <c r="J100" s="23"/>
      <c r="K100" s="23"/>
      <c r="L100" s="33"/>
    </row>
    <row r="101" spans="2:12">
      <c r="B101" s="23"/>
      <c r="E101" s="34"/>
      <c r="F101" s="35"/>
      <c r="G101" s="34"/>
      <c r="J101" s="23"/>
      <c r="K101" s="23"/>
      <c r="L101" s="33"/>
    </row>
    <row r="102" spans="2:12">
      <c r="B102" s="23"/>
      <c r="E102" s="34"/>
      <c r="F102" s="35"/>
      <c r="G102" s="34"/>
      <c r="J102" s="23"/>
      <c r="K102" s="23"/>
      <c r="L102" s="33"/>
    </row>
    <row r="103" spans="2:12">
      <c r="B103" s="23"/>
      <c r="E103" s="34"/>
      <c r="F103" s="35"/>
      <c r="G103" s="34"/>
      <c r="J103" s="23"/>
      <c r="K103" s="23"/>
      <c r="L103" s="33"/>
    </row>
    <row r="104" spans="2:12">
      <c r="B104" s="23"/>
      <c r="E104" s="34"/>
      <c r="F104" s="35"/>
      <c r="G104" s="34"/>
      <c r="J104" s="23"/>
      <c r="K104" s="23"/>
      <c r="L104" s="33"/>
    </row>
    <row r="105" spans="2:12">
      <c r="B105" s="23"/>
      <c r="E105" s="34"/>
      <c r="F105" s="35"/>
      <c r="G105" s="34"/>
      <c r="J105" s="23"/>
      <c r="K105" s="23"/>
      <c r="L105" s="33"/>
    </row>
    <row r="106" spans="2:12">
      <c r="B106" s="23"/>
      <c r="E106" s="34"/>
      <c r="F106" s="35"/>
      <c r="G106" s="34"/>
      <c r="J106" s="23"/>
      <c r="K106" s="23"/>
      <c r="L106" s="33"/>
    </row>
    <row r="107" spans="2:12">
      <c r="B107" s="23"/>
      <c r="E107" s="34"/>
      <c r="F107" s="35"/>
      <c r="G107" s="34"/>
      <c r="J107" s="23"/>
      <c r="K107" s="23"/>
      <c r="L107" s="33"/>
    </row>
    <row r="108" spans="2:12">
      <c r="B108" s="23"/>
      <c r="E108" s="34"/>
      <c r="F108" s="35"/>
      <c r="G108" s="34"/>
      <c r="J108" s="23"/>
      <c r="K108" s="23"/>
      <c r="L108" s="33"/>
    </row>
    <row r="109" spans="2:12">
      <c r="B109" s="23"/>
      <c r="E109" s="34"/>
      <c r="F109" s="35"/>
      <c r="G109" s="34"/>
      <c r="J109" s="23"/>
      <c r="K109" s="23"/>
      <c r="L109" s="33"/>
    </row>
    <row r="110" spans="2:12">
      <c r="B110" s="23"/>
      <c r="E110" s="34"/>
      <c r="F110" s="35"/>
      <c r="G110" s="34"/>
      <c r="J110" s="23"/>
      <c r="K110" s="23"/>
      <c r="L110" s="33"/>
    </row>
    <row r="111" spans="2:12">
      <c r="B111" s="23"/>
      <c r="E111" s="34"/>
      <c r="F111" s="35"/>
      <c r="G111" s="34"/>
      <c r="J111" s="23"/>
      <c r="K111" s="23"/>
      <c r="L111" s="33"/>
    </row>
    <row r="112" spans="2:12">
      <c r="B112" s="23"/>
      <c r="E112" s="34"/>
      <c r="F112" s="35"/>
      <c r="G112" s="34"/>
      <c r="J112" s="23"/>
      <c r="K112" s="23"/>
      <c r="L112" s="33"/>
    </row>
    <row r="113" spans="2:12">
      <c r="B113" s="23"/>
      <c r="E113" s="34"/>
      <c r="F113" s="35"/>
      <c r="G113" s="34"/>
      <c r="J113" s="23"/>
      <c r="K113" s="23"/>
      <c r="L113" s="33"/>
    </row>
    <row r="114" spans="2:12">
      <c r="B114" s="23"/>
      <c r="E114" s="34"/>
      <c r="F114" s="35"/>
      <c r="G114" s="34"/>
      <c r="J114" s="23"/>
      <c r="K114" s="23"/>
      <c r="L114" s="33"/>
    </row>
    <row r="115" spans="2:12">
      <c r="B115" s="23"/>
      <c r="E115" s="34"/>
      <c r="F115" s="35"/>
      <c r="G115" s="34"/>
      <c r="J115" s="23"/>
      <c r="K115" s="23"/>
      <c r="L115" s="33"/>
    </row>
    <row r="116" spans="2:12">
      <c r="B116" s="23"/>
      <c r="E116" s="34"/>
      <c r="F116" s="35"/>
      <c r="G116" s="34"/>
      <c r="J116" s="23"/>
      <c r="K116" s="23"/>
      <c r="L116" s="33"/>
    </row>
    <row r="117" spans="2:12">
      <c r="B117" s="23"/>
      <c r="E117" s="34"/>
      <c r="F117" s="35"/>
      <c r="G117" s="34"/>
      <c r="J117" s="23"/>
      <c r="K117" s="23"/>
      <c r="L117" s="33"/>
    </row>
    <row r="118" spans="2:12">
      <c r="B118" s="23"/>
      <c r="E118" s="34"/>
      <c r="F118" s="35"/>
      <c r="G118" s="34"/>
      <c r="J118" s="23"/>
      <c r="K118" s="23"/>
      <c r="L118" s="33"/>
    </row>
    <row r="119" spans="2:12">
      <c r="B119" s="23"/>
      <c r="E119" s="34"/>
      <c r="F119" s="35"/>
      <c r="G119" s="34"/>
      <c r="J119" s="23"/>
      <c r="K119" s="23"/>
      <c r="L119" s="33"/>
    </row>
    <row r="120" spans="2:12">
      <c r="B120" s="23"/>
      <c r="E120" s="34"/>
      <c r="F120" s="35"/>
      <c r="G120" s="34"/>
      <c r="J120" s="23"/>
      <c r="K120" s="23"/>
      <c r="L120" s="33"/>
    </row>
    <row r="121" spans="2:12">
      <c r="B121" s="23"/>
      <c r="E121" s="34"/>
      <c r="F121" s="35"/>
      <c r="G121" s="34"/>
      <c r="J121" s="23"/>
      <c r="K121" s="23"/>
      <c r="L121" s="33"/>
    </row>
    <row r="122" spans="2:12">
      <c r="B122" s="23"/>
      <c r="E122" s="34"/>
      <c r="F122" s="35"/>
      <c r="G122" s="34"/>
      <c r="J122" s="23"/>
      <c r="K122" s="23"/>
      <c r="L122" s="33"/>
    </row>
    <row r="123" spans="2:12">
      <c r="B123" s="23"/>
      <c r="E123" s="34"/>
      <c r="F123" s="35"/>
      <c r="G123" s="34"/>
      <c r="J123" s="23"/>
      <c r="K123" s="23"/>
      <c r="L123" s="33"/>
    </row>
    <row r="124" spans="2:12">
      <c r="B124" s="23"/>
      <c r="E124" s="34"/>
      <c r="F124" s="35"/>
      <c r="G124" s="34"/>
      <c r="J124" s="23"/>
      <c r="K124" s="23"/>
      <c r="L124" s="33"/>
    </row>
    <row r="125" spans="2:12">
      <c r="B125" s="23"/>
      <c r="E125" s="34"/>
      <c r="F125" s="35"/>
      <c r="G125" s="34"/>
      <c r="J125" s="23"/>
      <c r="K125" s="23"/>
      <c r="L125" s="33"/>
    </row>
    <row r="126" spans="2:12">
      <c r="B126" s="23"/>
      <c r="E126" s="34"/>
      <c r="F126" s="35"/>
      <c r="G126" s="34"/>
      <c r="J126" s="23"/>
      <c r="K126" s="23"/>
      <c r="L126" s="33"/>
    </row>
    <row r="127" spans="2:12">
      <c r="B127" s="23"/>
      <c r="E127" s="34"/>
      <c r="F127" s="35"/>
      <c r="G127" s="34"/>
      <c r="J127" s="23"/>
      <c r="K127" s="23"/>
      <c r="L127" s="33"/>
    </row>
    <row r="128" spans="2:12">
      <c r="B128" s="23"/>
      <c r="E128" s="34"/>
      <c r="F128" s="35"/>
      <c r="G128" s="34"/>
      <c r="J128" s="23"/>
      <c r="K128" s="23"/>
      <c r="L128" s="33"/>
    </row>
    <row r="129" spans="2:12">
      <c r="B129" s="23"/>
      <c r="E129" s="34"/>
      <c r="F129" s="35"/>
      <c r="G129" s="34"/>
      <c r="J129" s="23"/>
      <c r="K129" s="23"/>
      <c r="L129" s="33"/>
    </row>
    <row r="130" spans="2:12">
      <c r="B130" s="23"/>
      <c r="E130" s="34"/>
      <c r="F130" s="35"/>
      <c r="G130" s="34"/>
      <c r="J130" s="23"/>
      <c r="K130" s="23"/>
      <c r="L130" s="33"/>
    </row>
    <row r="131" spans="2:12">
      <c r="B131" s="23"/>
      <c r="E131" s="34"/>
      <c r="F131" s="35"/>
      <c r="G131" s="34"/>
      <c r="J131" s="23"/>
      <c r="K131" s="23"/>
      <c r="L131" s="33"/>
    </row>
    <row r="132" spans="2:12">
      <c r="B132" s="23"/>
      <c r="E132" s="34"/>
      <c r="F132" s="35"/>
      <c r="G132" s="34"/>
      <c r="J132" s="23"/>
      <c r="K132" s="23"/>
      <c r="L132" s="33"/>
    </row>
    <row r="133" spans="2:12">
      <c r="B133" s="23"/>
      <c r="E133" s="34"/>
      <c r="F133" s="35"/>
      <c r="G133" s="34"/>
      <c r="J133" s="23"/>
      <c r="K133" s="23"/>
      <c r="L133" s="33"/>
    </row>
    <row r="134" spans="2:12">
      <c r="B134" s="23"/>
      <c r="E134" s="34"/>
      <c r="F134" s="35"/>
      <c r="G134" s="34"/>
      <c r="J134" s="23"/>
      <c r="K134" s="23"/>
      <c r="L134" s="33"/>
    </row>
    <row r="135" spans="2:12">
      <c r="B135" s="23"/>
      <c r="E135" s="34"/>
      <c r="F135" s="35"/>
      <c r="G135" s="34"/>
      <c r="J135" s="23"/>
      <c r="K135" s="23"/>
      <c r="L135" s="33"/>
    </row>
    <row r="136" spans="2:12">
      <c r="B136" s="23"/>
      <c r="E136" s="34"/>
      <c r="F136" s="35"/>
      <c r="G136" s="34"/>
      <c r="J136" s="23"/>
      <c r="K136" s="23"/>
      <c r="L136" s="33"/>
    </row>
    <row r="137" spans="2:12">
      <c r="B137" s="23"/>
      <c r="E137" s="34"/>
      <c r="F137" s="35"/>
      <c r="G137" s="34"/>
      <c r="J137" s="23"/>
      <c r="K137" s="23"/>
      <c r="L137" s="33"/>
    </row>
    <row r="138" spans="2:12">
      <c r="B138" s="23"/>
      <c r="E138" s="34"/>
      <c r="F138" s="35"/>
      <c r="G138" s="34"/>
      <c r="J138" s="23"/>
      <c r="K138" s="23"/>
      <c r="L138" s="33"/>
    </row>
    <row r="139" spans="2:12">
      <c r="B139" s="23"/>
      <c r="E139" s="34"/>
      <c r="F139" s="35"/>
      <c r="G139" s="34"/>
      <c r="J139" s="23"/>
      <c r="K139" s="23"/>
      <c r="L139" s="33"/>
    </row>
    <row r="140" spans="2:12">
      <c r="B140" s="23"/>
      <c r="E140" s="34"/>
      <c r="F140" s="35"/>
      <c r="G140" s="34"/>
      <c r="J140" s="23"/>
      <c r="K140" s="23"/>
      <c r="L140" s="33"/>
    </row>
    <row r="141" spans="2:12">
      <c r="B141" s="23"/>
      <c r="E141" s="34"/>
      <c r="F141" s="35"/>
      <c r="G141" s="34"/>
      <c r="J141" s="23"/>
      <c r="K141" s="23"/>
      <c r="L141" s="33"/>
    </row>
    <row r="142" spans="2:12">
      <c r="B142" s="23"/>
      <c r="E142" s="34"/>
      <c r="F142" s="35"/>
      <c r="G142" s="34"/>
      <c r="J142" s="23"/>
      <c r="K142" s="23"/>
      <c r="L142" s="33"/>
    </row>
    <row r="143" spans="2:12">
      <c r="B143" s="23"/>
      <c r="E143" s="34"/>
      <c r="F143" s="35"/>
      <c r="G143" s="34"/>
      <c r="J143" s="23"/>
      <c r="K143" s="23"/>
      <c r="L143" s="33"/>
    </row>
    <row r="144" spans="2:12">
      <c r="B144" s="23"/>
      <c r="E144" s="34"/>
      <c r="F144" s="35"/>
      <c r="G144" s="34"/>
      <c r="J144" s="23"/>
      <c r="K144" s="23"/>
      <c r="L144" s="33"/>
    </row>
    <row r="145" spans="2:12">
      <c r="B145" s="23"/>
      <c r="E145" s="34"/>
      <c r="F145" s="35"/>
      <c r="G145" s="34"/>
      <c r="J145" s="23"/>
      <c r="K145" s="23"/>
      <c r="L145" s="33"/>
    </row>
    <row r="146" spans="2:12">
      <c r="B146" s="23"/>
      <c r="E146" s="34"/>
      <c r="F146" s="35"/>
      <c r="G146" s="34"/>
      <c r="J146" s="23"/>
      <c r="K146" s="23"/>
      <c r="L146" s="33"/>
    </row>
    <row r="147" spans="2:12">
      <c r="B147" s="23"/>
      <c r="E147" s="34"/>
      <c r="F147" s="35"/>
      <c r="G147" s="34"/>
      <c r="J147" s="23"/>
      <c r="K147" s="23"/>
      <c r="L147" s="33"/>
    </row>
    <row r="148" spans="2:12">
      <c r="B148" s="23"/>
      <c r="E148" s="34"/>
      <c r="F148" s="35"/>
      <c r="G148" s="34"/>
      <c r="J148" s="23"/>
      <c r="K148" s="23"/>
      <c r="L148" s="33"/>
    </row>
    <row r="149" spans="2:12">
      <c r="B149" s="23"/>
      <c r="E149" s="34"/>
      <c r="F149" s="35"/>
      <c r="G149" s="34"/>
      <c r="J149" s="23"/>
      <c r="K149" s="23"/>
      <c r="L149" s="33"/>
    </row>
    <row r="150" spans="2:12">
      <c r="B150" s="23"/>
      <c r="E150" s="34"/>
      <c r="F150" s="35"/>
      <c r="G150" s="34"/>
      <c r="J150" s="23"/>
      <c r="K150" s="23"/>
      <c r="L150" s="33"/>
    </row>
    <row r="151" spans="2:12">
      <c r="B151" s="23"/>
      <c r="E151" s="34"/>
      <c r="F151" s="35"/>
      <c r="G151" s="34"/>
      <c r="J151" s="23"/>
      <c r="K151" s="23"/>
      <c r="L151" s="33"/>
    </row>
    <row r="152" spans="2:12">
      <c r="B152" s="23"/>
      <c r="E152" s="34"/>
      <c r="F152" s="35"/>
      <c r="G152" s="34"/>
      <c r="J152" s="23"/>
      <c r="K152" s="23"/>
      <c r="L152" s="33"/>
    </row>
    <row r="153" spans="2:12">
      <c r="B153" s="23"/>
      <c r="E153" s="34"/>
      <c r="F153" s="35"/>
      <c r="G153" s="34"/>
      <c r="J153" s="23"/>
      <c r="K153" s="23"/>
      <c r="L153" s="33"/>
    </row>
    <row r="154" spans="2:12">
      <c r="B154" s="23"/>
      <c r="E154" s="34"/>
      <c r="F154" s="35"/>
      <c r="G154" s="34"/>
      <c r="J154" s="23"/>
      <c r="K154" s="23"/>
      <c r="L154" s="33"/>
    </row>
    <row r="155" spans="2:12">
      <c r="B155" s="23"/>
      <c r="E155" s="34"/>
      <c r="F155" s="35"/>
      <c r="G155" s="34"/>
      <c r="J155" s="23"/>
      <c r="K155" s="23"/>
      <c r="L155" s="33"/>
    </row>
    <row r="156" spans="2:12">
      <c r="B156" s="23"/>
      <c r="E156" s="34"/>
      <c r="F156" s="35"/>
      <c r="G156" s="34"/>
      <c r="J156" s="23"/>
      <c r="K156" s="23"/>
      <c r="L156" s="33"/>
    </row>
    <row r="157" spans="2:12">
      <c r="B157" s="23"/>
      <c r="E157" s="34"/>
      <c r="F157" s="35"/>
      <c r="G157" s="34"/>
      <c r="J157" s="23"/>
      <c r="K157" s="23"/>
      <c r="L157" s="33"/>
    </row>
    <row r="158" spans="2:12">
      <c r="B158" s="23"/>
      <c r="E158" s="34"/>
      <c r="F158" s="35"/>
      <c r="G158" s="34"/>
      <c r="J158" s="23"/>
      <c r="K158" s="23"/>
      <c r="L158" s="33"/>
    </row>
    <row r="159" spans="2:12">
      <c r="B159" s="23"/>
      <c r="E159" s="34"/>
      <c r="F159" s="35"/>
      <c r="G159" s="34"/>
      <c r="J159" s="23"/>
      <c r="K159" s="23"/>
      <c r="L159" s="33"/>
    </row>
    <row r="160" spans="2:12">
      <c r="B160" s="23"/>
      <c r="E160" s="34"/>
      <c r="F160" s="35"/>
      <c r="G160" s="34"/>
      <c r="J160" s="23"/>
      <c r="K160" s="23"/>
      <c r="L160" s="33"/>
    </row>
    <row r="161" spans="2:12">
      <c r="B161" s="23"/>
      <c r="E161" s="34"/>
      <c r="F161" s="35"/>
      <c r="G161" s="34"/>
      <c r="J161" s="23"/>
      <c r="K161" s="23"/>
      <c r="L161" s="33"/>
    </row>
    <row r="162" spans="2:12">
      <c r="B162" s="23"/>
      <c r="E162" s="34"/>
      <c r="F162" s="35"/>
      <c r="G162" s="34"/>
      <c r="J162" s="23"/>
      <c r="K162" s="23"/>
      <c r="L162" s="33"/>
    </row>
    <row r="163" spans="2:12">
      <c r="B163" s="23"/>
      <c r="E163" s="34"/>
      <c r="F163" s="35"/>
      <c r="G163" s="34"/>
      <c r="J163" s="23"/>
      <c r="K163" s="23"/>
      <c r="L163" s="33"/>
    </row>
    <row r="164" spans="2:12">
      <c r="B164" s="23"/>
      <c r="E164" s="34"/>
      <c r="F164" s="35"/>
      <c r="G164" s="34"/>
      <c r="J164" s="23"/>
      <c r="K164" s="23"/>
      <c r="L164" s="33"/>
    </row>
    <row r="165" spans="2:12">
      <c r="B165" s="23"/>
      <c r="E165" s="34"/>
      <c r="F165" s="35"/>
      <c r="G165" s="34"/>
      <c r="J165" s="23"/>
      <c r="K165" s="23"/>
      <c r="L165" s="33"/>
    </row>
    <row r="166" spans="2:12">
      <c r="B166" s="23"/>
      <c r="E166" s="34"/>
      <c r="F166" s="35"/>
      <c r="G166" s="34"/>
      <c r="J166" s="23"/>
      <c r="K166" s="23"/>
      <c r="L166" s="33"/>
    </row>
    <row r="167" spans="2:12">
      <c r="B167" s="23"/>
      <c r="E167" s="34"/>
      <c r="F167" s="35"/>
      <c r="G167" s="34"/>
      <c r="J167" s="23"/>
      <c r="K167" s="23"/>
      <c r="L167" s="33"/>
    </row>
    <row r="168" spans="2:12">
      <c r="B168" s="23"/>
      <c r="E168" s="34"/>
      <c r="F168" s="35"/>
      <c r="G168" s="34"/>
      <c r="J168" s="23"/>
      <c r="K168" s="23"/>
      <c r="L168" s="33"/>
    </row>
    <row r="169" spans="2:12">
      <c r="B169" s="23"/>
      <c r="E169" s="34"/>
      <c r="F169" s="35"/>
      <c r="G169" s="34"/>
      <c r="J169" s="23"/>
      <c r="K169" s="23"/>
      <c r="L169" s="33"/>
    </row>
    <row r="170" spans="2:12">
      <c r="B170" s="23"/>
      <c r="E170" s="34"/>
      <c r="F170" s="35"/>
      <c r="G170" s="34"/>
      <c r="J170" s="23"/>
      <c r="K170" s="23"/>
      <c r="L170" s="33"/>
    </row>
    <row r="171" spans="2:12">
      <c r="B171" s="23"/>
      <c r="E171" s="34"/>
      <c r="F171" s="35"/>
      <c r="G171" s="34"/>
      <c r="J171" s="23"/>
      <c r="K171" s="23"/>
      <c r="L171" s="33"/>
    </row>
    <row r="172" spans="2:12">
      <c r="B172" s="23"/>
      <c r="E172" s="34"/>
      <c r="F172" s="35"/>
      <c r="G172" s="34"/>
      <c r="J172" s="23"/>
      <c r="K172" s="23"/>
      <c r="L172" s="33"/>
    </row>
    <row r="173" spans="2:12">
      <c r="B173" s="23"/>
      <c r="E173" s="34"/>
      <c r="F173" s="35"/>
      <c r="G173" s="34"/>
      <c r="J173" s="23"/>
      <c r="K173" s="23"/>
      <c r="L173" s="33"/>
    </row>
    <row r="174" spans="2:12">
      <c r="B174" s="23"/>
      <c r="E174" s="34"/>
      <c r="F174" s="35"/>
      <c r="G174" s="34"/>
      <c r="J174" s="23"/>
      <c r="K174" s="23"/>
      <c r="L174" s="33"/>
    </row>
    <row r="175" spans="2:12">
      <c r="B175" s="23"/>
      <c r="E175" s="34"/>
      <c r="F175" s="35"/>
      <c r="G175" s="34"/>
      <c r="J175" s="23"/>
      <c r="K175" s="23"/>
      <c r="L175" s="33"/>
    </row>
    <row r="176" spans="2:12">
      <c r="B176" s="23"/>
      <c r="E176" s="34"/>
      <c r="F176" s="35"/>
      <c r="G176" s="34"/>
      <c r="J176" s="23"/>
      <c r="K176" s="23"/>
      <c r="L176" s="33"/>
    </row>
    <row r="177" spans="2:12">
      <c r="B177" s="23"/>
      <c r="E177" s="34"/>
      <c r="F177" s="35"/>
      <c r="G177" s="34"/>
      <c r="J177" s="23"/>
      <c r="K177" s="23"/>
      <c r="L177" s="33"/>
    </row>
    <row r="178" spans="2:12">
      <c r="B178" s="23"/>
      <c r="E178" s="34"/>
      <c r="F178" s="35"/>
      <c r="G178" s="34"/>
      <c r="J178" s="23"/>
      <c r="K178" s="23"/>
      <c r="L178" s="33"/>
    </row>
    <row r="179" spans="2:12">
      <c r="B179" s="23"/>
      <c r="E179" s="34"/>
      <c r="F179" s="35"/>
      <c r="G179" s="34"/>
      <c r="J179" s="23"/>
      <c r="K179" s="23"/>
      <c r="L179" s="33"/>
    </row>
    <row r="180" spans="2:12">
      <c r="B180" s="23"/>
      <c r="E180" s="34"/>
      <c r="F180" s="35"/>
      <c r="G180" s="34"/>
      <c r="J180" s="23"/>
      <c r="K180" s="23"/>
      <c r="L180" s="33"/>
    </row>
    <row r="181" spans="2:12">
      <c r="B181" s="23"/>
      <c r="E181" s="34"/>
      <c r="F181" s="35"/>
      <c r="G181" s="34"/>
      <c r="J181" s="23"/>
      <c r="K181" s="23"/>
      <c r="L181" s="33"/>
    </row>
    <row r="182" spans="2:12">
      <c r="B182" s="23"/>
      <c r="E182" s="34"/>
      <c r="F182" s="35"/>
      <c r="G182" s="34"/>
      <c r="J182" s="23"/>
      <c r="K182" s="23"/>
      <c r="L182" s="33"/>
    </row>
    <row r="183" spans="2:12">
      <c r="B183" s="23"/>
      <c r="E183" s="34"/>
      <c r="F183" s="35"/>
      <c r="G183" s="34"/>
      <c r="J183" s="23"/>
      <c r="K183" s="23"/>
      <c r="L183" s="33"/>
    </row>
    <row r="184" spans="2:12">
      <c r="B184" s="23"/>
      <c r="E184" s="34"/>
      <c r="F184" s="35"/>
      <c r="G184" s="34"/>
      <c r="J184" s="23"/>
      <c r="K184" s="23"/>
      <c r="L184" s="33"/>
    </row>
    <row r="185" spans="2:12">
      <c r="B185" s="23"/>
      <c r="E185" s="34"/>
      <c r="F185" s="35"/>
      <c r="G185" s="34"/>
      <c r="J185" s="23"/>
      <c r="K185" s="23"/>
      <c r="L185" s="33"/>
    </row>
    <row r="186" spans="2:12">
      <c r="B186" s="23"/>
      <c r="E186" s="34"/>
      <c r="F186" s="35"/>
      <c r="G186" s="34"/>
      <c r="J186" s="23"/>
      <c r="K186" s="23"/>
      <c r="L186" s="33"/>
    </row>
    <row r="187" spans="2:12">
      <c r="B187" s="23"/>
      <c r="E187" s="34"/>
      <c r="F187" s="35"/>
      <c r="G187" s="34"/>
      <c r="J187" s="23"/>
      <c r="K187" s="23"/>
      <c r="L187" s="33"/>
    </row>
    <row r="188" spans="2:12">
      <c r="B188" s="23"/>
      <c r="E188" s="34"/>
      <c r="F188" s="35"/>
      <c r="G188" s="34"/>
      <c r="J188" s="23"/>
      <c r="K188" s="23"/>
      <c r="L188" s="33"/>
    </row>
    <row r="189" spans="2:12">
      <c r="B189" s="23"/>
      <c r="E189" s="34"/>
      <c r="F189" s="35"/>
      <c r="G189" s="34"/>
      <c r="J189" s="23"/>
      <c r="K189" s="23"/>
      <c r="L189" s="33"/>
    </row>
    <row r="190" spans="2:12">
      <c r="B190" s="23"/>
      <c r="E190" s="34"/>
      <c r="F190" s="35"/>
      <c r="G190" s="34"/>
      <c r="J190" s="23"/>
      <c r="K190" s="23"/>
      <c r="L190" s="33"/>
    </row>
    <row r="191" spans="2:12">
      <c r="B191" s="23"/>
      <c r="E191" s="34"/>
      <c r="F191" s="35"/>
      <c r="G191" s="34"/>
      <c r="J191" s="23"/>
      <c r="K191" s="23"/>
      <c r="L191" s="33"/>
    </row>
    <row r="192" spans="2:12">
      <c r="B192" s="23"/>
      <c r="E192" s="34"/>
      <c r="F192" s="35"/>
      <c r="G192" s="34"/>
      <c r="J192" s="23"/>
      <c r="K192" s="23"/>
      <c r="L192" s="33"/>
    </row>
    <row r="193" spans="2:12">
      <c r="B193" s="23"/>
      <c r="E193" s="34"/>
      <c r="F193" s="35"/>
      <c r="G193" s="34"/>
      <c r="J193" s="23"/>
      <c r="K193" s="23"/>
      <c r="L193" s="33"/>
    </row>
    <row r="194" spans="2:12">
      <c r="B194" s="23"/>
      <c r="E194" s="34"/>
      <c r="F194" s="35"/>
      <c r="G194" s="34"/>
      <c r="J194" s="23"/>
      <c r="K194" s="23"/>
      <c r="L194" s="33"/>
    </row>
    <row r="195" spans="2:12">
      <c r="B195" s="23"/>
      <c r="E195" s="34"/>
      <c r="F195" s="35"/>
      <c r="G195" s="34"/>
      <c r="J195" s="23"/>
      <c r="K195" s="23"/>
      <c r="L195" s="33"/>
    </row>
    <row r="196" spans="2:12">
      <c r="B196" s="23"/>
      <c r="E196" s="34"/>
      <c r="F196" s="35"/>
      <c r="G196" s="34"/>
      <c r="J196" s="23"/>
      <c r="K196" s="23"/>
      <c r="L196" s="33"/>
    </row>
    <row r="197" spans="2:12">
      <c r="B197" s="23"/>
      <c r="E197" s="34"/>
      <c r="F197" s="35"/>
      <c r="G197" s="34"/>
      <c r="J197" s="23"/>
      <c r="K197" s="23"/>
      <c r="L197" s="33"/>
    </row>
    <row r="198" spans="2:12">
      <c r="B198" s="23"/>
      <c r="E198" s="34"/>
      <c r="F198" s="35"/>
      <c r="G198" s="34"/>
      <c r="J198" s="23"/>
      <c r="K198" s="23"/>
      <c r="L198" s="33"/>
    </row>
    <row r="199" spans="2:12">
      <c r="B199" s="23"/>
      <c r="E199" s="34"/>
      <c r="F199" s="35"/>
      <c r="G199" s="34"/>
      <c r="J199" s="23"/>
      <c r="K199" s="23"/>
      <c r="L199" s="33"/>
    </row>
    <row r="200" spans="2:12">
      <c r="B200" s="23"/>
      <c r="E200" s="34"/>
      <c r="F200" s="35"/>
      <c r="G200" s="34"/>
      <c r="J200" s="23"/>
      <c r="K200" s="23"/>
      <c r="L200" s="33"/>
    </row>
    <row r="201" spans="2:12">
      <c r="B201" s="23"/>
      <c r="E201" s="34"/>
      <c r="F201" s="35"/>
      <c r="G201" s="34"/>
      <c r="J201" s="23"/>
      <c r="K201" s="23"/>
      <c r="L201" s="33"/>
    </row>
    <row r="202" spans="2:12">
      <c r="B202" s="23"/>
      <c r="E202" s="34"/>
      <c r="F202" s="35"/>
      <c r="G202" s="34"/>
      <c r="J202" s="23"/>
      <c r="K202" s="23"/>
      <c r="L202" s="33"/>
    </row>
    <row r="203" spans="2:12">
      <c r="B203" s="23"/>
      <c r="E203" s="34"/>
      <c r="F203" s="35"/>
      <c r="G203" s="34"/>
      <c r="J203" s="23"/>
      <c r="K203" s="23"/>
      <c r="L203" s="33"/>
    </row>
    <row r="204" spans="2:12">
      <c r="B204" s="23"/>
      <c r="E204" s="34"/>
      <c r="F204" s="35"/>
      <c r="G204" s="34"/>
      <c r="J204" s="23"/>
      <c r="K204" s="23"/>
      <c r="L204" s="33"/>
    </row>
    <row r="205" spans="2:12">
      <c r="B205" s="23"/>
      <c r="E205" s="34"/>
      <c r="F205" s="35"/>
      <c r="G205" s="34"/>
      <c r="J205" s="23"/>
      <c r="K205" s="23"/>
      <c r="L205" s="33"/>
    </row>
    <row r="206" spans="2:12">
      <c r="B206" s="23"/>
      <c r="E206" s="34"/>
      <c r="F206" s="35"/>
      <c r="G206" s="34"/>
      <c r="J206" s="23"/>
      <c r="K206" s="23"/>
      <c r="L206" s="33"/>
    </row>
    <row r="207" spans="2:12">
      <c r="B207" s="23"/>
      <c r="E207" s="34"/>
      <c r="F207" s="35"/>
      <c r="G207" s="34"/>
      <c r="J207" s="23"/>
      <c r="K207" s="23"/>
      <c r="L207" s="33"/>
    </row>
    <row r="208" spans="2:12">
      <c r="B208" s="23"/>
      <c r="E208" s="34"/>
      <c r="F208" s="35"/>
      <c r="G208" s="34"/>
      <c r="J208" s="23"/>
      <c r="K208" s="23"/>
      <c r="L208" s="33"/>
    </row>
    <row r="209" spans="2:12">
      <c r="B209" s="23"/>
      <c r="E209" s="34"/>
      <c r="F209" s="35"/>
      <c r="G209" s="34"/>
      <c r="J209" s="23"/>
      <c r="K209" s="23"/>
      <c r="L209" s="33"/>
    </row>
    <row r="210" spans="2:12">
      <c r="B210" s="23"/>
      <c r="E210" s="34"/>
      <c r="F210" s="35"/>
      <c r="G210" s="34"/>
      <c r="J210" s="23"/>
      <c r="K210" s="23"/>
      <c r="L210" s="33"/>
    </row>
    <row r="211" spans="2:12">
      <c r="B211" s="23"/>
      <c r="E211" s="34"/>
      <c r="F211" s="35"/>
      <c r="G211" s="34"/>
      <c r="J211" s="23"/>
      <c r="K211" s="23"/>
      <c r="L211" s="33"/>
    </row>
    <row r="212" spans="2:12">
      <c r="B212" s="23"/>
      <c r="E212" s="34"/>
      <c r="F212" s="35"/>
      <c r="G212" s="34"/>
      <c r="J212" s="23"/>
      <c r="K212" s="23"/>
      <c r="L212" s="33"/>
    </row>
    <row r="213" spans="2:12">
      <c r="B213" s="23"/>
      <c r="E213" s="34"/>
      <c r="F213" s="35"/>
      <c r="G213" s="34"/>
      <c r="J213" s="23"/>
      <c r="K213" s="23"/>
      <c r="L213" s="33"/>
    </row>
    <row r="214" spans="2:12">
      <c r="B214" s="23"/>
      <c r="E214" s="34"/>
      <c r="F214" s="35"/>
      <c r="G214" s="34"/>
      <c r="J214" s="23"/>
      <c r="K214" s="23"/>
      <c r="L214" s="33"/>
    </row>
    <row r="215" spans="2:12">
      <c r="B215" s="23"/>
      <c r="E215" s="34"/>
      <c r="F215" s="35"/>
      <c r="G215" s="34"/>
      <c r="J215" s="23"/>
      <c r="K215" s="23"/>
      <c r="L215" s="33"/>
    </row>
    <row r="216" spans="2:12">
      <c r="B216" s="23"/>
      <c r="E216" s="34"/>
      <c r="F216" s="35"/>
      <c r="G216" s="34"/>
      <c r="J216" s="23"/>
      <c r="K216" s="23"/>
      <c r="L216" s="33"/>
    </row>
    <row r="217" spans="2:12">
      <c r="B217" s="23"/>
      <c r="E217" s="34"/>
      <c r="F217" s="35"/>
      <c r="G217" s="34"/>
      <c r="J217" s="23"/>
      <c r="K217" s="23"/>
      <c r="L217" s="33"/>
    </row>
    <row r="218" spans="2:12">
      <c r="B218" s="23"/>
      <c r="E218" s="34"/>
      <c r="F218" s="35"/>
      <c r="G218" s="34"/>
      <c r="J218" s="23"/>
      <c r="K218" s="23"/>
      <c r="L218" s="33"/>
    </row>
    <row r="219" spans="2:12">
      <c r="B219" s="23"/>
      <c r="E219" s="34"/>
      <c r="F219" s="35"/>
      <c r="G219" s="34"/>
      <c r="J219" s="23"/>
      <c r="K219" s="23"/>
      <c r="L219" s="33"/>
    </row>
    <row r="220" spans="2:12">
      <c r="B220" s="23"/>
      <c r="E220" s="34"/>
      <c r="F220" s="35"/>
      <c r="G220" s="34"/>
      <c r="J220" s="23"/>
      <c r="K220" s="23"/>
      <c r="L220" s="33"/>
    </row>
    <row r="221" spans="2:12">
      <c r="B221" s="23"/>
      <c r="E221" s="34"/>
      <c r="F221" s="35"/>
      <c r="G221" s="34"/>
      <c r="J221" s="23"/>
      <c r="K221" s="23"/>
      <c r="L221" s="33"/>
    </row>
    <row r="222" spans="2:12">
      <c r="B222" s="23"/>
      <c r="E222" s="34"/>
      <c r="F222" s="35"/>
      <c r="G222" s="34"/>
      <c r="J222" s="23"/>
      <c r="K222" s="23"/>
      <c r="L222" s="33"/>
    </row>
    <row r="223" spans="2:12">
      <c r="B223" s="23"/>
      <c r="E223" s="34"/>
      <c r="F223" s="35"/>
      <c r="G223" s="34"/>
      <c r="J223" s="23"/>
      <c r="K223" s="23"/>
      <c r="L223" s="33"/>
    </row>
    <row r="224" spans="2:12">
      <c r="B224" s="23"/>
      <c r="E224" s="34"/>
      <c r="F224" s="35"/>
      <c r="G224" s="34"/>
      <c r="J224" s="23"/>
      <c r="K224" s="23"/>
      <c r="L224" s="33"/>
    </row>
    <row r="225" spans="2:12">
      <c r="B225" s="23"/>
      <c r="E225" s="34"/>
      <c r="F225" s="35"/>
      <c r="G225" s="34"/>
      <c r="J225" s="23"/>
      <c r="K225" s="23"/>
      <c r="L225" s="33"/>
    </row>
    <row r="226" spans="2:12">
      <c r="B226" s="23"/>
      <c r="E226" s="34"/>
      <c r="F226" s="35"/>
      <c r="G226" s="34"/>
      <c r="J226" s="23"/>
      <c r="K226" s="23"/>
      <c r="L226" s="33"/>
    </row>
    <row r="227" spans="2:12">
      <c r="B227" s="23"/>
      <c r="E227" s="34"/>
      <c r="F227" s="35"/>
      <c r="G227" s="34"/>
      <c r="J227" s="23"/>
      <c r="K227" s="23"/>
      <c r="L227" s="33"/>
    </row>
    <row r="228" spans="2:12">
      <c r="B228" s="23"/>
      <c r="E228" s="34"/>
      <c r="F228" s="35"/>
      <c r="G228" s="34"/>
      <c r="J228" s="23"/>
      <c r="K228" s="23"/>
      <c r="L228" s="33"/>
    </row>
    <row r="229" spans="2:12">
      <c r="B229" s="23"/>
      <c r="E229" s="34"/>
      <c r="F229" s="35"/>
      <c r="G229" s="34"/>
      <c r="J229" s="23"/>
      <c r="K229" s="23"/>
      <c r="L229" s="33"/>
    </row>
    <row r="230" spans="2:12">
      <c r="B230" s="23"/>
      <c r="E230" s="34"/>
      <c r="F230" s="35"/>
      <c r="G230" s="34"/>
      <c r="J230" s="23"/>
      <c r="K230" s="23"/>
      <c r="L230" s="33"/>
    </row>
    <row r="231" spans="2:12">
      <c r="B231" s="23"/>
      <c r="E231" s="34"/>
      <c r="F231" s="35"/>
      <c r="G231" s="34"/>
      <c r="J231" s="23"/>
      <c r="K231" s="23"/>
      <c r="L231" s="33"/>
    </row>
    <row r="232" spans="2:12">
      <c r="B232" s="23"/>
      <c r="E232" s="34"/>
      <c r="F232" s="35"/>
      <c r="G232" s="34"/>
      <c r="J232" s="23"/>
      <c r="K232" s="23"/>
      <c r="L232" s="33"/>
    </row>
    <row r="233" spans="2:12">
      <c r="B233" s="23"/>
      <c r="E233" s="34"/>
      <c r="F233" s="35"/>
      <c r="G233" s="34"/>
      <c r="J233" s="23"/>
      <c r="K233" s="23"/>
      <c r="L233" s="33"/>
    </row>
    <row r="234" spans="2:12">
      <c r="B234" s="23"/>
      <c r="E234" s="34"/>
      <c r="F234" s="35"/>
      <c r="G234" s="34"/>
      <c r="J234" s="23"/>
      <c r="K234" s="23"/>
      <c r="L234" s="33"/>
    </row>
    <row r="235" spans="2:12">
      <c r="B235" s="23"/>
      <c r="E235" s="34"/>
      <c r="F235" s="35"/>
      <c r="G235" s="34"/>
      <c r="J235" s="23"/>
      <c r="K235" s="23"/>
      <c r="L235" s="33"/>
    </row>
    <row r="236" spans="2:12">
      <c r="B236" s="23"/>
      <c r="E236" s="34"/>
      <c r="F236" s="35"/>
      <c r="G236" s="34"/>
      <c r="J236" s="23"/>
      <c r="K236" s="23"/>
      <c r="L236" s="33"/>
    </row>
    <row r="237" spans="2:12">
      <c r="B237" s="23"/>
      <c r="E237" s="34"/>
      <c r="F237" s="35"/>
      <c r="G237" s="34"/>
      <c r="J237" s="23"/>
      <c r="K237" s="23"/>
      <c r="L237" s="33"/>
    </row>
    <row r="238" spans="2:12">
      <c r="B238" s="23"/>
      <c r="E238" s="34"/>
      <c r="F238" s="35"/>
      <c r="G238" s="34"/>
      <c r="J238" s="23"/>
      <c r="K238" s="23"/>
      <c r="L238" s="33"/>
    </row>
    <row r="239" spans="2:12">
      <c r="B239" s="23"/>
      <c r="E239" s="34"/>
      <c r="F239" s="35"/>
      <c r="G239" s="34"/>
      <c r="J239" s="23"/>
      <c r="K239" s="23"/>
      <c r="L239" s="33"/>
    </row>
    <row r="240" spans="2:12">
      <c r="B240" s="23"/>
      <c r="E240" s="34"/>
      <c r="F240" s="35"/>
      <c r="G240" s="34"/>
      <c r="J240" s="23"/>
      <c r="K240" s="23"/>
      <c r="L240" s="33"/>
    </row>
    <row r="241" spans="2:12">
      <c r="B241" s="23"/>
      <c r="E241" s="34"/>
      <c r="F241" s="35"/>
      <c r="G241" s="34"/>
      <c r="J241" s="23"/>
      <c r="K241" s="23"/>
      <c r="L241" s="33"/>
    </row>
    <row r="242" spans="2:12">
      <c r="B242" s="23"/>
      <c r="E242" s="34"/>
      <c r="F242" s="35"/>
      <c r="G242" s="34"/>
      <c r="J242" s="23"/>
      <c r="K242" s="23"/>
      <c r="L242" s="33"/>
    </row>
    <row r="243" spans="2:12">
      <c r="B243" s="23"/>
      <c r="E243" s="34"/>
      <c r="F243" s="35"/>
      <c r="G243" s="34"/>
      <c r="J243" s="23"/>
      <c r="K243" s="23"/>
      <c r="L243" s="33"/>
    </row>
    <row r="244" spans="2:12">
      <c r="B244" s="23"/>
      <c r="E244" s="34"/>
      <c r="F244" s="35"/>
      <c r="G244" s="34"/>
      <c r="J244" s="23"/>
      <c r="K244" s="23"/>
      <c r="L244" s="33"/>
    </row>
    <row r="245" spans="2:12">
      <c r="B245" s="23"/>
      <c r="E245" s="34"/>
      <c r="F245" s="35"/>
      <c r="G245" s="34"/>
      <c r="J245" s="23"/>
      <c r="K245" s="23"/>
      <c r="L245" s="33"/>
    </row>
    <row r="246" spans="2:12">
      <c r="B246" s="23"/>
      <c r="E246" s="34"/>
      <c r="F246" s="35"/>
      <c r="G246" s="34"/>
      <c r="J246" s="23"/>
      <c r="K246" s="23"/>
      <c r="L246" s="33"/>
    </row>
    <row r="247" spans="2:12">
      <c r="B247" s="23"/>
      <c r="E247" s="34"/>
      <c r="F247" s="35"/>
      <c r="G247" s="34"/>
      <c r="J247" s="23"/>
      <c r="K247" s="23"/>
      <c r="L247" s="33"/>
    </row>
    <row r="248" spans="2:12">
      <c r="B248" s="23"/>
      <c r="E248" s="34"/>
      <c r="F248" s="35"/>
      <c r="G248" s="34"/>
      <c r="J248" s="23"/>
      <c r="K248" s="23"/>
      <c r="L248" s="33"/>
    </row>
    <row r="249" spans="2:12">
      <c r="B249" s="23"/>
      <c r="E249" s="34"/>
      <c r="F249" s="35"/>
      <c r="G249" s="34"/>
      <c r="J249" s="23"/>
      <c r="K249" s="23"/>
      <c r="L249" s="33"/>
    </row>
    <row r="250" spans="2:12">
      <c r="B250" s="23"/>
      <c r="E250" s="34"/>
      <c r="F250" s="35"/>
      <c r="G250" s="34"/>
      <c r="J250" s="23"/>
      <c r="K250" s="23"/>
      <c r="L250" s="33"/>
    </row>
    <row r="251" spans="2:12">
      <c r="B251" s="23"/>
      <c r="E251" s="34"/>
      <c r="F251" s="35"/>
      <c r="G251" s="34"/>
      <c r="J251" s="23"/>
      <c r="K251" s="23"/>
      <c r="L251" s="33"/>
    </row>
    <row r="252" spans="2:12">
      <c r="B252" s="23"/>
      <c r="E252" s="34"/>
      <c r="F252" s="35"/>
      <c r="G252" s="34"/>
      <c r="J252" s="23"/>
      <c r="K252" s="23"/>
      <c r="L252" s="33"/>
    </row>
    <row r="253" spans="2:12">
      <c r="B253" s="23"/>
      <c r="E253" s="34"/>
      <c r="F253" s="35"/>
      <c r="G253" s="34"/>
      <c r="J253" s="23"/>
      <c r="K253" s="23"/>
      <c r="L253" s="33"/>
    </row>
    <row r="254" spans="2:12">
      <c r="B254" s="23"/>
      <c r="E254" s="34"/>
      <c r="F254" s="35"/>
      <c r="G254" s="34"/>
      <c r="J254" s="23"/>
      <c r="K254" s="23"/>
      <c r="L254" s="33"/>
    </row>
    <row r="255" spans="2:12">
      <c r="B255" s="23"/>
      <c r="E255" s="34"/>
      <c r="F255" s="35"/>
      <c r="G255" s="34"/>
      <c r="J255" s="23"/>
      <c r="K255" s="23"/>
      <c r="L255" s="33"/>
    </row>
    <row r="256" spans="2:12">
      <c r="B256" s="23"/>
      <c r="E256" s="34"/>
      <c r="F256" s="35"/>
      <c r="G256" s="34"/>
      <c r="J256" s="23"/>
      <c r="K256" s="23"/>
      <c r="L256" s="33"/>
    </row>
    <row r="257" spans="2:12">
      <c r="B257" s="23"/>
      <c r="E257" s="34"/>
      <c r="F257" s="35"/>
      <c r="G257" s="34"/>
      <c r="J257" s="23"/>
      <c r="K257" s="23"/>
      <c r="L257" s="33"/>
    </row>
    <row r="258" spans="2:12">
      <c r="B258" s="23"/>
      <c r="E258" s="34"/>
      <c r="F258" s="35"/>
      <c r="G258" s="34"/>
      <c r="J258" s="23"/>
      <c r="K258" s="23"/>
      <c r="L258" s="33"/>
    </row>
    <row r="259" spans="2:12">
      <c r="B259" s="23"/>
      <c r="E259" s="34"/>
      <c r="F259" s="35"/>
      <c r="G259" s="34"/>
      <c r="J259" s="23"/>
      <c r="K259" s="23"/>
      <c r="L259" s="33"/>
    </row>
    <row r="260" spans="2:12">
      <c r="B260" s="23"/>
      <c r="E260" s="34"/>
      <c r="F260" s="35"/>
      <c r="G260" s="34"/>
      <c r="J260" s="23"/>
      <c r="K260" s="23"/>
      <c r="L260" s="33"/>
    </row>
    <row r="261" spans="2:12">
      <c r="B261" s="23"/>
      <c r="E261" s="34"/>
      <c r="F261" s="35"/>
      <c r="G261" s="34"/>
      <c r="J261" s="23"/>
      <c r="K261" s="23"/>
      <c r="L261" s="33"/>
    </row>
    <row r="262" spans="2:12">
      <c r="B262" s="23"/>
      <c r="E262" s="34"/>
      <c r="F262" s="35"/>
      <c r="G262" s="34"/>
      <c r="J262" s="23"/>
      <c r="K262" s="23"/>
      <c r="L262" s="33"/>
    </row>
    <row r="263" spans="2:12">
      <c r="B263" s="23"/>
      <c r="E263" s="34"/>
      <c r="F263" s="35"/>
      <c r="G263" s="34"/>
      <c r="J263" s="23"/>
      <c r="K263" s="23"/>
      <c r="L263" s="33"/>
    </row>
    <row r="264" spans="2:12">
      <c r="B264" s="23"/>
      <c r="E264" s="34"/>
      <c r="F264" s="35"/>
      <c r="G264" s="34"/>
      <c r="J264" s="23"/>
      <c r="K264" s="23"/>
      <c r="L264" s="33"/>
    </row>
    <row r="265" spans="2:12">
      <c r="B265" s="23"/>
      <c r="E265" s="34"/>
      <c r="F265" s="35"/>
      <c r="G265" s="34"/>
      <c r="J265" s="23"/>
      <c r="K265" s="23"/>
      <c r="L265" s="33"/>
    </row>
    <row r="266" spans="2:12">
      <c r="B266" s="23"/>
      <c r="E266" s="34"/>
      <c r="F266" s="35"/>
      <c r="G266" s="34"/>
      <c r="J266" s="23"/>
      <c r="K266" s="23"/>
      <c r="L266" s="33"/>
    </row>
    <row r="267" spans="2:12">
      <c r="B267" s="23"/>
      <c r="E267" s="34"/>
      <c r="F267" s="35"/>
      <c r="G267" s="34"/>
      <c r="J267" s="23"/>
      <c r="K267" s="23"/>
      <c r="L267" s="33"/>
    </row>
    <row r="268" spans="2:12">
      <c r="B268" s="23"/>
      <c r="E268" s="34"/>
      <c r="F268" s="35"/>
      <c r="G268" s="34"/>
      <c r="J268" s="23"/>
      <c r="K268" s="23"/>
      <c r="L268" s="33"/>
    </row>
    <row r="269" spans="2:12">
      <c r="B269" s="23"/>
      <c r="E269" s="34"/>
      <c r="F269" s="35"/>
      <c r="G269" s="34"/>
      <c r="J269" s="23"/>
      <c r="K269" s="23"/>
      <c r="L269" s="33"/>
    </row>
    <row r="270" spans="2:12">
      <c r="B270" s="23"/>
      <c r="E270" s="34"/>
      <c r="F270" s="35"/>
      <c r="G270" s="34"/>
      <c r="J270" s="23"/>
      <c r="K270" s="23"/>
      <c r="L270" s="33"/>
    </row>
    <row r="271" spans="2:12">
      <c r="B271" s="23"/>
      <c r="E271" s="34"/>
      <c r="F271" s="35"/>
      <c r="G271" s="34"/>
      <c r="J271" s="23"/>
      <c r="K271" s="23"/>
      <c r="L271" s="33"/>
    </row>
    <row r="272" spans="2:12">
      <c r="B272" s="23"/>
      <c r="E272" s="34"/>
      <c r="F272" s="35"/>
      <c r="G272" s="34"/>
      <c r="J272" s="23"/>
      <c r="K272" s="23"/>
      <c r="L272" s="33"/>
    </row>
    <row r="273" spans="2:12">
      <c r="B273" s="23"/>
      <c r="E273" s="34"/>
      <c r="F273" s="35"/>
      <c r="G273" s="34"/>
      <c r="J273" s="23"/>
      <c r="K273" s="23"/>
      <c r="L273" s="33"/>
    </row>
    <row r="274" spans="2:12">
      <c r="B274" s="23"/>
      <c r="E274" s="34"/>
      <c r="F274" s="35"/>
      <c r="G274" s="34"/>
      <c r="J274" s="23"/>
      <c r="K274" s="23"/>
      <c r="L274" s="33"/>
    </row>
    <row r="275" spans="2:12">
      <c r="B275" s="23"/>
      <c r="E275" s="34"/>
      <c r="F275" s="35"/>
      <c r="G275" s="34"/>
      <c r="J275" s="23"/>
      <c r="K275" s="23"/>
      <c r="L275" s="33"/>
    </row>
    <row r="276" spans="2:12">
      <c r="B276" s="23"/>
      <c r="E276" s="34"/>
      <c r="F276" s="35"/>
      <c r="G276" s="34"/>
      <c r="J276" s="23"/>
      <c r="K276" s="23"/>
      <c r="L276" s="33"/>
    </row>
    <row r="277" spans="2:12">
      <c r="B277" s="23"/>
      <c r="E277" s="34"/>
      <c r="F277" s="35"/>
      <c r="G277" s="34"/>
      <c r="J277" s="23"/>
      <c r="K277" s="23"/>
      <c r="L277" s="33"/>
    </row>
    <row r="278" spans="2:12">
      <c r="B278" s="23"/>
      <c r="E278" s="34"/>
      <c r="F278" s="35"/>
      <c r="G278" s="34"/>
      <c r="J278" s="23"/>
      <c r="K278" s="23"/>
      <c r="L278" s="33"/>
    </row>
    <row r="279" spans="2:12">
      <c r="B279" s="23"/>
      <c r="E279" s="34"/>
      <c r="F279" s="35"/>
      <c r="G279" s="34"/>
      <c r="J279" s="23"/>
      <c r="K279" s="23"/>
      <c r="L279" s="33"/>
    </row>
    <row r="280" spans="2:12">
      <c r="B280" s="23"/>
      <c r="E280" s="34"/>
      <c r="F280" s="35"/>
      <c r="G280" s="34"/>
      <c r="J280" s="23"/>
      <c r="K280" s="23"/>
      <c r="L280" s="33"/>
    </row>
    <row r="281" spans="2:12">
      <c r="B281" s="23"/>
      <c r="E281" s="34"/>
      <c r="F281" s="35"/>
      <c r="G281" s="34"/>
      <c r="J281" s="23"/>
      <c r="K281" s="23"/>
      <c r="L281" s="33"/>
    </row>
    <row r="282" spans="2:12">
      <c r="B282" s="23"/>
      <c r="E282" s="34"/>
      <c r="F282" s="35"/>
      <c r="G282" s="34"/>
      <c r="J282" s="23"/>
      <c r="K282" s="23"/>
      <c r="L282" s="33"/>
    </row>
    <row r="283" spans="2:12">
      <c r="B283" s="23"/>
      <c r="E283" s="34"/>
      <c r="F283" s="35"/>
      <c r="G283" s="34"/>
      <c r="J283" s="23"/>
      <c r="K283" s="23"/>
      <c r="L283" s="33"/>
    </row>
    <row r="284" spans="2:12">
      <c r="B284" s="23"/>
      <c r="E284" s="34"/>
      <c r="F284" s="35"/>
      <c r="G284" s="34"/>
      <c r="J284" s="23"/>
      <c r="K284" s="23"/>
      <c r="L284" s="33"/>
    </row>
    <row r="285" spans="2:12">
      <c r="B285" s="23"/>
      <c r="E285" s="34"/>
      <c r="F285" s="35"/>
      <c r="G285" s="34"/>
      <c r="J285" s="23"/>
      <c r="K285" s="23"/>
      <c r="L285" s="33"/>
    </row>
    <row r="286" spans="2:12">
      <c r="B286" s="23"/>
      <c r="E286" s="34"/>
      <c r="F286" s="35"/>
      <c r="G286" s="34"/>
      <c r="J286" s="23"/>
      <c r="K286" s="23"/>
      <c r="L286" s="33"/>
    </row>
    <row r="287" spans="2:12">
      <c r="B287" s="23"/>
      <c r="E287" s="34"/>
      <c r="F287" s="35"/>
      <c r="G287" s="34"/>
      <c r="J287" s="23"/>
      <c r="K287" s="23"/>
      <c r="L287" s="33"/>
    </row>
    <row r="288" spans="2:12">
      <c r="B288" s="23"/>
      <c r="E288" s="34"/>
      <c r="F288" s="35"/>
      <c r="G288" s="34"/>
      <c r="J288" s="23"/>
      <c r="K288" s="23"/>
      <c r="L288" s="33"/>
    </row>
    <row r="289" spans="2:12">
      <c r="B289" s="23"/>
      <c r="E289" s="34"/>
      <c r="F289" s="35"/>
      <c r="G289" s="34"/>
      <c r="J289" s="23"/>
      <c r="K289" s="23"/>
      <c r="L289" s="33"/>
    </row>
    <row r="290" spans="2:12">
      <c r="B290" s="23"/>
      <c r="E290" s="34"/>
      <c r="F290" s="35"/>
      <c r="G290" s="34"/>
      <c r="J290" s="23"/>
      <c r="K290" s="23"/>
      <c r="L290" s="33"/>
    </row>
    <row r="291" spans="2:12">
      <c r="B291" s="23"/>
      <c r="E291" s="34"/>
      <c r="F291" s="35"/>
      <c r="G291" s="34"/>
      <c r="J291" s="23"/>
      <c r="K291" s="23"/>
      <c r="L291" s="33"/>
    </row>
    <row r="292" spans="2:12">
      <c r="B292" s="23"/>
      <c r="E292" s="34"/>
      <c r="F292" s="35"/>
      <c r="G292" s="34"/>
      <c r="J292" s="23"/>
      <c r="K292" s="23"/>
      <c r="L292" s="33"/>
    </row>
    <row r="293" spans="2:12">
      <c r="B293" s="23"/>
      <c r="E293" s="34"/>
      <c r="F293" s="35"/>
      <c r="G293" s="34"/>
      <c r="J293" s="23"/>
      <c r="K293" s="23"/>
      <c r="L293" s="33"/>
    </row>
    <row r="294" spans="2:12">
      <c r="B294" s="23"/>
      <c r="E294" s="34"/>
      <c r="F294" s="35"/>
      <c r="G294" s="34"/>
      <c r="J294" s="23"/>
      <c r="K294" s="23"/>
      <c r="L294" s="33"/>
    </row>
    <row r="295" spans="2:12">
      <c r="B295" s="23"/>
      <c r="E295" s="34"/>
      <c r="F295" s="35"/>
      <c r="G295" s="34"/>
      <c r="J295" s="23"/>
      <c r="K295" s="23"/>
      <c r="L295" s="33"/>
    </row>
    <row r="296" spans="2:12">
      <c r="B296" s="23"/>
      <c r="E296" s="34"/>
      <c r="F296" s="35"/>
      <c r="G296" s="34"/>
      <c r="J296" s="23"/>
      <c r="K296" s="23"/>
      <c r="L296" s="33"/>
    </row>
    <row r="297" spans="2:12">
      <c r="B297" s="23"/>
      <c r="E297" s="34"/>
      <c r="F297" s="35"/>
      <c r="G297" s="34"/>
      <c r="J297" s="23"/>
      <c r="K297" s="23"/>
      <c r="L297" s="33"/>
    </row>
    <row r="298" spans="2:12">
      <c r="B298" s="23"/>
      <c r="E298" s="34"/>
      <c r="F298" s="35"/>
      <c r="G298" s="34"/>
      <c r="J298" s="23"/>
      <c r="K298" s="23"/>
      <c r="L298" s="33"/>
    </row>
    <row r="299" spans="2:12">
      <c r="B299" s="23"/>
      <c r="E299" s="34"/>
      <c r="F299" s="35"/>
      <c r="G299" s="34"/>
      <c r="J299" s="23"/>
      <c r="K299" s="23"/>
      <c r="L299" s="33"/>
    </row>
    <row r="300" spans="2:12">
      <c r="B300" s="23"/>
      <c r="E300" s="34"/>
      <c r="F300" s="35"/>
      <c r="G300" s="34"/>
      <c r="J300" s="23"/>
      <c r="K300" s="23"/>
      <c r="L300" s="33"/>
    </row>
    <row r="301" spans="2:12">
      <c r="B301" s="23"/>
      <c r="E301" s="34"/>
      <c r="F301" s="35"/>
      <c r="G301" s="34"/>
      <c r="J301" s="23"/>
      <c r="K301" s="23"/>
      <c r="L301" s="33"/>
    </row>
    <row r="302" spans="2:12">
      <c r="B302" s="23"/>
      <c r="E302" s="34"/>
      <c r="F302" s="35"/>
      <c r="G302" s="34"/>
      <c r="J302" s="23"/>
      <c r="K302" s="23"/>
      <c r="L302" s="33"/>
    </row>
    <row r="303" spans="2:12">
      <c r="B303" s="23"/>
      <c r="E303" s="34"/>
      <c r="F303" s="35"/>
      <c r="G303" s="34"/>
      <c r="J303" s="23"/>
      <c r="K303" s="23"/>
      <c r="L303" s="33"/>
    </row>
    <row r="304" spans="2:12">
      <c r="B304" s="23"/>
      <c r="E304" s="34"/>
      <c r="F304" s="35"/>
      <c r="G304" s="34"/>
      <c r="J304" s="23"/>
      <c r="K304" s="23"/>
      <c r="L304" s="33"/>
    </row>
    <row r="305" spans="2:12">
      <c r="B305" s="23"/>
      <c r="E305" s="34"/>
      <c r="F305" s="35"/>
      <c r="G305" s="34"/>
      <c r="J305" s="23"/>
      <c r="K305" s="23"/>
      <c r="L305" s="33"/>
    </row>
    <row r="306" spans="2:12">
      <c r="B306" s="23"/>
      <c r="E306" s="34"/>
      <c r="F306" s="35"/>
      <c r="G306" s="34"/>
      <c r="J306" s="23"/>
      <c r="K306" s="23"/>
      <c r="L306" s="33"/>
    </row>
    <row r="307" spans="2:12">
      <c r="B307" s="23"/>
      <c r="E307" s="34"/>
      <c r="F307" s="35"/>
      <c r="G307" s="34"/>
      <c r="J307" s="23"/>
      <c r="K307" s="23"/>
      <c r="L307" s="33"/>
    </row>
    <row r="308" spans="2:12">
      <c r="B308" s="23"/>
      <c r="E308" s="34"/>
      <c r="F308" s="35"/>
      <c r="G308" s="34"/>
      <c r="J308" s="23"/>
      <c r="K308" s="23"/>
      <c r="L308" s="33"/>
    </row>
    <row r="309" spans="2:12">
      <c r="B309" s="23"/>
      <c r="E309" s="34"/>
      <c r="F309" s="35"/>
      <c r="G309" s="34"/>
      <c r="J309" s="23"/>
      <c r="K309" s="23"/>
      <c r="L309" s="33"/>
    </row>
    <row r="310" spans="2:12">
      <c r="B310" s="23"/>
      <c r="E310" s="34"/>
      <c r="F310" s="35"/>
      <c r="G310" s="34"/>
      <c r="J310" s="23"/>
      <c r="K310" s="23"/>
      <c r="L310" s="33"/>
    </row>
    <row r="311" spans="2:12">
      <c r="B311" s="23"/>
      <c r="E311" s="34"/>
      <c r="F311" s="35"/>
      <c r="G311" s="34"/>
      <c r="J311" s="23"/>
      <c r="K311" s="23"/>
      <c r="L311" s="33"/>
    </row>
    <row r="312" spans="2:12">
      <c r="B312" s="23"/>
      <c r="E312" s="34"/>
      <c r="F312" s="35"/>
      <c r="G312" s="34"/>
      <c r="J312" s="23"/>
      <c r="K312" s="23"/>
      <c r="L312" s="33"/>
    </row>
    <row r="313" spans="2:12">
      <c r="B313" s="23"/>
      <c r="E313" s="34"/>
      <c r="F313" s="35"/>
      <c r="G313" s="34"/>
      <c r="J313" s="23"/>
      <c r="K313" s="23"/>
      <c r="L313" s="33"/>
    </row>
    <row r="314" spans="2:12">
      <c r="B314" s="23"/>
      <c r="E314" s="34"/>
      <c r="F314" s="35"/>
      <c r="G314" s="34"/>
      <c r="J314" s="23"/>
      <c r="K314" s="23"/>
      <c r="L314" s="33"/>
    </row>
    <row r="315" spans="2:12">
      <c r="B315" s="23"/>
      <c r="E315" s="34"/>
      <c r="F315" s="35"/>
      <c r="G315" s="34"/>
      <c r="J315" s="23"/>
      <c r="K315" s="23"/>
      <c r="L315" s="33"/>
    </row>
    <row r="316" spans="2:12">
      <c r="B316" s="23"/>
      <c r="E316" s="34"/>
      <c r="F316" s="35"/>
      <c r="G316" s="34"/>
      <c r="J316" s="23"/>
      <c r="K316" s="23"/>
      <c r="L316" s="33"/>
    </row>
    <row r="317" spans="2:12">
      <c r="B317" s="23"/>
      <c r="E317" s="34"/>
      <c r="F317" s="35"/>
      <c r="G317" s="34"/>
      <c r="J317" s="23"/>
      <c r="K317" s="23"/>
      <c r="L317" s="33"/>
    </row>
    <row r="318" spans="2:12">
      <c r="B318" s="23"/>
      <c r="E318" s="34"/>
      <c r="F318" s="35"/>
      <c r="G318" s="34"/>
      <c r="J318" s="23"/>
      <c r="K318" s="23"/>
      <c r="L318" s="33"/>
    </row>
    <row r="319" spans="2:12">
      <c r="B319" s="23"/>
      <c r="E319" s="34"/>
      <c r="F319" s="35"/>
      <c r="G319" s="34"/>
      <c r="J319" s="23"/>
      <c r="K319" s="23"/>
      <c r="L319" s="33"/>
    </row>
    <row r="320" spans="2:12">
      <c r="B320" s="23"/>
      <c r="E320" s="34"/>
      <c r="F320" s="35"/>
      <c r="G320" s="34"/>
      <c r="J320" s="23"/>
      <c r="K320" s="23"/>
      <c r="L320" s="33"/>
    </row>
    <row r="321" spans="2:12">
      <c r="B321" s="23"/>
      <c r="E321" s="34"/>
      <c r="F321" s="35"/>
      <c r="G321" s="34"/>
      <c r="J321" s="23"/>
      <c r="K321" s="23"/>
      <c r="L321" s="33"/>
    </row>
    <row r="322" spans="2:12">
      <c r="B322" s="23"/>
      <c r="E322" s="34"/>
      <c r="F322" s="35"/>
      <c r="G322" s="34"/>
      <c r="J322" s="23"/>
      <c r="K322" s="23"/>
      <c r="L322" s="33"/>
    </row>
    <row r="323" spans="2:12">
      <c r="B323" s="23"/>
      <c r="E323" s="34"/>
      <c r="F323" s="35"/>
      <c r="G323" s="34"/>
      <c r="J323" s="23"/>
      <c r="K323" s="23"/>
      <c r="L323" s="33"/>
    </row>
    <row r="324" spans="2:12">
      <c r="B324" s="23"/>
      <c r="E324" s="34"/>
      <c r="F324" s="35"/>
      <c r="G324" s="34"/>
      <c r="J324" s="23"/>
      <c r="K324" s="23"/>
      <c r="L324" s="33"/>
    </row>
    <row r="325" spans="2:12">
      <c r="B325" s="23"/>
      <c r="E325" s="34"/>
      <c r="F325" s="35"/>
      <c r="G325" s="34"/>
      <c r="J325" s="23"/>
      <c r="K325" s="23"/>
      <c r="L325" s="33"/>
    </row>
    <row r="326" spans="2:12">
      <c r="B326" s="23"/>
      <c r="E326" s="34"/>
      <c r="F326" s="35"/>
      <c r="G326" s="34"/>
      <c r="J326" s="23"/>
      <c r="K326" s="23"/>
      <c r="L326" s="33"/>
    </row>
    <row r="327" spans="2:12">
      <c r="B327" s="23"/>
      <c r="E327" s="34"/>
      <c r="F327" s="35"/>
      <c r="G327" s="34"/>
      <c r="J327" s="23"/>
      <c r="K327" s="23"/>
      <c r="L327" s="33"/>
    </row>
    <row r="328" spans="2:12">
      <c r="B328" s="23"/>
      <c r="E328" s="34"/>
      <c r="F328" s="35"/>
      <c r="G328" s="34"/>
      <c r="J328" s="23"/>
      <c r="K328" s="23"/>
      <c r="L328" s="33"/>
    </row>
    <row r="329" spans="2:12">
      <c r="B329" s="23"/>
      <c r="E329" s="34"/>
      <c r="F329" s="35"/>
      <c r="G329" s="34"/>
      <c r="J329" s="23"/>
      <c r="K329" s="23"/>
      <c r="L329" s="33"/>
    </row>
    <row r="330" spans="2:12">
      <c r="B330" s="23"/>
      <c r="E330" s="34"/>
      <c r="F330" s="35"/>
      <c r="G330" s="34"/>
      <c r="J330" s="23"/>
      <c r="K330" s="23"/>
      <c r="L330" s="33"/>
    </row>
    <row r="331" spans="2:12">
      <c r="B331" s="23"/>
      <c r="E331" s="34"/>
      <c r="F331" s="35"/>
      <c r="G331" s="34"/>
      <c r="J331" s="23"/>
      <c r="K331" s="23"/>
      <c r="L331" s="33"/>
    </row>
    <row r="332" spans="2:12">
      <c r="B332" s="23"/>
      <c r="E332" s="34"/>
      <c r="F332" s="35"/>
      <c r="G332" s="34"/>
      <c r="J332" s="23"/>
      <c r="K332" s="23"/>
      <c r="L332" s="33"/>
    </row>
    <row r="333" spans="2:12">
      <c r="B333" s="23"/>
      <c r="E333" s="34"/>
      <c r="F333" s="35"/>
      <c r="G333" s="34"/>
      <c r="J333" s="23"/>
      <c r="K333" s="23"/>
      <c r="L333" s="33"/>
    </row>
    <row r="334" spans="2:12">
      <c r="B334" s="23"/>
      <c r="E334" s="34"/>
      <c r="F334" s="35"/>
      <c r="G334" s="34"/>
      <c r="J334" s="23"/>
      <c r="K334" s="23"/>
      <c r="L334" s="33"/>
    </row>
    <row r="335" spans="2:12">
      <c r="B335" s="23"/>
      <c r="E335" s="34"/>
      <c r="F335" s="35"/>
      <c r="G335" s="34"/>
      <c r="J335" s="23"/>
      <c r="K335" s="23"/>
      <c r="L335" s="33"/>
    </row>
    <row r="336" spans="2:12">
      <c r="B336" s="23"/>
      <c r="E336" s="34"/>
      <c r="F336" s="35"/>
      <c r="G336" s="34"/>
      <c r="J336" s="23"/>
      <c r="K336" s="23"/>
      <c r="L336" s="33"/>
    </row>
    <row r="337" spans="2:12">
      <c r="B337" s="23"/>
      <c r="E337" s="34"/>
      <c r="F337" s="35"/>
      <c r="G337" s="34"/>
      <c r="J337" s="23"/>
      <c r="K337" s="23"/>
      <c r="L337" s="33"/>
    </row>
    <row r="338" spans="2:12">
      <c r="B338" s="23"/>
      <c r="E338" s="34"/>
      <c r="F338" s="35"/>
      <c r="G338" s="34"/>
      <c r="J338" s="23"/>
      <c r="K338" s="23"/>
      <c r="L338" s="33"/>
    </row>
    <row r="339" spans="2:12">
      <c r="B339" s="23"/>
      <c r="E339" s="34"/>
      <c r="F339" s="35"/>
      <c r="G339" s="34"/>
      <c r="J339" s="23"/>
      <c r="K339" s="23"/>
      <c r="L339" s="33"/>
    </row>
    <row r="340" spans="2:12">
      <c r="B340" s="23"/>
      <c r="E340" s="34"/>
      <c r="F340" s="35"/>
      <c r="G340" s="34"/>
      <c r="J340" s="23"/>
      <c r="K340" s="23"/>
      <c r="L340" s="33"/>
    </row>
    <row r="341" spans="2:12">
      <c r="B341" s="23"/>
      <c r="E341" s="34"/>
      <c r="F341" s="35"/>
      <c r="G341" s="34"/>
      <c r="J341" s="23"/>
      <c r="K341" s="23"/>
      <c r="L341" s="33"/>
    </row>
    <row r="342" spans="2:12">
      <c r="B342" s="23"/>
      <c r="E342" s="34"/>
      <c r="F342" s="35"/>
      <c r="G342" s="34"/>
      <c r="J342" s="23"/>
      <c r="K342" s="23"/>
      <c r="L342" s="33"/>
    </row>
    <row r="343" spans="2:12">
      <c r="B343" s="23"/>
      <c r="E343" s="34"/>
      <c r="F343" s="35"/>
      <c r="G343" s="34"/>
      <c r="J343" s="23"/>
      <c r="K343" s="23"/>
      <c r="L343" s="33"/>
    </row>
    <row r="344" spans="2:12">
      <c r="B344" s="23"/>
      <c r="E344" s="34"/>
      <c r="F344" s="35"/>
      <c r="G344" s="34"/>
      <c r="J344" s="23"/>
      <c r="K344" s="23"/>
      <c r="L344" s="33"/>
    </row>
    <row r="345" spans="2:12">
      <c r="B345" s="23"/>
      <c r="E345" s="34"/>
      <c r="F345" s="35"/>
      <c r="G345" s="34"/>
      <c r="J345" s="23"/>
      <c r="K345" s="23"/>
      <c r="L345" s="33"/>
    </row>
    <row r="346" spans="2:12">
      <c r="B346" s="23"/>
      <c r="E346" s="34"/>
      <c r="F346" s="35"/>
      <c r="G346" s="34"/>
      <c r="J346" s="23"/>
      <c r="K346" s="23"/>
      <c r="L346" s="33"/>
    </row>
    <row r="347" spans="2:12">
      <c r="B347" s="23"/>
      <c r="E347" s="34"/>
      <c r="F347" s="35"/>
      <c r="G347" s="34"/>
      <c r="J347" s="23"/>
      <c r="K347" s="23"/>
      <c r="L347" s="33"/>
    </row>
    <row r="348" spans="2:12">
      <c r="B348" s="23"/>
      <c r="E348" s="34"/>
      <c r="F348" s="35"/>
      <c r="G348" s="34"/>
      <c r="J348" s="23"/>
      <c r="K348" s="23"/>
      <c r="L348" s="33"/>
    </row>
    <row r="349" spans="2:12">
      <c r="B349" s="23"/>
      <c r="E349" s="34"/>
      <c r="F349" s="35"/>
      <c r="G349" s="34"/>
      <c r="J349" s="23"/>
      <c r="K349" s="23"/>
      <c r="L349" s="33"/>
    </row>
    <row r="350" spans="2:12">
      <c r="B350" s="23"/>
      <c r="E350" s="34"/>
      <c r="F350" s="35"/>
      <c r="G350" s="34"/>
      <c r="J350" s="23"/>
      <c r="K350" s="23"/>
      <c r="L350" s="33"/>
    </row>
    <row r="351" spans="2:12">
      <c r="B351" s="23"/>
      <c r="E351" s="34"/>
      <c r="F351" s="35"/>
      <c r="G351" s="34"/>
      <c r="J351" s="23"/>
      <c r="K351" s="23"/>
      <c r="L351" s="33"/>
    </row>
    <row r="352" spans="2:12">
      <c r="B352" s="23"/>
      <c r="E352" s="34"/>
      <c r="F352" s="35"/>
      <c r="G352" s="34"/>
      <c r="J352" s="23"/>
      <c r="K352" s="23"/>
      <c r="L352" s="33"/>
    </row>
    <row r="353" spans="2:12">
      <c r="B353" s="23"/>
      <c r="E353" s="34"/>
      <c r="F353" s="35"/>
      <c r="G353" s="34"/>
      <c r="J353" s="23"/>
      <c r="K353" s="23"/>
      <c r="L353" s="33"/>
    </row>
    <row r="354" spans="2:12">
      <c r="B354" s="23"/>
      <c r="E354" s="34"/>
      <c r="F354" s="35"/>
      <c r="G354" s="34"/>
      <c r="J354" s="23"/>
      <c r="K354" s="23"/>
      <c r="L354" s="33"/>
    </row>
    <row r="355" spans="2:12">
      <c r="B355" s="23"/>
      <c r="E355" s="34"/>
      <c r="F355" s="35"/>
      <c r="G355" s="34"/>
      <c r="J355" s="23"/>
      <c r="K355" s="23"/>
      <c r="L355" s="33"/>
    </row>
    <row r="356" spans="2:12">
      <c r="B356" s="23"/>
      <c r="E356" s="34"/>
      <c r="F356" s="35"/>
      <c r="G356" s="34"/>
      <c r="J356" s="23"/>
      <c r="K356" s="23"/>
      <c r="L356" s="33"/>
    </row>
    <row r="357" spans="2:12">
      <c r="B357" s="23"/>
      <c r="E357" s="34"/>
      <c r="F357" s="35"/>
      <c r="G357" s="34"/>
      <c r="J357" s="23"/>
      <c r="K357" s="23"/>
      <c r="L357" s="33"/>
    </row>
    <row r="358" spans="2:12">
      <c r="B358" s="23"/>
      <c r="E358" s="34"/>
      <c r="F358" s="35"/>
      <c r="G358" s="34"/>
      <c r="J358" s="23"/>
      <c r="K358" s="23"/>
      <c r="L358" s="33"/>
    </row>
    <row r="359" spans="2:12">
      <c r="B359" s="23"/>
      <c r="E359" s="34"/>
      <c r="F359" s="35"/>
      <c r="G359" s="34"/>
      <c r="J359" s="23"/>
      <c r="K359" s="23"/>
      <c r="L359" s="33"/>
    </row>
    <row r="360" spans="2:12">
      <c r="B360" s="23"/>
      <c r="E360" s="34"/>
      <c r="F360" s="35"/>
      <c r="G360" s="34"/>
      <c r="J360" s="23"/>
      <c r="K360" s="23"/>
      <c r="L360" s="33"/>
    </row>
    <row r="361" spans="2:12">
      <c r="B361" s="23"/>
      <c r="E361" s="34"/>
      <c r="F361" s="35"/>
      <c r="G361" s="34"/>
      <c r="J361" s="23"/>
      <c r="K361" s="23"/>
      <c r="L361" s="33"/>
    </row>
    <row r="362" spans="2:12">
      <c r="B362" s="23"/>
      <c r="E362" s="34"/>
      <c r="F362" s="35"/>
      <c r="G362" s="34"/>
      <c r="J362" s="23"/>
      <c r="K362" s="23"/>
      <c r="L362" s="33"/>
    </row>
    <row r="363" spans="2:12">
      <c r="B363" s="23"/>
      <c r="E363" s="34"/>
      <c r="F363" s="35"/>
      <c r="G363" s="34"/>
      <c r="J363" s="23"/>
      <c r="K363" s="23"/>
      <c r="L363" s="33"/>
    </row>
    <row r="364" spans="2:12">
      <c r="B364" s="23"/>
      <c r="E364" s="34"/>
      <c r="F364" s="35"/>
      <c r="G364" s="34"/>
      <c r="J364" s="23"/>
      <c r="K364" s="23"/>
      <c r="L364" s="33"/>
    </row>
    <row r="365" spans="2:12">
      <c r="B365" s="23"/>
      <c r="E365" s="34"/>
      <c r="F365" s="35"/>
      <c r="G365" s="34"/>
      <c r="J365" s="23"/>
      <c r="K365" s="23"/>
      <c r="L365" s="33"/>
    </row>
    <row r="366" spans="2:12">
      <c r="B366" s="23"/>
      <c r="E366" s="34"/>
      <c r="F366" s="35"/>
      <c r="G366" s="34"/>
      <c r="J366" s="23"/>
      <c r="K366" s="23"/>
      <c r="L366" s="33"/>
    </row>
    <row r="367" spans="2:12">
      <c r="B367" s="23"/>
      <c r="E367" s="34"/>
      <c r="F367" s="35"/>
      <c r="G367" s="34"/>
      <c r="J367" s="23"/>
      <c r="K367" s="23"/>
      <c r="L367" s="33"/>
    </row>
    <row r="368" spans="2:12">
      <c r="B368" s="23"/>
      <c r="E368" s="34"/>
      <c r="F368" s="35"/>
      <c r="G368" s="34"/>
      <c r="J368" s="23"/>
      <c r="K368" s="23"/>
      <c r="L368" s="33"/>
    </row>
    <row r="369" spans="2:12">
      <c r="B369" s="23"/>
      <c r="E369" s="34"/>
      <c r="F369" s="35"/>
      <c r="G369" s="34"/>
      <c r="J369" s="23"/>
      <c r="K369" s="23"/>
      <c r="L369" s="33"/>
    </row>
    <row r="370" spans="2:12">
      <c r="B370" s="23"/>
      <c r="E370" s="34"/>
      <c r="F370" s="35"/>
      <c r="G370" s="34"/>
      <c r="J370" s="23"/>
      <c r="K370" s="23"/>
      <c r="L370" s="33"/>
    </row>
    <row r="371" spans="2:12">
      <c r="B371" s="23"/>
      <c r="E371" s="34"/>
      <c r="F371" s="35"/>
      <c r="G371" s="34"/>
      <c r="J371" s="23"/>
      <c r="K371" s="23"/>
      <c r="L371" s="33"/>
    </row>
    <row r="372" spans="2:12">
      <c r="B372" s="23"/>
      <c r="E372" s="34"/>
      <c r="F372" s="35"/>
      <c r="G372" s="34"/>
      <c r="J372" s="23"/>
      <c r="K372" s="23"/>
      <c r="L372" s="33"/>
    </row>
    <row r="373" spans="2:12">
      <c r="B373" s="23"/>
      <c r="E373" s="34"/>
      <c r="F373" s="35"/>
      <c r="G373" s="34"/>
      <c r="J373" s="23"/>
      <c r="K373" s="23"/>
      <c r="L373" s="33"/>
    </row>
    <row r="374" spans="2:12">
      <c r="B374" s="23"/>
      <c r="E374" s="34"/>
      <c r="F374" s="35"/>
      <c r="G374" s="34"/>
      <c r="J374" s="23"/>
      <c r="K374" s="23"/>
      <c r="L374" s="33"/>
    </row>
    <row r="375" spans="2:12">
      <c r="B375" s="23"/>
      <c r="E375" s="34"/>
      <c r="F375" s="35"/>
      <c r="G375" s="34"/>
      <c r="J375" s="23"/>
      <c r="K375" s="23"/>
      <c r="L375" s="33"/>
    </row>
    <row r="376" spans="2:12">
      <c r="B376" s="23"/>
      <c r="E376" s="34"/>
      <c r="F376" s="35"/>
      <c r="G376" s="34"/>
      <c r="J376" s="23"/>
      <c r="K376" s="23"/>
      <c r="L376" s="33"/>
    </row>
    <row r="377" spans="2:12">
      <c r="B377" s="23"/>
      <c r="E377" s="34"/>
      <c r="F377" s="35"/>
      <c r="G377" s="34"/>
      <c r="J377" s="23"/>
      <c r="K377" s="23"/>
      <c r="L377" s="33"/>
    </row>
    <row r="378" spans="2:12">
      <c r="B378" s="23"/>
      <c r="E378" s="34"/>
      <c r="F378" s="35"/>
      <c r="G378" s="34"/>
      <c r="J378" s="23"/>
      <c r="K378" s="23"/>
      <c r="L378" s="33"/>
    </row>
    <row r="379" spans="2:12">
      <c r="B379" s="23"/>
      <c r="E379" s="34"/>
      <c r="F379" s="35"/>
      <c r="G379" s="34"/>
      <c r="J379" s="23"/>
      <c r="K379" s="23"/>
      <c r="L379" s="33"/>
    </row>
    <row r="380" spans="2:12">
      <c r="B380" s="23"/>
      <c r="E380" s="34"/>
      <c r="F380" s="35"/>
      <c r="G380" s="34"/>
      <c r="J380" s="23"/>
      <c r="K380" s="23"/>
      <c r="L380" s="33"/>
    </row>
    <row r="381" spans="2:12">
      <c r="B381" s="23"/>
      <c r="E381" s="34"/>
      <c r="F381" s="35"/>
      <c r="G381" s="34"/>
      <c r="J381" s="23"/>
      <c r="K381" s="23"/>
      <c r="L381" s="33"/>
    </row>
    <row r="382" spans="2:12">
      <c r="B382" s="23"/>
      <c r="E382" s="34"/>
      <c r="F382" s="35"/>
      <c r="G382" s="34"/>
      <c r="J382" s="23"/>
      <c r="K382" s="23"/>
      <c r="L382" s="33"/>
    </row>
    <row r="383" spans="2:12">
      <c r="B383" s="23"/>
      <c r="E383" s="34"/>
      <c r="F383" s="35"/>
      <c r="G383" s="34"/>
      <c r="J383" s="23"/>
      <c r="K383" s="23"/>
      <c r="L383" s="33"/>
    </row>
    <row r="384" spans="2:12">
      <c r="B384" s="23"/>
      <c r="E384" s="34"/>
      <c r="F384" s="35"/>
      <c r="G384" s="34"/>
      <c r="J384" s="23"/>
      <c r="K384" s="23"/>
      <c r="L384" s="33"/>
    </row>
    <row r="385" spans="2:12">
      <c r="B385" s="23"/>
      <c r="E385" s="34"/>
      <c r="F385" s="35"/>
      <c r="G385" s="34"/>
      <c r="J385" s="23"/>
      <c r="K385" s="23"/>
      <c r="L385" s="33"/>
    </row>
    <row r="386" spans="2:12">
      <c r="B386" s="23"/>
      <c r="E386" s="34"/>
      <c r="F386" s="35"/>
      <c r="G386" s="34"/>
      <c r="J386" s="23"/>
      <c r="K386" s="23"/>
      <c r="L386" s="33"/>
    </row>
    <row r="387" spans="2:12">
      <c r="B387" s="23"/>
      <c r="E387" s="34"/>
      <c r="F387" s="35"/>
      <c r="G387" s="34"/>
      <c r="J387" s="23"/>
      <c r="K387" s="23"/>
      <c r="L387" s="33"/>
    </row>
    <row r="388" spans="2:12">
      <c r="B388" s="23"/>
      <c r="E388" s="34"/>
      <c r="F388" s="35"/>
      <c r="G388" s="34"/>
      <c r="J388" s="23"/>
      <c r="K388" s="23"/>
      <c r="L388" s="33"/>
    </row>
    <row r="389" spans="2:12">
      <c r="B389" s="23"/>
      <c r="E389" s="34"/>
      <c r="F389" s="35"/>
      <c r="G389" s="34"/>
      <c r="J389" s="23"/>
      <c r="K389" s="23"/>
      <c r="L389" s="33"/>
    </row>
    <row r="390" spans="2:12">
      <c r="B390" s="23"/>
      <c r="E390" s="34"/>
      <c r="F390" s="35"/>
      <c r="G390" s="34"/>
      <c r="J390" s="23"/>
      <c r="K390" s="23"/>
      <c r="L390" s="33"/>
    </row>
    <row r="391" spans="2:12">
      <c r="B391" s="23"/>
      <c r="E391" s="34"/>
      <c r="F391" s="35"/>
      <c r="G391" s="34"/>
      <c r="J391" s="23"/>
      <c r="K391" s="23"/>
      <c r="L391" s="33"/>
    </row>
    <row r="392" spans="2:12">
      <c r="B392" s="23"/>
      <c r="E392" s="34"/>
      <c r="F392" s="35"/>
      <c r="G392" s="34"/>
      <c r="J392" s="23"/>
      <c r="K392" s="23"/>
      <c r="L392" s="33"/>
    </row>
    <row r="393" spans="2:12">
      <c r="B393" s="23"/>
      <c r="E393" s="34"/>
      <c r="F393" s="35"/>
      <c r="G393" s="34"/>
      <c r="J393" s="23"/>
      <c r="K393" s="23"/>
      <c r="L393" s="33"/>
    </row>
    <row r="394" spans="2:12">
      <c r="B394" s="23"/>
      <c r="E394" s="34"/>
      <c r="F394" s="35"/>
      <c r="G394" s="34"/>
      <c r="J394" s="23"/>
      <c r="K394" s="23"/>
      <c r="L394" s="33"/>
    </row>
    <row r="395" spans="2:12">
      <c r="B395" s="23"/>
      <c r="E395" s="34"/>
      <c r="F395" s="35"/>
      <c r="G395" s="34"/>
      <c r="J395" s="23"/>
      <c r="K395" s="23"/>
      <c r="L395" s="33"/>
    </row>
    <row r="396" spans="2:12">
      <c r="B396" s="23"/>
      <c r="E396" s="34"/>
      <c r="F396" s="35"/>
      <c r="G396" s="34"/>
      <c r="J396" s="23"/>
      <c r="K396" s="23"/>
      <c r="L396" s="33"/>
    </row>
    <row r="397" spans="2:12">
      <c r="B397" s="23"/>
      <c r="E397" s="34"/>
      <c r="F397" s="35"/>
      <c r="G397" s="34"/>
      <c r="J397" s="23"/>
      <c r="K397" s="23"/>
      <c r="L397" s="33"/>
    </row>
    <row r="398" spans="2:12">
      <c r="B398" s="23"/>
      <c r="E398" s="34"/>
      <c r="F398" s="35"/>
      <c r="G398" s="34"/>
      <c r="J398" s="23"/>
      <c r="K398" s="23"/>
      <c r="L398" s="33"/>
    </row>
    <row r="399" spans="2:12">
      <c r="B399" s="23"/>
      <c r="E399" s="34"/>
      <c r="F399" s="35"/>
      <c r="G399" s="34"/>
      <c r="J399" s="23"/>
      <c r="K399" s="23"/>
      <c r="L399" s="33"/>
    </row>
    <row r="400" spans="2:12">
      <c r="B400" s="23"/>
      <c r="E400" s="34"/>
      <c r="F400" s="35"/>
      <c r="G400" s="34"/>
      <c r="J400" s="23"/>
      <c r="K400" s="23"/>
      <c r="L400" s="33"/>
    </row>
    <row r="401" spans="2:12">
      <c r="B401" s="23"/>
      <c r="E401" s="34"/>
      <c r="F401" s="35"/>
      <c r="G401" s="34"/>
      <c r="J401" s="23"/>
      <c r="K401" s="23"/>
      <c r="L401" s="33"/>
    </row>
    <row r="402" spans="2:12">
      <c r="B402" s="23"/>
      <c r="E402" s="34"/>
      <c r="F402" s="35"/>
      <c r="G402" s="34"/>
      <c r="J402" s="23"/>
      <c r="K402" s="23"/>
      <c r="L402" s="33"/>
    </row>
    <row r="403" spans="2:12">
      <c r="B403" s="23"/>
      <c r="E403" s="34"/>
      <c r="F403" s="35"/>
      <c r="G403" s="34"/>
      <c r="J403" s="23"/>
      <c r="K403" s="23"/>
      <c r="L403" s="33"/>
    </row>
    <row r="404" spans="2:12">
      <c r="B404" s="23"/>
      <c r="E404" s="34"/>
      <c r="F404" s="35"/>
      <c r="G404" s="34"/>
      <c r="J404" s="23"/>
      <c r="K404" s="23"/>
      <c r="L404" s="33"/>
    </row>
    <row r="405" spans="2:12">
      <c r="B405" s="23"/>
      <c r="E405" s="34"/>
      <c r="F405" s="35"/>
      <c r="G405" s="34"/>
      <c r="J405" s="23"/>
      <c r="K405" s="23"/>
      <c r="L405" s="33"/>
    </row>
    <row r="406" spans="2:12">
      <c r="B406" s="23"/>
      <c r="E406" s="34"/>
      <c r="F406" s="35"/>
      <c r="G406" s="34"/>
      <c r="J406" s="23"/>
      <c r="K406" s="23"/>
      <c r="L406" s="33"/>
    </row>
    <row r="407" spans="2:12">
      <c r="B407" s="23"/>
      <c r="E407" s="34"/>
      <c r="F407" s="35"/>
      <c r="G407" s="34"/>
      <c r="J407" s="23"/>
      <c r="K407" s="23"/>
      <c r="L407" s="33"/>
    </row>
    <row r="408" spans="2:12">
      <c r="B408" s="23"/>
      <c r="E408" s="34"/>
      <c r="F408" s="35"/>
      <c r="G408" s="34"/>
      <c r="J408" s="23"/>
      <c r="K408" s="23"/>
      <c r="L408" s="33"/>
    </row>
    <row r="409" spans="2:12">
      <c r="B409" s="23"/>
      <c r="E409" s="34"/>
      <c r="F409" s="35"/>
      <c r="G409" s="34"/>
      <c r="J409" s="23"/>
      <c r="K409" s="23"/>
      <c r="L409" s="33"/>
    </row>
    <row r="410" spans="2:12">
      <c r="B410" s="23"/>
      <c r="E410" s="34"/>
      <c r="F410" s="35"/>
      <c r="G410" s="34"/>
      <c r="J410" s="23"/>
      <c r="K410" s="23"/>
      <c r="L410" s="33"/>
    </row>
    <row r="411" spans="2:12">
      <c r="B411" s="23"/>
      <c r="E411" s="34"/>
      <c r="F411" s="35"/>
      <c r="G411" s="34"/>
      <c r="J411" s="23"/>
      <c r="K411" s="23"/>
      <c r="L411" s="33"/>
    </row>
    <row r="412" spans="2:12">
      <c r="B412" s="23"/>
      <c r="E412" s="34"/>
      <c r="F412" s="35"/>
      <c r="G412" s="34"/>
      <c r="J412" s="23"/>
      <c r="K412" s="23"/>
      <c r="L412" s="33"/>
    </row>
    <row r="413" spans="2:12">
      <c r="B413" s="23"/>
      <c r="E413" s="34"/>
      <c r="F413" s="35"/>
      <c r="G413" s="34"/>
      <c r="J413" s="23"/>
      <c r="K413" s="23"/>
      <c r="L413" s="33"/>
    </row>
    <row r="414" spans="2:12">
      <c r="B414" s="23"/>
      <c r="E414" s="34"/>
      <c r="F414" s="35"/>
      <c r="G414" s="34"/>
      <c r="J414" s="23"/>
      <c r="K414" s="23"/>
      <c r="L414" s="33"/>
    </row>
    <row r="415" spans="2:12">
      <c r="B415" s="23"/>
      <c r="E415" s="34"/>
      <c r="F415" s="35"/>
      <c r="G415" s="34"/>
      <c r="J415" s="23"/>
      <c r="K415" s="23"/>
      <c r="L415" s="33"/>
    </row>
    <row r="416" spans="2:12">
      <c r="B416" s="23"/>
      <c r="E416" s="34"/>
      <c r="F416" s="35"/>
      <c r="G416" s="34"/>
      <c r="J416" s="23"/>
      <c r="K416" s="23"/>
      <c r="L416" s="33"/>
    </row>
    <row r="417" spans="2:12">
      <c r="B417" s="23"/>
      <c r="E417" s="34"/>
      <c r="F417" s="35"/>
      <c r="G417" s="34"/>
      <c r="J417" s="23"/>
      <c r="K417" s="23"/>
      <c r="L417" s="33"/>
    </row>
    <row r="418" spans="2:12">
      <c r="B418" s="23"/>
      <c r="E418" s="34"/>
      <c r="F418" s="35"/>
      <c r="G418" s="34"/>
      <c r="J418" s="23"/>
      <c r="K418" s="23"/>
      <c r="L418" s="33"/>
    </row>
    <row r="419" spans="2:12">
      <c r="B419" s="23"/>
      <c r="E419" s="34"/>
      <c r="F419" s="35"/>
      <c r="G419" s="34"/>
      <c r="J419" s="23"/>
      <c r="K419" s="23"/>
      <c r="L419" s="33"/>
    </row>
    <row r="420" spans="2:12">
      <c r="B420" s="23"/>
      <c r="E420" s="34"/>
      <c r="F420" s="35"/>
      <c r="G420" s="34"/>
      <c r="J420" s="23"/>
      <c r="K420" s="23"/>
      <c r="L420" s="33"/>
    </row>
    <row r="421" spans="2:12">
      <c r="B421" s="23"/>
      <c r="E421" s="34"/>
      <c r="F421" s="35"/>
      <c r="G421" s="34"/>
      <c r="J421" s="23"/>
      <c r="K421" s="23"/>
      <c r="L421" s="33"/>
    </row>
    <row r="422" spans="2:12">
      <c r="B422" s="23"/>
      <c r="E422" s="34"/>
      <c r="F422" s="35"/>
      <c r="G422" s="34"/>
      <c r="J422" s="23"/>
      <c r="K422" s="23"/>
      <c r="L422" s="33"/>
    </row>
    <row r="423" spans="2:12">
      <c r="B423" s="23"/>
      <c r="E423" s="34"/>
      <c r="F423" s="35"/>
      <c r="G423" s="34"/>
      <c r="J423" s="23"/>
      <c r="K423" s="23"/>
      <c r="L423" s="33"/>
    </row>
    <row r="424" spans="2:12">
      <c r="B424" s="23"/>
      <c r="E424" s="34"/>
      <c r="F424" s="35"/>
      <c r="G424" s="34"/>
      <c r="J424" s="23"/>
      <c r="K424" s="23"/>
      <c r="L424" s="33"/>
    </row>
    <row r="425" spans="2:12">
      <c r="B425" s="23"/>
      <c r="E425" s="34"/>
      <c r="F425" s="35"/>
      <c r="G425" s="34"/>
      <c r="J425" s="23"/>
      <c r="K425" s="23"/>
      <c r="L425" s="33"/>
    </row>
    <row r="426" spans="2:12">
      <c r="B426" s="23"/>
      <c r="E426" s="34"/>
      <c r="F426" s="35"/>
      <c r="G426" s="34"/>
      <c r="J426" s="23"/>
      <c r="K426" s="23"/>
      <c r="L426" s="33"/>
    </row>
    <row r="427" spans="2:12">
      <c r="B427" s="23"/>
      <c r="E427" s="34"/>
      <c r="F427" s="35"/>
      <c r="G427" s="34"/>
      <c r="J427" s="23"/>
      <c r="K427" s="23"/>
      <c r="L427" s="33"/>
    </row>
    <row r="428" spans="2:12">
      <c r="B428" s="23"/>
      <c r="E428" s="34"/>
      <c r="F428" s="35"/>
      <c r="G428" s="34"/>
      <c r="J428" s="23"/>
      <c r="K428" s="23"/>
      <c r="L428" s="33"/>
    </row>
    <row r="429" spans="2:12">
      <c r="B429" s="23"/>
      <c r="E429" s="34"/>
      <c r="F429" s="35"/>
      <c r="G429" s="34"/>
      <c r="J429" s="23"/>
      <c r="K429" s="23"/>
      <c r="L429" s="33"/>
    </row>
    <row r="430" spans="2:12">
      <c r="B430" s="23"/>
      <c r="E430" s="34"/>
      <c r="F430" s="35"/>
      <c r="G430" s="34"/>
      <c r="J430" s="23"/>
      <c r="K430" s="23"/>
      <c r="L430" s="33"/>
    </row>
    <row r="431" spans="2:12">
      <c r="B431" s="23"/>
      <c r="E431" s="34"/>
      <c r="F431" s="35"/>
      <c r="G431" s="34"/>
      <c r="J431" s="23"/>
      <c r="K431" s="23"/>
      <c r="L431" s="33"/>
    </row>
    <row r="432" spans="2:12">
      <c r="B432" s="23"/>
      <c r="E432" s="34"/>
      <c r="F432" s="35"/>
      <c r="G432" s="34"/>
      <c r="J432" s="23"/>
      <c r="K432" s="23"/>
      <c r="L432" s="33"/>
    </row>
    <row r="433" spans="2:12">
      <c r="B433" s="23"/>
      <c r="E433" s="34"/>
      <c r="F433" s="35"/>
      <c r="G433" s="34"/>
      <c r="J433" s="23"/>
      <c r="K433" s="23"/>
      <c r="L433" s="33"/>
    </row>
    <row r="434" spans="2:12">
      <c r="B434" s="23"/>
      <c r="E434" s="34"/>
      <c r="F434" s="35"/>
      <c r="G434" s="34"/>
      <c r="J434" s="23"/>
      <c r="K434" s="23"/>
      <c r="L434" s="33"/>
    </row>
    <row r="435" spans="2:12">
      <c r="B435" s="23"/>
      <c r="E435" s="34"/>
      <c r="F435" s="35"/>
      <c r="G435" s="34"/>
      <c r="J435" s="23"/>
      <c r="K435" s="23"/>
      <c r="L435" s="33"/>
    </row>
    <row r="436" spans="2:12">
      <c r="B436" s="23"/>
      <c r="E436" s="34"/>
      <c r="F436" s="35"/>
      <c r="G436" s="34"/>
      <c r="J436" s="23"/>
      <c r="K436" s="23"/>
      <c r="L436" s="33"/>
    </row>
    <row r="437" spans="2:12">
      <c r="B437" s="23"/>
      <c r="E437" s="34"/>
      <c r="F437" s="35"/>
      <c r="G437" s="34"/>
      <c r="J437" s="23"/>
      <c r="K437" s="23"/>
      <c r="L437" s="33"/>
    </row>
    <row r="438" spans="2:12">
      <c r="B438" s="23"/>
      <c r="E438" s="34"/>
      <c r="F438" s="35"/>
      <c r="G438" s="34"/>
      <c r="J438" s="23"/>
      <c r="K438" s="23"/>
      <c r="L438" s="33"/>
    </row>
    <row r="439" spans="2:12">
      <c r="B439" s="23"/>
      <c r="E439" s="34"/>
      <c r="F439" s="35"/>
      <c r="G439" s="34"/>
      <c r="J439" s="23"/>
      <c r="K439" s="23"/>
      <c r="L439" s="33"/>
    </row>
    <row r="440" spans="2:12">
      <c r="B440" s="23"/>
      <c r="E440" s="34"/>
      <c r="F440" s="35"/>
      <c r="G440" s="34"/>
      <c r="J440" s="23"/>
      <c r="K440" s="23"/>
      <c r="L440" s="33"/>
    </row>
    <row r="441" spans="2:12">
      <c r="B441" s="23"/>
      <c r="E441" s="34"/>
      <c r="F441" s="35"/>
      <c r="G441" s="34"/>
      <c r="J441" s="23"/>
      <c r="K441" s="23"/>
      <c r="L441" s="33"/>
    </row>
    <row r="442" spans="2:12">
      <c r="B442" s="23"/>
      <c r="E442" s="34"/>
      <c r="F442" s="35"/>
      <c r="G442" s="34"/>
      <c r="J442" s="23"/>
      <c r="K442" s="23"/>
      <c r="L442" s="33"/>
    </row>
    <row r="443" spans="2:12">
      <c r="B443" s="23"/>
      <c r="E443" s="34"/>
      <c r="F443" s="35"/>
      <c r="G443" s="34"/>
      <c r="J443" s="23"/>
      <c r="K443" s="23"/>
      <c r="L443" s="33"/>
    </row>
    <row r="444" spans="2:12">
      <c r="B444" s="23"/>
      <c r="E444" s="34"/>
      <c r="F444" s="35"/>
      <c r="G444" s="34"/>
      <c r="J444" s="23"/>
      <c r="K444" s="23"/>
      <c r="L444" s="33"/>
    </row>
    <row r="445" spans="2:12">
      <c r="B445" s="23"/>
      <c r="E445" s="34"/>
      <c r="F445" s="35"/>
      <c r="G445" s="34"/>
      <c r="J445" s="23"/>
      <c r="K445" s="23"/>
      <c r="L445" s="33"/>
    </row>
    <row r="446" spans="2:12">
      <c r="B446" s="23"/>
      <c r="E446" s="34"/>
      <c r="F446" s="35"/>
      <c r="G446" s="34"/>
      <c r="J446" s="23"/>
      <c r="K446" s="23"/>
      <c r="L446" s="33"/>
    </row>
    <row r="447" spans="2:12">
      <c r="B447" s="23"/>
      <c r="E447" s="34"/>
      <c r="F447" s="35"/>
      <c r="G447" s="34"/>
      <c r="J447" s="23"/>
      <c r="K447" s="23"/>
      <c r="L447" s="33"/>
    </row>
    <row r="448" spans="2:12">
      <c r="B448" s="23"/>
      <c r="E448" s="34"/>
      <c r="F448" s="35"/>
      <c r="G448" s="34"/>
      <c r="J448" s="23"/>
      <c r="K448" s="23"/>
      <c r="L448" s="33"/>
    </row>
    <row r="449" spans="2:12">
      <c r="B449" s="23"/>
      <c r="E449" s="34"/>
      <c r="F449" s="35"/>
      <c r="G449" s="34"/>
      <c r="J449" s="23"/>
      <c r="K449" s="23"/>
      <c r="L449" s="33"/>
    </row>
    <row r="450" spans="2:12">
      <c r="B450" s="23"/>
      <c r="E450" s="34"/>
      <c r="F450" s="35"/>
      <c r="G450" s="34"/>
      <c r="J450" s="23"/>
      <c r="K450" s="23"/>
      <c r="L450" s="33"/>
    </row>
    <row r="451" spans="2:12">
      <c r="B451" s="23"/>
      <c r="E451" s="34"/>
      <c r="F451" s="35"/>
      <c r="G451" s="34"/>
      <c r="J451" s="23"/>
      <c r="K451" s="23"/>
      <c r="L451" s="33"/>
    </row>
    <row r="452" spans="2:12">
      <c r="B452" s="23"/>
      <c r="E452" s="34"/>
      <c r="F452" s="35"/>
      <c r="G452" s="34"/>
      <c r="J452" s="23"/>
      <c r="K452" s="23"/>
      <c r="L452" s="33"/>
    </row>
    <row r="453" spans="2:12">
      <c r="B453" s="23"/>
      <c r="E453" s="34"/>
      <c r="F453" s="35"/>
      <c r="G453" s="34"/>
      <c r="J453" s="23"/>
      <c r="K453" s="23"/>
      <c r="L453" s="33"/>
    </row>
    <row r="454" spans="2:12">
      <c r="B454" s="23"/>
      <c r="E454" s="34"/>
      <c r="F454" s="35"/>
      <c r="G454" s="34"/>
      <c r="J454" s="23"/>
      <c r="K454" s="23"/>
      <c r="L454" s="33"/>
    </row>
    <row r="455" spans="2:12">
      <c r="B455" s="23"/>
      <c r="E455" s="34"/>
      <c r="F455" s="35"/>
      <c r="G455" s="34"/>
      <c r="J455" s="23"/>
      <c r="K455" s="23"/>
      <c r="L455" s="33"/>
    </row>
    <row r="456" spans="2:12">
      <c r="B456" s="23"/>
      <c r="E456" s="34"/>
      <c r="F456" s="35"/>
      <c r="G456" s="34"/>
      <c r="J456" s="23"/>
      <c r="K456" s="23"/>
      <c r="L456" s="33"/>
    </row>
    <row r="457" spans="2:12">
      <c r="B457" s="23"/>
      <c r="E457" s="34"/>
      <c r="F457" s="35"/>
      <c r="G457" s="34"/>
      <c r="J457" s="23"/>
      <c r="K457" s="23"/>
      <c r="L457" s="33"/>
    </row>
    <row r="458" spans="2:12">
      <c r="B458" s="23"/>
      <c r="E458" s="34"/>
      <c r="F458" s="35"/>
      <c r="G458" s="34"/>
      <c r="J458" s="23"/>
      <c r="K458" s="23"/>
      <c r="L458" s="33"/>
    </row>
    <row r="459" spans="2:12">
      <c r="B459" s="23"/>
      <c r="E459" s="34"/>
      <c r="F459" s="35"/>
      <c r="G459" s="34"/>
      <c r="J459" s="23"/>
      <c r="K459" s="23"/>
      <c r="L459" s="33"/>
    </row>
    <row r="460" spans="2:12">
      <c r="B460" s="23"/>
      <c r="E460" s="34"/>
      <c r="F460" s="35"/>
      <c r="G460" s="34"/>
      <c r="J460" s="23"/>
      <c r="K460" s="23"/>
      <c r="L460" s="33"/>
    </row>
    <row r="461" spans="2:12">
      <c r="B461" s="23"/>
      <c r="E461" s="34"/>
      <c r="F461" s="35"/>
      <c r="G461" s="34"/>
      <c r="J461" s="23"/>
      <c r="K461" s="23"/>
      <c r="L461" s="33"/>
    </row>
    <row r="462" spans="2:12">
      <c r="B462" s="23"/>
      <c r="E462" s="34"/>
      <c r="F462" s="35"/>
      <c r="G462" s="34"/>
      <c r="J462" s="23"/>
      <c r="K462" s="23"/>
      <c r="L462" s="33"/>
    </row>
    <row r="463" spans="2:12">
      <c r="B463" s="23"/>
      <c r="E463" s="34"/>
      <c r="F463" s="35"/>
      <c r="G463" s="34"/>
      <c r="J463" s="23"/>
      <c r="K463" s="23"/>
      <c r="L463" s="33"/>
    </row>
    <row r="464" spans="2:12">
      <c r="B464" s="23"/>
      <c r="E464" s="34"/>
      <c r="F464" s="35"/>
      <c r="G464" s="34"/>
      <c r="J464" s="23"/>
      <c r="K464" s="23"/>
      <c r="L464" s="33"/>
    </row>
    <row r="465" spans="2:12">
      <c r="B465" s="23"/>
      <c r="E465" s="34"/>
      <c r="F465" s="35"/>
      <c r="G465" s="34"/>
      <c r="J465" s="23"/>
      <c r="K465" s="23"/>
      <c r="L465" s="33"/>
    </row>
    <row r="466" spans="2:12">
      <c r="B466" s="23"/>
      <c r="E466" s="34"/>
      <c r="F466" s="35"/>
      <c r="G466" s="34"/>
      <c r="J466" s="23"/>
      <c r="K466" s="23"/>
      <c r="L466" s="33"/>
    </row>
    <row r="467" spans="2:12">
      <c r="B467" s="23"/>
      <c r="E467" s="34"/>
      <c r="F467" s="35"/>
      <c r="G467" s="34"/>
      <c r="J467" s="23"/>
      <c r="K467" s="23"/>
      <c r="L467" s="33"/>
    </row>
    <row r="468" spans="2:12">
      <c r="B468" s="23"/>
      <c r="E468" s="34"/>
      <c r="F468" s="35"/>
      <c r="G468" s="34"/>
      <c r="J468" s="23"/>
      <c r="K468" s="23"/>
      <c r="L468" s="33"/>
    </row>
    <row r="469" spans="2:12">
      <c r="B469" s="23"/>
      <c r="E469" s="34"/>
      <c r="F469" s="35"/>
      <c r="G469" s="34"/>
      <c r="J469" s="23"/>
      <c r="K469" s="23"/>
      <c r="L469" s="33"/>
    </row>
    <row r="470" spans="2:12">
      <c r="B470" s="23"/>
      <c r="E470" s="34"/>
      <c r="F470" s="35"/>
      <c r="G470" s="34"/>
      <c r="J470" s="23"/>
      <c r="K470" s="23"/>
      <c r="L470" s="33"/>
    </row>
    <row r="471" spans="2:12">
      <c r="B471" s="23"/>
      <c r="E471" s="34"/>
      <c r="F471" s="35"/>
      <c r="G471" s="34"/>
      <c r="J471" s="23"/>
      <c r="K471" s="23"/>
      <c r="L471" s="33"/>
    </row>
    <row r="472" spans="2:12">
      <c r="B472" s="23"/>
      <c r="E472" s="34"/>
      <c r="F472" s="35"/>
      <c r="G472" s="34"/>
      <c r="J472" s="23"/>
      <c r="K472" s="23"/>
      <c r="L472" s="33"/>
    </row>
    <row r="473" spans="2:12">
      <c r="B473" s="23"/>
      <c r="E473" s="34"/>
      <c r="F473" s="35"/>
      <c r="G473" s="34"/>
      <c r="J473" s="23"/>
      <c r="K473" s="23"/>
      <c r="L473" s="33"/>
    </row>
    <row r="474" spans="2:12">
      <c r="B474" s="23"/>
      <c r="E474" s="34"/>
      <c r="F474" s="35"/>
      <c r="G474" s="34"/>
      <c r="J474" s="23"/>
      <c r="K474" s="23"/>
      <c r="L474" s="33"/>
    </row>
    <row r="475" spans="2:12">
      <c r="B475" s="23"/>
      <c r="E475" s="34"/>
      <c r="F475" s="35"/>
      <c r="G475" s="34"/>
      <c r="J475" s="23"/>
      <c r="K475" s="23"/>
      <c r="L475" s="33"/>
    </row>
    <row r="476" spans="2:12">
      <c r="B476" s="23"/>
      <c r="E476" s="34"/>
      <c r="F476" s="35"/>
      <c r="G476" s="34"/>
      <c r="J476" s="23"/>
      <c r="K476" s="23"/>
      <c r="L476" s="33"/>
    </row>
    <row r="477" spans="2:12">
      <c r="B477" s="23"/>
      <c r="E477" s="34"/>
      <c r="F477" s="35"/>
      <c r="G477" s="34"/>
      <c r="J477" s="23"/>
      <c r="K477" s="23"/>
      <c r="L477" s="33"/>
    </row>
    <row r="478" spans="2:12">
      <c r="B478" s="23"/>
      <c r="E478" s="34"/>
      <c r="F478" s="35"/>
      <c r="G478" s="34"/>
      <c r="J478" s="23"/>
      <c r="K478" s="23"/>
      <c r="L478" s="33"/>
    </row>
    <row r="479" spans="2:12">
      <c r="B479" s="23"/>
      <c r="E479" s="34"/>
      <c r="F479" s="35"/>
      <c r="G479" s="34"/>
      <c r="J479" s="23"/>
      <c r="K479" s="23"/>
      <c r="L479" s="33"/>
    </row>
    <row r="480" spans="2:12">
      <c r="B480" s="23"/>
      <c r="E480" s="34"/>
      <c r="F480" s="35"/>
      <c r="G480" s="34"/>
      <c r="J480" s="23"/>
      <c r="K480" s="23"/>
      <c r="L480" s="33"/>
    </row>
    <row r="481" spans="2:12">
      <c r="B481" s="23"/>
      <c r="E481" s="34"/>
      <c r="F481" s="35"/>
      <c r="G481" s="34"/>
      <c r="J481" s="23"/>
      <c r="K481" s="23"/>
      <c r="L481" s="33"/>
    </row>
    <row r="482" spans="2:12">
      <c r="B482" s="23"/>
      <c r="E482" s="34"/>
      <c r="F482" s="35"/>
      <c r="G482" s="34"/>
      <c r="J482" s="23"/>
      <c r="K482" s="23"/>
      <c r="L482" s="33"/>
    </row>
    <row r="483" spans="2:12">
      <c r="B483" s="23"/>
      <c r="E483" s="34"/>
      <c r="F483" s="35"/>
      <c r="G483" s="34"/>
      <c r="J483" s="23"/>
      <c r="K483" s="23"/>
      <c r="L483" s="33"/>
    </row>
    <row r="484" spans="2:12">
      <c r="B484" s="23"/>
      <c r="E484" s="34"/>
      <c r="F484" s="35"/>
      <c r="G484" s="34"/>
      <c r="J484" s="23"/>
      <c r="K484" s="23"/>
      <c r="L484" s="33"/>
    </row>
    <row r="485" spans="2:12">
      <c r="B485" s="23"/>
      <c r="E485" s="34"/>
      <c r="F485" s="35"/>
      <c r="G485" s="34"/>
      <c r="J485" s="23"/>
      <c r="K485" s="23"/>
      <c r="L485" s="33"/>
    </row>
    <row r="486" spans="2:12">
      <c r="B486" s="23"/>
      <c r="E486" s="34"/>
      <c r="F486" s="35"/>
      <c r="G486" s="34"/>
      <c r="J486" s="23"/>
      <c r="K486" s="23"/>
      <c r="L486" s="33"/>
    </row>
    <row r="487" spans="2:12">
      <c r="B487" s="23"/>
      <c r="E487" s="34"/>
      <c r="F487" s="35"/>
      <c r="G487" s="34"/>
      <c r="J487" s="23"/>
      <c r="K487" s="23"/>
      <c r="L487" s="33"/>
    </row>
    <row r="488" spans="2:12">
      <c r="B488" s="23"/>
      <c r="E488" s="34"/>
      <c r="F488" s="35"/>
      <c r="G488" s="34"/>
      <c r="J488" s="23"/>
      <c r="K488" s="23"/>
      <c r="L488" s="33"/>
    </row>
    <row r="489" spans="2:12">
      <c r="B489" s="23"/>
      <c r="E489" s="34"/>
      <c r="F489" s="35"/>
      <c r="G489" s="34"/>
      <c r="J489" s="23"/>
      <c r="K489" s="23"/>
      <c r="L489" s="33"/>
    </row>
    <row r="490" spans="2:12">
      <c r="B490" s="23"/>
      <c r="E490" s="34"/>
      <c r="F490" s="35"/>
      <c r="G490" s="34"/>
      <c r="J490" s="23"/>
      <c r="K490" s="23"/>
      <c r="L490" s="33"/>
    </row>
    <row r="491" spans="2:12">
      <c r="B491" s="23"/>
      <c r="E491" s="34"/>
      <c r="F491" s="35"/>
      <c r="G491" s="34"/>
      <c r="J491" s="23"/>
      <c r="K491" s="23"/>
      <c r="L491" s="33"/>
    </row>
    <row r="492" spans="2:12">
      <c r="B492" s="23"/>
      <c r="E492" s="34"/>
      <c r="F492" s="35"/>
      <c r="G492" s="34"/>
      <c r="J492" s="23"/>
      <c r="K492" s="23"/>
      <c r="L492" s="33"/>
    </row>
    <row r="493" spans="2:12">
      <c r="B493" s="23"/>
      <c r="E493" s="34"/>
      <c r="F493" s="35"/>
      <c r="G493" s="34"/>
      <c r="J493" s="23"/>
      <c r="K493" s="23"/>
      <c r="L493" s="33"/>
    </row>
    <row r="494" spans="2:12">
      <c r="B494" s="23"/>
      <c r="E494" s="34"/>
      <c r="F494" s="35"/>
      <c r="G494" s="34"/>
      <c r="J494" s="23"/>
      <c r="K494" s="23"/>
      <c r="L494" s="33"/>
    </row>
    <row r="495" spans="2:12">
      <c r="B495" s="23"/>
      <c r="E495" s="34"/>
      <c r="F495" s="35"/>
      <c r="G495" s="34"/>
      <c r="J495" s="23"/>
      <c r="K495" s="23"/>
      <c r="L495" s="33"/>
    </row>
    <row r="496" spans="2:12">
      <c r="B496" s="23"/>
      <c r="E496" s="34"/>
      <c r="F496" s="35"/>
      <c r="G496" s="34"/>
      <c r="J496" s="23"/>
      <c r="K496" s="23"/>
      <c r="L496" s="33"/>
    </row>
    <row r="497" spans="2:12">
      <c r="B497" s="23"/>
      <c r="E497" s="34"/>
      <c r="F497" s="35"/>
      <c r="G497" s="34"/>
      <c r="J497" s="23"/>
      <c r="K497" s="23"/>
      <c r="L497" s="33"/>
    </row>
    <row r="498" spans="2:12">
      <c r="B498" s="23"/>
      <c r="E498" s="34"/>
      <c r="F498" s="35"/>
      <c r="G498" s="34"/>
      <c r="J498" s="23"/>
      <c r="K498" s="23"/>
      <c r="L498" s="33"/>
    </row>
    <row r="499" spans="2:12">
      <c r="B499" s="23"/>
      <c r="E499" s="34"/>
      <c r="F499" s="35"/>
      <c r="G499" s="34"/>
      <c r="J499" s="23"/>
      <c r="K499" s="23"/>
      <c r="L499" s="33"/>
    </row>
    <row r="500" spans="2:12">
      <c r="B500" s="23"/>
      <c r="E500" s="34"/>
      <c r="F500" s="35"/>
      <c r="G500" s="34"/>
      <c r="J500" s="23"/>
      <c r="K500" s="23"/>
      <c r="L500" s="33"/>
    </row>
    <row r="501" spans="2:12">
      <c r="B501" s="23"/>
      <c r="E501" s="34"/>
      <c r="F501" s="35"/>
      <c r="G501" s="34"/>
      <c r="J501" s="23"/>
      <c r="K501" s="23"/>
      <c r="L501" s="33"/>
    </row>
    <row r="502" spans="2:12">
      <c r="B502" s="23"/>
      <c r="E502" s="34"/>
      <c r="F502" s="35"/>
      <c r="G502" s="34"/>
      <c r="J502" s="23"/>
      <c r="K502" s="23"/>
      <c r="L502" s="33"/>
    </row>
    <row r="503" spans="2:12">
      <c r="B503" s="23"/>
      <c r="E503" s="34"/>
      <c r="F503" s="35"/>
      <c r="G503" s="34"/>
      <c r="J503" s="23"/>
      <c r="K503" s="23"/>
      <c r="L503" s="33"/>
    </row>
    <row r="504" spans="2:12">
      <c r="B504" s="23"/>
      <c r="E504" s="34"/>
      <c r="F504" s="35"/>
      <c r="G504" s="34"/>
      <c r="J504" s="23"/>
      <c r="K504" s="23"/>
      <c r="L504" s="33"/>
    </row>
    <row r="505" spans="2:12">
      <c r="B505" s="23"/>
      <c r="E505" s="34"/>
      <c r="F505" s="35"/>
      <c r="G505" s="34"/>
      <c r="J505" s="23"/>
      <c r="K505" s="23"/>
      <c r="L505" s="33"/>
    </row>
    <row r="506" spans="2:12">
      <c r="B506" s="23"/>
      <c r="E506" s="34"/>
      <c r="F506" s="35"/>
      <c r="G506" s="34"/>
      <c r="J506" s="23"/>
      <c r="K506" s="23"/>
      <c r="L506" s="33"/>
    </row>
    <row r="507" spans="2:12">
      <c r="B507" s="23"/>
      <c r="E507" s="34"/>
      <c r="F507" s="35"/>
      <c r="G507" s="34"/>
      <c r="J507" s="23"/>
      <c r="K507" s="23"/>
      <c r="L507" s="33"/>
    </row>
    <row r="508" spans="2:12">
      <c r="B508" s="23"/>
      <c r="E508" s="34"/>
      <c r="F508" s="35"/>
      <c r="G508" s="34"/>
      <c r="J508" s="23"/>
      <c r="K508" s="23"/>
      <c r="L508" s="33"/>
    </row>
    <row r="509" spans="2:12">
      <c r="B509" s="23"/>
      <c r="E509" s="34"/>
      <c r="F509" s="35"/>
      <c r="G509" s="34"/>
      <c r="J509" s="23"/>
      <c r="K509" s="23"/>
      <c r="L509" s="33"/>
    </row>
    <row r="510" spans="2:12">
      <c r="B510" s="23"/>
      <c r="E510" s="34"/>
      <c r="F510" s="35"/>
      <c r="G510" s="34"/>
      <c r="J510" s="23"/>
      <c r="K510" s="23"/>
      <c r="L510" s="33"/>
    </row>
    <row r="511" spans="2:12">
      <c r="B511" s="23"/>
      <c r="E511" s="34"/>
      <c r="F511" s="35"/>
      <c r="G511" s="34"/>
      <c r="J511" s="23"/>
      <c r="K511" s="23"/>
      <c r="L511" s="33"/>
    </row>
    <row r="512" spans="2:12">
      <c r="B512" s="23"/>
      <c r="E512" s="34"/>
      <c r="F512" s="35"/>
      <c r="G512" s="34"/>
      <c r="J512" s="23"/>
      <c r="K512" s="23"/>
      <c r="L512" s="33"/>
    </row>
    <row r="513" spans="2:12">
      <c r="B513" s="23"/>
      <c r="E513" s="34"/>
      <c r="F513" s="35"/>
      <c r="G513" s="34"/>
      <c r="J513" s="23"/>
      <c r="K513" s="23"/>
      <c r="L513" s="33"/>
    </row>
    <row r="514" spans="2:12">
      <c r="B514" s="23"/>
      <c r="E514" s="34"/>
      <c r="F514" s="35"/>
      <c r="G514" s="34"/>
      <c r="J514" s="23"/>
      <c r="K514" s="23"/>
      <c r="L514" s="33"/>
    </row>
    <row r="515" spans="2:12">
      <c r="B515" s="23"/>
      <c r="E515" s="34"/>
      <c r="F515" s="35"/>
      <c r="G515" s="34"/>
      <c r="J515" s="23"/>
      <c r="K515" s="23"/>
      <c r="L515" s="33"/>
    </row>
    <row r="516" spans="2:12">
      <c r="B516" s="23"/>
      <c r="E516" s="34"/>
      <c r="F516" s="35"/>
      <c r="G516" s="34"/>
      <c r="J516" s="23"/>
      <c r="K516" s="23"/>
      <c r="L516" s="33"/>
    </row>
    <row r="517" spans="2:12">
      <c r="B517" s="23"/>
      <c r="E517" s="34"/>
      <c r="F517" s="35"/>
      <c r="G517" s="34"/>
      <c r="J517" s="23"/>
      <c r="K517" s="23"/>
      <c r="L517" s="33"/>
    </row>
    <row r="518" spans="2:12">
      <c r="B518" s="23"/>
      <c r="E518" s="34"/>
      <c r="F518" s="35"/>
      <c r="G518" s="34"/>
      <c r="J518" s="23"/>
      <c r="K518" s="23"/>
      <c r="L518" s="33"/>
    </row>
    <row r="519" spans="2:12">
      <c r="B519" s="23"/>
      <c r="E519" s="34"/>
      <c r="F519" s="35"/>
      <c r="G519" s="34"/>
      <c r="J519" s="23"/>
      <c r="K519" s="23"/>
      <c r="L519" s="33"/>
    </row>
    <row r="520" spans="2:12">
      <c r="B520" s="23"/>
      <c r="E520" s="34"/>
      <c r="F520" s="35"/>
      <c r="G520" s="34"/>
      <c r="J520" s="23"/>
      <c r="K520" s="23"/>
      <c r="L520" s="33"/>
    </row>
    <row r="521" spans="2:12">
      <c r="B521" s="23"/>
      <c r="E521" s="34"/>
      <c r="F521" s="35"/>
      <c r="G521" s="34"/>
      <c r="J521" s="23"/>
      <c r="K521" s="23"/>
      <c r="L521" s="33"/>
    </row>
    <row r="522" spans="2:12">
      <c r="B522" s="23"/>
      <c r="E522" s="34"/>
      <c r="F522" s="35"/>
      <c r="G522" s="34"/>
      <c r="J522" s="23"/>
      <c r="K522" s="23"/>
      <c r="L522" s="33"/>
    </row>
    <row r="523" spans="2:12">
      <c r="B523" s="23"/>
      <c r="E523" s="34"/>
      <c r="F523" s="35"/>
      <c r="G523" s="34"/>
      <c r="J523" s="23"/>
      <c r="K523" s="23"/>
      <c r="L523" s="33"/>
    </row>
    <row r="524" spans="2:12">
      <c r="B524" s="23"/>
      <c r="E524" s="34"/>
      <c r="F524" s="35"/>
      <c r="G524" s="34"/>
      <c r="J524" s="23"/>
      <c r="K524" s="23"/>
      <c r="L524" s="33"/>
    </row>
    <row r="525" spans="2:12">
      <c r="B525" s="23"/>
      <c r="E525" s="34"/>
      <c r="F525" s="35"/>
      <c r="G525" s="34"/>
      <c r="J525" s="23"/>
      <c r="K525" s="23"/>
      <c r="L525" s="33"/>
    </row>
    <row r="526" spans="2:12">
      <c r="B526" s="23"/>
      <c r="E526" s="34"/>
      <c r="F526" s="35"/>
      <c r="G526" s="34"/>
      <c r="J526" s="23"/>
      <c r="K526" s="23"/>
      <c r="L526" s="33"/>
    </row>
    <row r="527" spans="2:12">
      <c r="B527" s="23"/>
      <c r="E527" s="34"/>
      <c r="F527" s="35"/>
      <c r="G527" s="34"/>
      <c r="J527" s="23"/>
      <c r="K527" s="23"/>
      <c r="L527" s="33"/>
    </row>
    <row r="528" spans="2:12">
      <c r="B528" s="23"/>
      <c r="E528" s="34"/>
      <c r="F528" s="35"/>
      <c r="G528" s="34"/>
      <c r="J528" s="23"/>
      <c r="K528" s="23"/>
      <c r="L528" s="33"/>
    </row>
    <row r="529" spans="2:12">
      <c r="B529" s="23"/>
      <c r="E529" s="34"/>
      <c r="F529" s="35"/>
      <c r="G529" s="34"/>
      <c r="J529" s="23"/>
      <c r="K529" s="23"/>
      <c r="L529" s="33"/>
    </row>
    <row r="530" spans="2:12">
      <c r="B530" s="23"/>
      <c r="E530" s="34"/>
      <c r="F530" s="35"/>
      <c r="G530" s="34"/>
      <c r="J530" s="23"/>
      <c r="K530" s="23"/>
      <c r="L530" s="33"/>
    </row>
    <row r="531" spans="2:12">
      <c r="B531" s="23"/>
      <c r="E531" s="34"/>
      <c r="F531" s="35"/>
      <c r="G531" s="34"/>
      <c r="J531" s="23"/>
      <c r="K531" s="23"/>
      <c r="L531" s="33"/>
    </row>
    <row r="532" spans="2:12">
      <c r="B532" s="23"/>
      <c r="E532" s="34"/>
      <c r="F532" s="35"/>
      <c r="G532" s="34"/>
      <c r="J532" s="23"/>
      <c r="K532" s="23"/>
      <c r="L532" s="33"/>
    </row>
    <row r="533" spans="2:12">
      <c r="B533" s="23"/>
      <c r="E533" s="34"/>
      <c r="F533" s="35"/>
      <c r="G533" s="34"/>
      <c r="J533" s="23"/>
      <c r="K533" s="23"/>
      <c r="L533" s="33"/>
    </row>
    <row r="534" spans="2:12">
      <c r="B534" s="23"/>
      <c r="E534" s="34"/>
      <c r="F534" s="35"/>
      <c r="G534" s="34"/>
      <c r="J534" s="23"/>
      <c r="K534" s="23"/>
      <c r="L534" s="33"/>
    </row>
    <row r="535" spans="2:12">
      <c r="B535" s="23"/>
      <c r="E535" s="34"/>
      <c r="F535" s="35"/>
      <c r="G535" s="34"/>
      <c r="J535" s="23"/>
      <c r="K535" s="23"/>
      <c r="L535" s="33"/>
    </row>
    <row r="536" spans="2:12">
      <c r="B536" s="23"/>
      <c r="E536" s="34"/>
      <c r="F536" s="35"/>
      <c r="G536" s="34"/>
      <c r="J536" s="23"/>
      <c r="K536" s="23"/>
      <c r="L536" s="33"/>
    </row>
    <row r="537" spans="2:12">
      <c r="B537" s="23"/>
      <c r="E537" s="34"/>
      <c r="F537" s="35"/>
      <c r="G537" s="34"/>
      <c r="J537" s="23"/>
      <c r="K537" s="23"/>
      <c r="L537" s="33"/>
    </row>
    <row r="538" spans="2:12">
      <c r="B538" s="23"/>
      <c r="E538" s="34"/>
      <c r="F538" s="35"/>
      <c r="G538" s="34"/>
      <c r="J538" s="23"/>
      <c r="K538" s="23"/>
      <c r="L538" s="33"/>
    </row>
    <row r="539" spans="2:12">
      <c r="B539" s="23"/>
      <c r="E539" s="34"/>
      <c r="F539" s="35"/>
      <c r="G539" s="34"/>
      <c r="J539" s="23"/>
      <c r="K539" s="23"/>
      <c r="L539" s="33"/>
    </row>
    <row r="540" spans="2:12">
      <c r="B540" s="23"/>
      <c r="E540" s="34"/>
      <c r="F540" s="35"/>
      <c r="G540" s="34"/>
      <c r="J540" s="23"/>
      <c r="K540" s="23"/>
      <c r="L540" s="33"/>
    </row>
    <row r="541" spans="2:12">
      <c r="B541" s="23"/>
      <c r="E541" s="34"/>
      <c r="F541" s="35"/>
      <c r="G541" s="34"/>
      <c r="J541" s="23"/>
      <c r="K541" s="23"/>
      <c r="L541" s="33"/>
    </row>
    <row r="542" spans="2:12">
      <c r="B542" s="23"/>
      <c r="E542" s="34"/>
      <c r="F542" s="35"/>
      <c r="G542" s="34"/>
      <c r="J542" s="23"/>
      <c r="K542" s="23"/>
      <c r="L542" s="33"/>
    </row>
    <row r="543" spans="2:12">
      <c r="B543" s="23"/>
      <c r="E543" s="34"/>
      <c r="F543" s="35"/>
      <c r="G543" s="34"/>
      <c r="J543" s="23"/>
      <c r="K543" s="23"/>
      <c r="L543" s="33"/>
    </row>
    <row r="544" spans="2:12">
      <c r="B544" s="23"/>
      <c r="E544" s="34"/>
      <c r="F544" s="35"/>
      <c r="G544" s="34"/>
      <c r="J544" s="23"/>
      <c r="K544" s="23"/>
      <c r="L544" s="33"/>
    </row>
    <row r="545" spans="2:12">
      <c r="B545" s="23"/>
      <c r="E545" s="34"/>
      <c r="F545" s="35"/>
      <c r="G545" s="34"/>
      <c r="J545" s="23"/>
      <c r="K545" s="23"/>
      <c r="L545" s="33"/>
    </row>
    <row r="546" spans="2:12">
      <c r="B546" s="23"/>
      <c r="E546" s="34"/>
      <c r="F546" s="35"/>
      <c r="G546" s="34"/>
      <c r="J546" s="23"/>
      <c r="K546" s="23"/>
      <c r="L546" s="33"/>
    </row>
    <row r="547" spans="2:12">
      <c r="B547" s="23"/>
      <c r="E547" s="34"/>
      <c r="F547" s="35"/>
      <c r="G547" s="34"/>
      <c r="J547" s="23"/>
      <c r="K547" s="23"/>
      <c r="L547" s="33"/>
    </row>
    <row r="548" spans="2:12">
      <c r="B548" s="23"/>
      <c r="E548" s="34"/>
      <c r="F548" s="35"/>
      <c r="G548" s="34"/>
      <c r="J548" s="23"/>
      <c r="K548" s="23"/>
      <c r="L548" s="33"/>
    </row>
    <row r="549" spans="2:12">
      <c r="B549" s="23"/>
      <c r="E549" s="34"/>
      <c r="F549" s="35"/>
      <c r="G549" s="34"/>
      <c r="J549" s="23"/>
      <c r="K549" s="23"/>
      <c r="L549" s="33"/>
    </row>
    <row r="550" spans="2:12">
      <c r="B550" s="23"/>
      <c r="E550" s="34"/>
      <c r="F550" s="35"/>
      <c r="G550" s="34"/>
      <c r="J550" s="23"/>
      <c r="K550" s="23"/>
      <c r="L550" s="33"/>
    </row>
    <row r="551" spans="2:12">
      <c r="B551" s="23"/>
      <c r="E551" s="34"/>
      <c r="F551" s="35"/>
      <c r="G551" s="34"/>
      <c r="J551" s="23"/>
      <c r="K551" s="23"/>
      <c r="L551" s="33"/>
    </row>
    <row r="552" spans="2:12">
      <c r="B552" s="23"/>
      <c r="E552" s="34"/>
      <c r="F552" s="35"/>
      <c r="G552" s="34"/>
      <c r="J552" s="23"/>
      <c r="K552" s="23"/>
      <c r="L552" s="33"/>
    </row>
    <row r="553" spans="2:12">
      <c r="B553" s="23"/>
      <c r="E553" s="34"/>
      <c r="F553" s="35"/>
      <c r="G553" s="34"/>
      <c r="J553" s="23"/>
      <c r="K553" s="23"/>
      <c r="L553" s="33"/>
    </row>
    <row r="554" spans="2:12">
      <c r="B554" s="23"/>
      <c r="E554" s="34"/>
      <c r="F554" s="35"/>
      <c r="G554" s="34"/>
      <c r="J554" s="23"/>
      <c r="K554" s="23"/>
      <c r="L554" s="33"/>
    </row>
    <row r="555" spans="2:12">
      <c r="B555" s="23"/>
      <c r="E555" s="34"/>
      <c r="F555" s="35"/>
      <c r="G555" s="34"/>
      <c r="J555" s="23"/>
      <c r="K555" s="23"/>
      <c r="L555" s="33"/>
    </row>
    <row r="556" spans="2:12">
      <c r="B556" s="23"/>
      <c r="E556" s="34"/>
      <c r="F556" s="35"/>
      <c r="G556" s="34"/>
      <c r="J556" s="23"/>
      <c r="K556" s="23"/>
      <c r="L556" s="33"/>
    </row>
    <row r="557" spans="2:12">
      <c r="B557" s="23"/>
      <c r="E557" s="34"/>
      <c r="F557" s="35"/>
      <c r="G557" s="34"/>
      <c r="J557" s="23"/>
      <c r="K557" s="23"/>
      <c r="L557" s="33"/>
    </row>
    <row r="558" spans="2:12">
      <c r="B558" s="23"/>
      <c r="E558" s="34"/>
      <c r="F558" s="35"/>
      <c r="G558" s="34"/>
      <c r="J558" s="23"/>
      <c r="K558" s="23"/>
      <c r="L558" s="33"/>
    </row>
    <row r="559" spans="2:12">
      <c r="B559" s="23"/>
      <c r="E559" s="34"/>
      <c r="F559" s="35"/>
      <c r="G559" s="34"/>
      <c r="J559" s="23"/>
      <c r="K559" s="23"/>
      <c r="L559" s="33"/>
    </row>
    <row r="560" spans="2:12">
      <c r="B560" s="23"/>
      <c r="E560" s="34"/>
      <c r="F560" s="35"/>
      <c r="G560" s="34"/>
      <c r="J560" s="23"/>
      <c r="K560" s="23"/>
      <c r="L560" s="33"/>
    </row>
    <row r="561" spans="2:12">
      <c r="B561" s="23"/>
      <c r="E561" s="34"/>
      <c r="F561" s="35"/>
      <c r="G561" s="34"/>
      <c r="J561" s="23"/>
      <c r="K561" s="23"/>
      <c r="L561" s="33"/>
    </row>
    <row r="562" spans="2:12">
      <c r="B562" s="23"/>
      <c r="E562" s="34"/>
      <c r="F562" s="35"/>
      <c r="G562" s="34"/>
      <c r="J562" s="23"/>
      <c r="K562" s="23"/>
      <c r="L562" s="33"/>
    </row>
    <row r="563" spans="2:12">
      <c r="B563" s="23"/>
      <c r="E563" s="34"/>
      <c r="F563" s="35"/>
      <c r="G563" s="34"/>
      <c r="J563" s="23"/>
      <c r="K563" s="23"/>
      <c r="L563" s="33"/>
    </row>
    <row r="564" spans="2:12">
      <c r="B564" s="23"/>
      <c r="E564" s="34"/>
      <c r="F564" s="35"/>
      <c r="G564" s="34"/>
      <c r="J564" s="23"/>
      <c r="K564" s="23"/>
      <c r="L564" s="33"/>
    </row>
    <row r="565" spans="2:12">
      <c r="B565" s="23"/>
      <c r="E565" s="34"/>
      <c r="F565" s="35"/>
      <c r="G565" s="34"/>
      <c r="J565" s="23"/>
      <c r="K565" s="23"/>
      <c r="L565" s="33"/>
    </row>
    <row r="566" spans="2:12">
      <c r="B566" s="23"/>
      <c r="E566" s="34"/>
      <c r="F566" s="35"/>
      <c r="G566" s="34"/>
      <c r="J566" s="23"/>
      <c r="K566" s="23"/>
      <c r="L566" s="33"/>
    </row>
    <row r="567" spans="2:12">
      <c r="B567" s="23"/>
      <c r="E567" s="34"/>
      <c r="F567" s="35"/>
      <c r="G567" s="34"/>
      <c r="J567" s="23"/>
      <c r="K567" s="23"/>
      <c r="L567" s="33"/>
    </row>
    <row r="568" spans="2:12">
      <c r="B568" s="23"/>
      <c r="E568" s="34"/>
      <c r="F568" s="35"/>
      <c r="G568" s="34"/>
      <c r="J568" s="23"/>
      <c r="K568" s="23"/>
      <c r="L568" s="33"/>
    </row>
    <row r="569" spans="2:12">
      <c r="B569" s="23"/>
      <c r="E569" s="34"/>
      <c r="F569" s="35"/>
      <c r="G569" s="34"/>
      <c r="J569" s="23"/>
      <c r="K569" s="23"/>
      <c r="L569" s="33"/>
    </row>
    <row r="570" spans="2:12">
      <c r="B570" s="23"/>
      <c r="E570" s="34"/>
      <c r="F570" s="35"/>
      <c r="G570" s="34"/>
      <c r="J570" s="23"/>
      <c r="K570" s="23"/>
      <c r="L570" s="33"/>
    </row>
    <row r="571" spans="2:12">
      <c r="B571" s="23"/>
      <c r="E571" s="34"/>
      <c r="F571" s="35"/>
      <c r="G571" s="34"/>
      <c r="J571" s="23"/>
      <c r="K571" s="23"/>
      <c r="L571" s="33"/>
    </row>
    <row r="572" spans="2:12">
      <c r="B572" s="23"/>
      <c r="E572" s="34"/>
      <c r="F572" s="35"/>
      <c r="G572" s="34"/>
      <c r="J572" s="23"/>
      <c r="K572" s="23"/>
      <c r="L572" s="33"/>
    </row>
    <row r="573" spans="2:12">
      <c r="B573" s="23"/>
      <c r="E573" s="34"/>
      <c r="F573" s="35"/>
      <c r="G573" s="34"/>
      <c r="J573" s="23"/>
      <c r="K573" s="23"/>
      <c r="L573" s="33"/>
    </row>
    <row r="574" spans="2:12">
      <c r="B574" s="23"/>
      <c r="E574" s="34"/>
      <c r="F574" s="35"/>
      <c r="G574" s="34"/>
      <c r="J574" s="23"/>
      <c r="K574" s="23"/>
      <c r="L574" s="33"/>
    </row>
    <row r="575" spans="2:12">
      <c r="B575" s="23"/>
      <c r="E575" s="34"/>
      <c r="F575" s="35"/>
      <c r="G575" s="34"/>
      <c r="J575" s="23"/>
      <c r="K575" s="23"/>
      <c r="L575" s="33"/>
    </row>
    <row r="576" spans="2:12">
      <c r="B576" s="23"/>
      <c r="E576" s="34"/>
      <c r="F576" s="35"/>
      <c r="G576" s="34"/>
      <c r="J576" s="23"/>
      <c r="K576" s="23"/>
      <c r="L576" s="33"/>
    </row>
    <row r="577" spans="2:12">
      <c r="B577" s="23"/>
      <c r="E577" s="34"/>
      <c r="F577" s="35"/>
      <c r="G577" s="34"/>
      <c r="J577" s="23"/>
      <c r="K577" s="23"/>
      <c r="L577" s="33"/>
    </row>
    <row r="578" spans="2:12">
      <c r="B578" s="23"/>
      <c r="E578" s="34"/>
      <c r="F578" s="35"/>
      <c r="G578" s="34"/>
      <c r="J578" s="23"/>
      <c r="K578" s="23"/>
      <c r="L578" s="33"/>
    </row>
    <row r="579" spans="2:12">
      <c r="B579" s="23"/>
      <c r="E579" s="34"/>
      <c r="F579" s="35"/>
      <c r="G579" s="34"/>
      <c r="J579" s="23"/>
      <c r="K579" s="23"/>
      <c r="L579" s="33"/>
    </row>
    <row r="580" spans="2:12">
      <c r="B580" s="23"/>
      <c r="E580" s="34"/>
      <c r="F580" s="35"/>
      <c r="G580" s="34"/>
      <c r="J580" s="23"/>
      <c r="K580" s="23"/>
      <c r="L580" s="33"/>
    </row>
    <row r="581" spans="2:12">
      <c r="B581" s="23"/>
      <c r="E581" s="34"/>
      <c r="F581" s="35"/>
      <c r="G581" s="34"/>
      <c r="J581" s="23"/>
      <c r="K581" s="23"/>
      <c r="L581" s="33"/>
    </row>
    <row r="582" spans="2:12">
      <c r="B582" s="23"/>
      <c r="E582" s="34"/>
      <c r="F582" s="35"/>
      <c r="G582" s="34"/>
      <c r="J582" s="23"/>
      <c r="K582" s="23"/>
      <c r="L582" s="33"/>
    </row>
    <row r="583" spans="2:12">
      <c r="B583" s="23"/>
      <c r="E583" s="34"/>
      <c r="F583" s="35"/>
      <c r="G583" s="34"/>
      <c r="J583" s="23"/>
      <c r="K583" s="23"/>
      <c r="L583" s="33"/>
    </row>
    <row r="584" spans="2:12">
      <c r="B584" s="23"/>
      <c r="E584" s="34"/>
      <c r="F584" s="35"/>
      <c r="G584" s="34"/>
      <c r="J584" s="23"/>
      <c r="K584" s="23"/>
      <c r="L584" s="33"/>
    </row>
    <row r="585" spans="2:12">
      <c r="B585" s="23"/>
      <c r="E585" s="34"/>
      <c r="F585" s="35"/>
      <c r="G585" s="34"/>
      <c r="J585" s="23"/>
      <c r="K585" s="23"/>
      <c r="L585" s="33"/>
    </row>
    <row r="586" spans="2:12">
      <c r="B586" s="23"/>
      <c r="E586" s="34"/>
      <c r="F586" s="35"/>
      <c r="G586" s="34"/>
      <c r="J586" s="23"/>
      <c r="K586" s="23"/>
      <c r="L586" s="33"/>
    </row>
    <row r="587" spans="2:12">
      <c r="B587" s="23"/>
      <c r="E587" s="34"/>
      <c r="F587" s="35"/>
      <c r="G587" s="34"/>
      <c r="J587" s="23"/>
      <c r="K587" s="23"/>
      <c r="L587" s="33"/>
    </row>
    <row r="588" spans="2:12">
      <c r="B588" s="23"/>
      <c r="E588" s="34"/>
      <c r="F588" s="35"/>
      <c r="G588" s="34"/>
      <c r="J588" s="23"/>
      <c r="K588" s="23"/>
      <c r="L588" s="33"/>
    </row>
    <row r="589" spans="2:12">
      <c r="B589" s="23"/>
      <c r="E589" s="34"/>
      <c r="F589" s="35"/>
      <c r="G589" s="34"/>
      <c r="J589" s="23"/>
      <c r="K589" s="23"/>
      <c r="L589" s="33"/>
    </row>
    <row r="590" spans="2:12">
      <c r="B590" s="23"/>
      <c r="E590" s="34"/>
      <c r="F590" s="35"/>
      <c r="G590" s="34"/>
      <c r="J590" s="23"/>
      <c r="K590" s="23"/>
      <c r="L590" s="33"/>
    </row>
    <row r="591" spans="2:12">
      <c r="B591" s="23"/>
      <c r="E591" s="34"/>
      <c r="F591" s="35"/>
      <c r="G591" s="34"/>
      <c r="J591" s="23"/>
      <c r="K591" s="23"/>
      <c r="L591" s="33"/>
    </row>
    <row r="592" spans="2:12">
      <c r="B592" s="23"/>
      <c r="E592" s="34"/>
      <c r="F592" s="35"/>
      <c r="G592" s="34"/>
      <c r="J592" s="23"/>
      <c r="K592" s="23"/>
      <c r="L592" s="33"/>
    </row>
    <row r="593" spans="2:12">
      <c r="B593" s="23"/>
      <c r="E593" s="34"/>
      <c r="F593" s="35"/>
      <c r="G593" s="34"/>
      <c r="J593" s="23"/>
      <c r="K593" s="23"/>
      <c r="L593" s="33"/>
    </row>
    <row r="594" spans="2:12">
      <c r="B594" s="23"/>
      <c r="E594" s="34"/>
      <c r="F594" s="35"/>
      <c r="G594" s="34"/>
      <c r="J594" s="23"/>
      <c r="K594" s="23"/>
      <c r="L594" s="33"/>
    </row>
    <row r="595" spans="2:12">
      <c r="B595" s="23"/>
      <c r="E595" s="34"/>
      <c r="F595" s="35"/>
      <c r="G595" s="34"/>
      <c r="J595" s="23"/>
      <c r="K595" s="23"/>
      <c r="L595" s="33"/>
    </row>
    <row r="596" spans="2:12">
      <c r="B596" s="23"/>
      <c r="E596" s="34"/>
      <c r="F596" s="35"/>
      <c r="G596" s="34"/>
      <c r="J596" s="23"/>
      <c r="K596" s="23"/>
      <c r="L596" s="33"/>
    </row>
    <row r="597" spans="2:12">
      <c r="B597" s="23"/>
      <c r="E597" s="34"/>
      <c r="F597" s="35"/>
      <c r="G597" s="34"/>
      <c r="J597" s="23"/>
      <c r="K597" s="23"/>
      <c r="L597" s="33"/>
    </row>
    <row r="598" spans="2:12">
      <c r="B598" s="23"/>
      <c r="E598" s="34"/>
      <c r="F598" s="35"/>
      <c r="G598" s="34"/>
      <c r="J598" s="23"/>
      <c r="K598" s="23"/>
      <c r="L598" s="33"/>
    </row>
    <row r="599" spans="2:12">
      <c r="B599" s="23"/>
      <c r="E599" s="34"/>
      <c r="F599" s="35"/>
      <c r="G599" s="34"/>
      <c r="J599" s="23"/>
      <c r="K599" s="23"/>
      <c r="L599" s="33"/>
    </row>
    <row r="600" spans="2:12">
      <c r="B600" s="23"/>
      <c r="E600" s="34"/>
      <c r="F600" s="35"/>
      <c r="G600" s="34"/>
      <c r="J600" s="23"/>
      <c r="K600" s="23"/>
      <c r="L600" s="33"/>
    </row>
    <row r="601" spans="2:12">
      <c r="B601" s="23"/>
      <c r="E601" s="34"/>
      <c r="F601" s="35"/>
      <c r="G601" s="34"/>
      <c r="J601" s="23"/>
      <c r="K601" s="23"/>
      <c r="L601" s="33"/>
    </row>
    <row r="602" spans="2:12">
      <c r="B602" s="23"/>
      <c r="E602" s="34"/>
      <c r="F602" s="35"/>
      <c r="G602" s="34"/>
      <c r="J602" s="23"/>
      <c r="K602" s="23"/>
      <c r="L602" s="33"/>
    </row>
    <row r="603" spans="2:12">
      <c r="B603" s="23"/>
      <c r="E603" s="34"/>
      <c r="F603" s="35"/>
      <c r="G603" s="34"/>
    </row>
    <row r="604" spans="2:12">
      <c r="B604" s="23"/>
      <c r="E604" s="34"/>
      <c r="F604" s="35"/>
      <c r="G604" s="34"/>
    </row>
    <row r="605" spans="2:12">
      <c r="E605" s="36"/>
      <c r="F605" s="37"/>
      <c r="G605" s="38">
        <f>SUM(G75:G604)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3:J600 K75:M600" xr:uid="{E59AA49E-AE3F-429D-B221-8925469B8FBE}">
      <formula1>Taxes</formula1>
    </dataValidation>
    <dataValidation type="list" allowBlank="1" showInputMessage="1" showErrorMessage="1" sqref="C75:C603" xr:uid="{E4FC106F-42CA-45C2-BB5B-B918BD478FF3}">
      <formula1>Compadjust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A5CD-4A92-4BBC-80EA-A06ECBFE9910}">
  <dimension ref="A1:D52"/>
  <sheetViews>
    <sheetView showGridLines="0" workbookViewId="0">
      <selection activeCell="C21" sqref="C21"/>
    </sheetView>
  </sheetViews>
  <sheetFormatPr baseColWidth="10" defaultColWidth="12.6328125" defaultRowHeight="14.5"/>
  <cols>
    <col min="1" max="1" width="13.08984375" style="2" bestFit="1" customWidth="1"/>
    <col min="2" max="2" width="58.1796875" style="2" bestFit="1" customWidth="1"/>
    <col min="3" max="3" width="11.26953125" style="2" bestFit="1" customWidth="1"/>
    <col min="4" max="4" width="19.1796875" style="2" bestFit="1" customWidth="1"/>
    <col min="5" max="16384" width="12.6328125" style="2"/>
  </cols>
  <sheetData>
    <row r="1" spans="1:4" ht="18.5">
      <c r="A1" s="45" t="s">
        <v>165</v>
      </c>
    </row>
    <row r="4" spans="1:4" ht="15" thickBot="1">
      <c r="A4" s="46" t="s">
        <v>166</v>
      </c>
      <c r="B4" s="46" t="s">
        <v>167</v>
      </c>
      <c r="C4" s="47" t="s">
        <v>168</v>
      </c>
      <c r="D4" s="47" t="s">
        <v>169</v>
      </c>
    </row>
    <row r="5" spans="1:4">
      <c r="A5" s="48" t="s">
        <v>166</v>
      </c>
      <c r="B5" s="21" t="s">
        <v>170</v>
      </c>
      <c r="C5" s="21" t="s">
        <v>171</v>
      </c>
      <c r="D5" s="49">
        <v>44234584783</v>
      </c>
    </row>
    <row r="6" spans="1:4">
      <c r="A6" s="50" t="s">
        <v>166</v>
      </c>
      <c r="B6" s="23" t="s">
        <v>172</v>
      </c>
      <c r="C6" s="23" t="s">
        <v>171</v>
      </c>
      <c r="D6" s="51">
        <v>38609458811</v>
      </c>
    </row>
    <row r="7" spans="1:4">
      <c r="A7" s="48" t="s">
        <v>166</v>
      </c>
      <c r="B7" s="21" t="s">
        <v>173</v>
      </c>
      <c r="C7" s="21" t="s">
        <v>171</v>
      </c>
      <c r="D7" s="49">
        <v>28138567670</v>
      </c>
    </row>
    <row r="8" spans="1:4">
      <c r="A8" s="50" t="s">
        <v>166</v>
      </c>
      <c r="B8" s="23" t="s">
        <v>174</v>
      </c>
      <c r="C8" s="23" t="s">
        <v>171</v>
      </c>
      <c r="D8" s="51">
        <v>21748807053</v>
      </c>
    </row>
    <row r="9" spans="1:4">
      <c r="A9" s="48" t="s">
        <v>166</v>
      </c>
      <c r="B9" s="21" t="s">
        <v>175</v>
      </c>
      <c r="C9" s="21" t="s">
        <v>171</v>
      </c>
      <c r="D9" s="49">
        <v>19151238336</v>
      </c>
    </row>
    <row r="10" spans="1:4">
      <c r="A10" s="50" t="s">
        <v>166</v>
      </c>
      <c r="B10" s="23" t="s">
        <v>176</v>
      </c>
      <c r="C10" s="23" t="s">
        <v>171</v>
      </c>
      <c r="D10" s="51">
        <v>15136188150</v>
      </c>
    </row>
    <row r="11" spans="1:4">
      <c r="A11" s="48" t="s">
        <v>166</v>
      </c>
      <c r="B11" s="21" t="s">
        <v>34</v>
      </c>
      <c r="C11" s="21" t="s">
        <v>171</v>
      </c>
      <c r="D11" s="49">
        <v>10255139290</v>
      </c>
    </row>
    <row r="12" spans="1:4">
      <c r="A12" s="50" t="s">
        <v>166</v>
      </c>
      <c r="B12" s="23" t="s">
        <v>177</v>
      </c>
      <c r="C12" s="23" t="s">
        <v>171</v>
      </c>
      <c r="D12" s="51">
        <v>8630222289</v>
      </c>
    </row>
    <row r="13" spans="1:4">
      <c r="A13" s="48" t="s">
        <v>166</v>
      </c>
      <c r="B13" s="21" t="s">
        <v>178</v>
      </c>
      <c r="C13" s="21" t="s">
        <v>179</v>
      </c>
      <c r="D13" s="49">
        <v>5605902667</v>
      </c>
    </row>
    <row r="14" spans="1:4">
      <c r="A14" s="50" t="s">
        <v>166</v>
      </c>
      <c r="B14" s="23" t="s">
        <v>180</v>
      </c>
      <c r="C14" s="23" t="s">
        <v>179</v>
      </c>
      <c r="D14" s="51">
        <v>5212725011</v>
      </c>
    </row>
    <row r="15" spans="1:4">
      <c r="A15" s="48" t="s">
        <v>166</v>
      </c>
      <c r="B15" s="21" t="s">
        <v>181</v>
      </c>
      <c r="C15" s="21" t="s">
        <v>171</v>
      </c>
      <c r="D15" s="49">
        <v>2686439289</v>
      </c>
    </row>
    <row r="16" spans="1:4">
      <c r="A16" s="50" t="s">
        <v>166</v>
      </c>
      <c r="B16" s="23" t="s">
        <v>182</v>
      </c>
      <c r="C16" s="23" t="s">
        <v>171</v>
      </c>
      <c r="D16" s="51">
        <v>1968931215</v>
      </c>
    </row>
    <row r="17" spans="1:4">
      <c r="A17" s="48" t="s">
        <v>166</v>
      </c>
      <c r="B17" s="21" t="s">
        <v>80</v>
      </c>
      <c r="C17" s="21" t="s">
        <v>179</v>
      </c>
      <c r="D17" s="49">
        <v>1118467337</v>
      </c>
    </row>
    <row r="18" spans="1:4">
      <c r="A18" s="50" t="s">
        <v>166</v>
      </c>
      <c r="B18" s="23" t="s">
        <v>183</v>
      </c>
      <c r="C18" s="23" t="s">
        <v>171</v>
      </c>
      <c r="D18" s="51">
        <v>984568825</v>
      </c>
    </row>
    <row r="19" spans="1:4">
      <c r="A19" s="48" t="s">
        <v>166</v>
      </c>
      <c r="B19" s="21" t="s">
        <v>184</v>
      </c>
      <c r="C19" s="21" t="s">
        <v>171</v>
      </c>
      <c r="D19" s="49">
        <v>600208134</v>
      </c>
    </row>
    <row r="20" spans="1:4">
      <c r="A20" s="50" t="s">
        <v>166</v>
      </c>
      <c r="B20" s="23" t="s">
        <v>185</v>
      </c>
      <c r="C20" s="23" t="s">
        <v>171</v>
      </c>
      <c r="D20" s="51">
        <v>442462213</v>
      </c>
    </row>
    <row r="21" spans="1:4">
      <c r="A21" s="48" t="s">
        <v>166</v>
      </c>
      <c r="B21" s="21" t="s">
        <v>186</v>
      </c>
      <c r="C21" s="21" t="s">
        <v>171</v>
      </c>
      <c r="D21" s="49">
        <v>325953598</v>
      </c>
    </row>
    <row r="22" spans="1:4">
      <c r="A22" s="50" t="s">
        <v>166</v>
      </c>
      <c r="B22" s="23" t="s">
        <v>187</v>
      </c>
      <c r="C22" s="23" t="s">
        <v>171</v>
      </c>
      <c r="D22" s="51">
        <v>264592193</v>
      </c>
    </row>
    <row r="23" spans="1:4">
      <c r="A23" s="48" t="s">
        <v>166</v>
      </c>
      <c r="B23" s="21" t="s">
        <v>188</v>
      </c>
      <c r="C23" s="21" t="s">
        <v>171</v>
      </c>
      <c r="D23" s="49">
        <v>228384877</v>
      </c>
    </row>
    <row r="24" spans="1:4">
      <c r="A24" s="50" t="s">
        <v>166</v>
      </c>
      <c r="B24" s="23" t="s">
        <v>189</v>
      </c>
      <c r="C24" s="23" t="s">
        <v>179</v>
      </c>
      <c r="D24" s="51">
        <v>215033076</v>
      </c>
    </row>
    <row r="25" spans="1:4">
      <c r="A25" s="48" t="s">
        <v>190</v>
      </c>
      <c r="B25" s="21" t="s">
        <v>191</v>
      </c>
      <c r="C25" s="21" t="s">
        <v>171</v>
      </c>
      <c r="D25" s="49">
        <v>101960437</v>
      </c>
    </row>
    <row r="26" spans="1:4">
      <c r="A26" s="50" t="s">
        <v>166</v>
      </c>
      <c r="B26" s="23" t="s">
        <v>54</v>
      </c>
      <c r="C26" s="23" t="s">
        <v>179</v>
      </c>
      <c r="D26" s="51">
        <v>78890701</v>
      </c>
    </row>
    <row r="27" spans="1:4">
      <c r="A27" s="48" t="s">
        <v>166</v>
      </c>
      <c r="B27" s="21" t="s">
        <v>44</v>
      </c>
      <c r="C27" s="21" t="s">
        <v>171</v>
      </c>
      <c r="D27" s="49">
        <v>69720482</v>
      </c>
    </row>
    <row r="28" spans="1:4">
      <c r="A28" s="50" t="s">
        <v>190</v>
      </c>
      <c r="B28" s="23" t="s">
        <v>192</v>
      </c>
      <c r="C28" s="23" t="s">
        <v>171</v>
      </c>
      <c r="D28" s="51">
        <v>54262151</v>
      </c>
    </row>
    <row r="29" spans="1:4">
      <c r="A29" s="48" t="s">
        <v>190</v>
      </c>
      <c r="B29" s="21" t="s">
        <v>193</v>
      </c>
      <c r="C29" s="21" t="s">
        <v>171</v>
      </c>
      <c r="D29" s="49">
        <v>30384605</v>
      </c>
    </row>
    <row r="30" spans="1:4">
      <c r="A30" s="50" t="s">
        <v>190</v>
      </c>
      <c r="B30" s="23" t="s">
        <v>194</v>
      </c>
      <c r="C30" s="23" t="s">
        <v>171</v>
      </c>
      <c r="D30" s="51">
        <v>19625859</v>
      </c>
    </row>
    <row r="31" spans="1:4">
      <c r="A31" s="48" t="s">
        <v>190</v>
      </c>
      <c r="B31" s="21" t="s">
        <v>195</v>
      </c>
      <c r="C31" s="21" t="s">
        <v>171</v>
      </c>
      <c r="D31" s="49">
        <v>18260000</v>
      </c>
    </row>
    <row r="32" spans="1:4">
      <c r="A32" s="50" t="s">
        <v>166</v>
      </c>
      <c r="B32" s="23" t="s">
        <v>196</v>
      </c>
      <c r="C32" s="23" t="s">
        <v>179</v>
      </c>
      <c r="D32" s="51">
        <v>16155665</v>
      </c>
    </row>
    <row r="33" spans="1:4">
      <c r="A33" s="48" t="s">
        <v>166</v>
      </c>
      <c r="B33" s="21" t="s">
        <v>197</v>
      </c>
      <c r="C33" s="21" t="s">
        <v>171</v>
      </c>
      <c r="D33" s="49">
        <v>14576371</v>
      </c>
    </row>
    <row r="34" spans="1:4">
      <c r="A34" s="50" t="s">
        <v>190</v>
      </c>
      <c r="B34" s="23" t="s">
        <v>198</v>
      </c>
      <c r="C34" s="23" t="s">
        <v>179</v>
      </c>
      <c r="D34" s="51">
        <v>10890177</v>
      </c>
    </row>
    <row r="35" spans="1:4">
      <c r="A35" s="48" t="s">
        <v>190</v>
      </c>
      <c r="B35" s="21" t="s">
        <v>199</v>
      </c>
      <c r="C35" s="21" t="s">
        <v>171</v>
      </c>
      <c r="D35" s="49">
        <v>10000000</v>
      </c>
    </row>
    <row r="36" spans="1:4">
      <c r="A36" s="50" t="s">
        <v>190</v>
      </c>
      <c r="B36" s="23" t="s">
        <v>200</v>
      </c>
      <c r="C36" s="23" t="s">
        <v>171</v>
      </c>
      <c r="D36" s="51">
        <v>9960000</v>
      </c>
    </row>
    <row r="37" spans="1:4">
      <c r="A37" s="48" t="s">
        <v>190</v>
      </c>
      <c r="B37" s="21" t="s">
        <v>201</v>
      </c>
      <c r="C37" s="21" t="s">
        <v>171</v>
      </c>
      <c r="D37" s="49">
        <v>9002000</v>
      </c>
    </row>
    <row r="38" spans="1:4">
      <c r="A38" s="50" t="s">
        <v>190</v>
      </c>
      <c r="B38" s="23" t="s">
        <v>202</v>
      </c>
      <c r="C38" s="23" t="s">
        <v>171</v>
      </c>
      <c r="D38" s="51">
        <v>7698820</v>
      </c>
    </row>
    <row r="39" spans="1:4">
      <c r="A39" s="48" t="s">
        <v>190</v>
      </c>
      <c r="B39" s="21" t="s">
        <v>203</v>
      </c>
      <c r="C39" s="21" t="s">
        <v>179</v>
      </c>
      <c r="D39" s="49">
        <v>6903342</v>
      </c>
    </row>
    <row r="40" spans="1:4">
      <c r="A40" s="50" t="s">
        <v>190</v>
      </c>
      <c r="B40" s="23" t="s">
        <v>204</v>
      </c>
      <c r="C40" s="23" t="s">
        <v>171</v>
      </c>
      <c r="D40" s="51">
        <v>5000000</v>
      </c>
    </row>
    <row r="41" spans="1:4">
      <c r="A41" s="48" t="s">
        <v>166</v>
      </c>
      <c r="B41" s="21" t="s">
        <v>28</v>
      </c>
      <c r="C41" s="21" t="s">
        <v>171</v>
      </c>
      <c r="D41" s="49">
        <v>3959306</v>
      </c>
    </row>
    <row r="42" spans="1:4">
      <c r="A42" s="50" t="s">
        <v>190</v>
      </c>
      <c r="B42" s="23" t="s">
        <v>205</v>
      </c>
      <c r="C42" s="23" t="s">
        <v>171</v>
      </c>
      <c r="D42" s="51">
        <v>3600000</v>
      </c>
    </row>
    <row r="43" spans="1:4">
      <c r="A43" s="48" t="s">
        <v>190</v>
      </c>
      <c r="B43" s="21" t="s">
        <v>206</v>
      </c>
      <c r="C43" s="21" t="s">
        <v>171</v>
      </c>
      <c r="D43" s="49">
        <v>1310000</v>
      </c>
    </row>
    <row r="44" spans="1:4">
      <c r="A44" s="50" t="s">
        <v>190</v>
      </c>
      <c r="B44" s="23" t="s">
        <v>207</v>
      </c>
      <c r="C44" s="23" t="s">
        <v>171</v>
      </c>
      <c r="D44" s="51">
        <v>1000000</v>
      </c>
    </row>
    <row r="45" spans="1:4">
      <c r="A45" s="48" t="s">
        <v>190</v>
      </c>
      <c r="B45" s="21" t="s">
        <v>208</v>
      </c>
      <c r="C45" s="21" t="s">
        <v>171</v>
      </c>
      <c r="D45" s="49">
        <v>1000000</v>
      </c>
    </row>
    <row r="46" spans="1:4">
      <c r="A46" s="50" t="s">
        <v>190</v>
      </c>
      <c r="B46" s="23" t="s">
        <v>209</v>
      </c>
      <c r="C46" s="23" t="s">
        <v>171</v>
      </c>
      <c r="D46" s="51">
        <v>976000</v>
      </c>
    </row>
    <row r="47" spans="1:4">
      <c r="A47" s="48" t="s">
        <v>190</v>
      </c>
      <c r="B47" s="21" t="s">
        <v>210</v>
      </c>
      <c r="C47" s="21" t="s">
        <v>171</v>
      </c>
      <c r="D47" s="49">
        <v>954529</v>
      </c>
    </row>
    <row r="48" spans="1:4">
      <c r="A48" s="50" t="s">
        <v>190</v>
      </c>
      <c r="B48" s="23" t="s">
        <v>211</v>
      </c>
      <c r="C48" s="23" t="s">
        <v>171</v>
      </c>
      <c r="D48" s="51">
        <v>812453</v>
      </c>
    </row>
    <row r="49" spans="1:4">
      <c r="A49" s="48" t="s">
        <v>190</v>
      </c>
      <c r="B49" s="21" t="s">
        <v>212</v>
      </c>
      <c r="C49" s="21" t="s">
        <v>171</v>
      </c>
      <c r="D49" s="49">
        <v>400000</v>
      </c>
    </row>
    <row r="50" spans="1:4">
      <c r="A50" s="50" t="s">
        <v>166</v>
      </c>
      <c r="B50" s="23" t="s">
        <v>22</v>
      </c>
      <c r="C50" s="23" t="s">
        <v>171</v>
      </c>
      <c r="D50" s="51">
        <v>268326</v>
      </c>
    </row>
    <row r="51" spans="1:4">
      <c r="A51" s="48" t="s">
        <v>190</v>
      </c>
      <c r="B51" s="21" t="s">
        <v>213</v>
      </c>
      <c r="C51" s="21" t="s">
        <v>171</v>
      </c>
      <c r="D51" s="49">
        <v>148500</v>
      </c>
    </row>
    <row r="52" spans="1:4">
      <c r="D52" s="52">
        <f>SUM(D5:D51)</f>
        <v>206035594541</v>
      </c>
    </row>
  </sheetData>
  <autoFilter ref="A4:D50" xr:uid="{00000000-0009-0000-0000-000028000000}">
    <sortState xmlns:xlrd2="http://schemas.microsoft.com/office/spreadsheetml/2017/richdata2" ref="A5:D50">
      <sortCondition descending="1" ref="D4:D50"/>
    </sortState>
  </autoFilter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F490-4CB2-4306-B9AE-4343988DF2F7}">
  <dimension ref="A1:D37"/>
  <sheetViews>
    <sheetView showGridLines="0" workbookViewId="0">
      <selection activeCell="C21" sqref="C21"/>
    </sheetView>
  </sheetViews>
  <sheetFormatPr baseColWidth="10" defaultColWidth="12.6328125" defaultRowHeight="14.5"/>
  <cols>
    <col min="1" max="1" width="12.6328125" style="2"/>
    <col min="2" max="2" width="57.08984375" style="2" bestFit="1" customWidth="1"/>
    <col min="3" max="3" width="10.1796875" style="2" bestFit="1" customWidth="1"/>
    <col min="4" max="4" width="17.54296875" style="2" bestFit="1" customWidth="1"/>
    <col min="5" max="16384" width="12.6328125" style="2"/>
  </cols>
  <sheetData>
    <row r="1" spans="1:4" ht="18.5">
      <c r="A1" s="45" t="s">
        <v>214</v>
      </c>
    </row>
    <row r="3" spans="1:4">
      <c r="B3" s="53" t="s">
        <v>215</v>
      </c>
      <c r="C3" s="53" t="s">
        <v>216</v>
      </c>
      <c r="D3" s="54" t="s">
        <v>217</v>
      </c>
    </row>
    <row r="4" spans="1:4">
      <c r="B4" s="21" t="s">
        <v>75</v>
      </c>
      <c r="C4" s="21" t="s">
        <v>218</v>
      </c>
      <c r="D4" s="49">
        <v>33300367940</v>
      </c>
    </row>
    <row r="5" spans="1:4">
      <c r="B5" s="23" t="s">
        <v>102</v>
      </c>
      <c r="C5" s="23" t="s">
        <v>101</v>
      </c>
      <c r="D5" s="51">
        <v>30931290624</v>
      </c>
    </row>
    <row r="6" spans="1:4">
      <c r="B6" s="21" t="s">
        <v>104</v>
      </c>
      <c r="C6" s="21" t="s">
        <v>101</v>
      </c>
      <c r="D6" s="49">
        <v>27581034842</v>
      </c>
    </row>
    <row r="7" spans="1:4">
      <c r="B7" s="23" t="s">
        <v>103</v>
      </c>
      <c r="C7" s="23" t="s">
        <v>101</v>
      </c>
      <c r="D7" s="51">
        <v>27393173182</v>
      </c>
    </row>
    <row r="8" spans="1:4">
      <c r="B8" s="21" t="s">
        <v>119</v>
      </c>
      <c r="C8" s="21" t="s">
        <v>118</v>
      </c>
      <c r="D8" s="49">
        <v>16780820173</v>
      </c>
    </row>
    <row r="9" spans="1:4">
      <c r="B9" s="23" t="s">
        <v>115</v>
      </c>
      <c r="C9" s="23" t="s">
        <v>101</v>
      </c>
      <c r="D9" s="51">
        <v>15485804055</v>
      </c>
    </row>
    <row r="10" spans="1:4">
      <c r="B10" s="21" t="s">
        <v>117</v>
      </c>
      <c r="C10" s="21" t="s">
        <v>101</v>
      </c>
      <c r="D10" s="49">
        <v>11904382771</v>
      </c>
    </row>
    <row r="11" spans="1:4">
      <c r="B11" s="23" t="s">
        <v>105</v>
      </c>
      <c r="C11" s="23" t="s">
        <v>101</v>
      </c>
      <c r="D11" s="51">
        <v>11749799259</v>
      </c>
    </row>
    <row r="12" spans="1:4">
      <c r="B12" s="21" t="s">
        <v>122</v>
      </c>
      <c r="C12" s="21" t="s">
        <v>118</v>
      </c>
      <c r="D12" s="49">
        <v>8817052020</v>
      </c>
    </row>
    <row r="13" spans="1:4">
      <c r="B13" s="23" t="s">
        <v>107</v>
      </c>
      <c r="C13" s="23" t="s">
        <v>101</v>
      </c>
      <c r="D13" s="51">
        <v>5961093409</v>
      </c>
    </row>
    <row r="14" spans="1:4">
      <c r="B14" s="21" t="s">
        <v>114</v>
      </c>
      <c r="C14" s="21" t="s">
        <v>101</v>
      </c>
      <c r="D14" s="49">
        <v>4860336829</v>
      </c>
    </row>
    <row r="15" spans="1:4">
      <c r="B15" s="23" t="s">
        <v>97</v>
      </c>
      <c r="C15" s="23" t="s">
        <v>90</v>
      </c>
      <c r="D15" s="51">
        <v>3819240585</v>
      </c>
    </row>
    <row r="16" spans="1:4">
      <c r="B16" s="21" t="s">
        <v>109</v>
      </c>
      <c r="C16" s="21" t="s">
        <v>101</v>
      </c>
      <c r="D16" s="49">
        <v>2462727250</v>
      </c>
    </row>
    <row r="17" spans="2:4">
      <c r="B17" s="23" t="s">
        <v>100</v>
      </c>
      <c r="C17" s="23" t="s">
        <v>90</v>
      </c>
      <c r="D17" s="51">
        <v>1772164835</v>
      </c>
    </row>
    <row r="18" spans="2:4">
      <c r="B18" s="21" t="s">
        <v>219</v>
      </c>
      <c r="C18" s="21" t="s">
        <v>118</v>
      </c>
      <c r="D18" s="49">
        <v>749662194</v>
      </c>
    </row>
    <row r="19" spans="2:4">
      <c r="B19" s="23" t="s">
        <v>92</v>
      </c>
      <c r="C19" s="23" t="s">
        <v>90</v>
      </c>
      <c r="D19" s="51">
        <v>700210162</v>
      </c>
    </row>
    <row r="20" spans="2:4">
      <c r="B20" s="21" t="s">
        <v>139</v>
      </c>
      <c r="C20" s="21" t="s">
        <v>101</v>
      </c>
      <c r="D20" s="49">
        <v>450101540</v>
      </c>
    </row>
    <row r="21" spans="2:4">
      <c r="B21" s="23" t="s">
        <v>108</v>
      </c>
      <c r="C21" s="23" t="s">
        <v>101</v>
      </c>
      <c r="D21" s="51">
        <v>363390654</v>
      </c>
    </row>
    <row r="22" spans="2:4">
      <c r="B22" s="21" t="s">
        <v>110</v>
      </c>
      <c r="C22" s="21" t="s">
        <v>101</v>
      </c>
      <c r="D22" s="49">
        <v>317670088</v>
      </c>
    </row>
    <row r="23" spans="2:4">
      <c r="B23" s="23" t="s">
        <v>79</v>
      </c>
      <c r="C23" s="23" t="s">
        <v>218</v>
      </c>
      <c r="D23" s="51">
        <v>307336802</v>
      </c>
    </row>
    <row r="24" spans="2:4">
      <c r="B24" s="21" t="s">
        <v>128</v>
      </c>
      <c r="C24" s="21" t="s">
        <v>127</v>
      </c>
      <c r="D24" s="49">
        <v>123506250</v>
      </c>
    </row>
    <row r="25" spans="2:4">
      <c r="B25" s="23" t="s">
        <v>132</v>
      </c>
      <c r="C25" s="23" t="s">
        <v>131</v>
      </c>
      <c r="D25" s="51">
        <v>67227396</v>
      </c>
    </row>
    <row r="26" spans="2:4">
      <c r="B26" s="21" t="s">
        <v>77</v>
      </c>
      <c r="C26" s="21" t="s">
        <v>218</v>
      </c>
      <c r="D26" s="49">
        <v>27198440</v>
      </c>
    </row>
    <row r="27" spans="2:4">
      <c r="B27" s="23" t="s">
        <v>220</v>
      </c>
      <c r="C27" s="23" t="s">
        <v>131</v>
      </c>
      <c r="D27" s="51">
        <v>27126500</v>
      </c>
    </row>
    <row r="28" spans="2:4">
      <c r="B28" s="21" t="s">
        <v>221</v>
      </c>
      <c r="C28" s="21" t="s">
        <v>118</v>
      </c>
      <c r="D28" s="49">
        <v>19156477</v>
      </c>
    </row>
    <row r="29" spans="2:4">
      <c r="B29" s="23" t="s">
        <v>222</v>
      </c>
      <c r="C29" s="23" t="s">
        <v>118</v>
      </c>
      <c r="D29" s="51">
        <v>16123969</v>
      </c>
    </row>
    <row r="30" spans="2:4">
      <c r="B30" s="21" t="s">
        <v>223</v>
      </c>
      <c r="C30" s="21" t="s">
        <v>118</v>
      </c>
      <c r="D30" s="49">
        <v>15213334</v>
      </c>
    </row>
    <row r="31" spans="2:4">
      <c r="B31" s="23" t="s">
        <v>91</v>
      </c>
      <c r="C31" s="23" t="s">
        <v>90</v>
      </c>
      <c r="D31" s="51">
        <v>14646000</v>
      </c>
    </row>
    <row r="32" spans="2:4">
      <c r="B32" s="21" t="s">
        <v>129</v>
      </c>
      <c r="C32" s="21" t="s">
        <v>127</v>
      </c>
      <c r="D32" s="49">
        <v>9413650</v>
      </c>
    </row>
    <row r="33" spans="2:4">
      <c r="B33" s="23" t="s">
        <v>224</v>
      </c>
      <c r="C33" s="23" t="s">
        <v>118</v>
      </c>
      <c r="D33" s="51">
        <v>5742004</v>
      </c>
    </row>
    <row r="34" spans="2:4">
      <c r="B34" s="21" t="s">
        <v>225</v>
      </c>
      <c r="C34" s="21" t="s">
        <v>118</v>
      </c>
      <c r="D34" s="49">
        <v>1615307</v>
      </c>
    </row>
    <row r="35" spans="2:4">
      <c r="B35" s="23" t="s">
        <v>139</v>
      </c>
      <c r="C35" s="23" t="s">
        <v>127</v>
      </c>
      <c r="D35" s="51">
        <v>960000</v>
      </c>
    </row>
    <row r="36" spans="2:4">
      <c r="B36" s="21" t="s">
        <v>226</v>
      </c>
      <c r="C36" s="21" t="s">
        <v>118</v>
      </c>
      <c r="D36" s="49">
        <v>6000</v>
      </c>
    </row>
    <row r="37" spans="2:4">
      <c r="D37" s="52">
        <f>SUM(D4:D36)</f>
        <v>206035594541</v>
      </c>
    </row>
  </sheetData>
  <autoFilter ref="B3:D36" xr:uid="{00000000-0009-0000-0000-000029000000}">
    <sortState xmlns:xlrd2="http://schemas.microsoft.com/office/spreadsheetml/2017/richdata2" ref="B4:D36">
      <sortCondition descending="1" ref="D3:D36"/>
    </sortState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E872-9D3C-428C-86E8-A626383EDEB4}">
  <dimension ref="A1:E108"/>
  <sheetViews>
    <sheetView showGridLines="0" workbookViewId="0">
      <selection activeCell="C21" sqref="C21"/>
    </sheetView>
  </sheetViews>
  <sheetFormatPr baseColWidth="10" defaultColWidth="12.36328125" defaultRowHeight="12"/>
  <cols>
    <col min="1" max="1" width="17" style="3" customWidth="1"/>
    <col min="2" max="2" width="14.54296875" style="3" bestFit="1" customWidth="1"/>
    <col min="3" max="3" width="65.7265625" style="3" bestFit="1" customWidth="1"/>
    <col min="4" max="4" width="12.36328125" style="3" bestFit="1" customWidth="1"/>
    <col min="5" max="5" width="21.90625" style="3" bestFit="1" customWidth="1"/>
    <col min="6" max="16384" width="12.36328125" style="3"/>
  </cols>
  <sheetData>
    <row r="1" spans="1:5" ht="18.5">
      <c r="A1" s="45" t="s">
        <v>227</v>
      </c>
    </row>
    <row r="3" spans="1:5" ht="12.5" thickBot="1">
      <c r="B3" s="55" t="s">
        <v>166</v>
      </c>
      <c r="C3" s="55" t="s">
        <v>167</v>
      </c>
      <c r="D3" s="56" t="s">
        <v>168</v>
      </c>
      <c r="E3" s="56" t="s">
        <v>169</v>
      </c>
    </row>
    <row r="4" spans="1:5">
      <c r="B4" s="57" t="s">
        <v>166</v>
      </c>
      <c r="C4" s="58" t="s">
        <v>170</v>
      </c>
      <c r="D4" s="58" t="s">
        <v>171</v>
      </c>
      <c r="E4" s="59">
        <v>46051735847</v>
      </c>
    </row>
    <row r="5" spans="1:5">
      <c r="B5" s="60" t="s">
        <v>166</v>
      </c>
      <c r="C5" s="61" t="s">
        <v>172</v>
      </c>
      <c r="D5" s="61" t="s">
        <v>171</v>
      </c>
      <c r="E5" s="62">
        <v>40680300902.010002</v>
      </c>
    </row>
    <row r="6" spans="1:5">
      <c r="B6" s="57" t="s">
        <v>166</v>
      </c>
      <c r="C6" s="58" t="s">
        <v>173</v>
      </c>
      <c r="D6" s="58" t="s">
        <v>171</v>
      </c>
      <c r="E6" s="59">
        <v>30229625443</v>
      </c>
    </row>
    <row r="7" spans="1:5">
      <c r="B7" s="60" t="s">
        <v>166</v>
      </c>
      <c r="C7" s="61" t="s">
        <v>174</v>
      </c>
      <c r="D7" s="61" t="s">
        <v>171</v>
      </c>
      <c r="E7" s="62">
        <v>22938757681</v>
      </c>
    </row>
    <row r="8" spans="1:5">
      <c r="B8" s="57" t="s">
        <v>166</v>
      </c>
      <c r="C8" s="58" t="s">
        <v>175</v>
      </c>
      <c r="D8" s="58" t="s">
        <v>171</v>
      </c>
      <c r="E8" s="59">
        <v>19987410126</v>
      </c>
    </row>
    <row r="9" spans="1:5">
      <c r="B9" s="60" t="s">
        <v>166</v>
      </c>
      <c r="C9" s="61" t="s">
        <v>176</v>
      </c>
      <c r="D9" s="61" t="s">
        <v>171</v>
      </c>
      <c r="E9" s="62">
        <v>16367069467</v>
      </c>
    </row>
    <row r="10" spans="1:5">
      <c r="B10" s="57" t="s">
        <v>166</v>
      </c>
      <c r="C10" s="58" t="s">
        <v>34</v>
      </c>
      <c r="D10" s="58" t="s">
        <v>171</v>
      </c>
      <c r="E10" s="59">
        <v>10283432540</v>
      </c>
    </row>
    <row r="11" spans="1:5">
      <c r="B11" s="60" t="s">
        <v>166</v>
      </c>
      <c r="C11" s="61" t="s">
        <v>177</v>
      </c>
      <c r="D11" s="61" t="s">
        <v>171</v>
      </c>
      <c r="E11" s="62">
        <v>10160688030</v>
      </c>
    </row>
    <row r="12" spans="1:5">
      <c r="B12" s="57" t="s">
        <v>166</v>
      </c>
      <c r="C12" s="58" t="s">
        <v>178</v>
      </c>
      <c r="D12" s="58" t="s">
        <v>179</v>
      </c>
      <c r="E12" s="59">
        <v>6931573759.75</v>
      </c>
    </row>
    <row r="13" spans="1:5">
      <c r="B13" s="60" t="s">
        <v>166</v>
      </c>
      <c r="C13" s="61" t="s">
        <v>180</v>
      </c>
      <c r="D13" s="61" t="s">
        <v>179</v>
      </c>
      <c r="E13" s="62">
        <v>6809470562.3663998</v>
      </c>
    </row>
    <row r="14" spans="1:5">
      <c r="B14" s="57" t="s">
        <v>166</v>
      </c>
      <c r="C14" s="58" t="s">
        <v>181</v>
      </c>
      <c r="D14" s="58" t="s">
        <v>171</v>
      </c>
      <c r="E14" s="59">
        <v>2943430244</v>
      </c>
    </row>
    <row r="15" spans="1:5">
      <c r="B15" s="60" t="s">
        <v>166</v>
      </c>
      <c r="C15" s="61" t="s">
        <v>182</v>
      </c>
      <c r="D15" s="61" t="s">
        <v>171</v>
      </c>
      <c r="E15" s="62">
        <v>2197997633</v>
      </c>
    </row>
    <row r="16" spans="1:5">
      <c r="B16" s="57" t="s">
        <v>166</v>
      </c>
      <c r="C16" s="58" t="s">
        <v>183</v>
      </c>
      <c r="D16" s="58" t="s">
        <v>171</v>
      </c>
      <c r="E16" s="59">
        <v>1233460296</v>
      </c>
    </row>
    <row r="17" spans="2:5">
      <c r="B17" s="60" t="s">
        <v>166</v>
      </c>
      <c r="C17" s="61" t="s">
        <v>80</v>
      </c>
      <c r="D17" s="61" t="s">
        <v>179</v>
      </c>
      <c r="E17" s="62">
        <v>1157029356</v>
      </c>
    </row>
    <row r="18" spans="2:5">
      <c r="B18" s="57" t="s">
        <v>166</v>
      </c>
      <c r="C18" s="58" t="s">
        <v>184</v>
      </c>
      <c r="D18" s="58" t="s">
        <v>171</v>
      </c>
      <c r="E18" s="59">
        <v>1046730748</v>
      </c>
    </row>
    <row r="19" spans="2:5">
      <c r="B19" s="60" t="s">
        <v>166</v>
      </c>
      <c r="C19" s="61" t="s">
        <v>185</v>
      </c>
      <c r="D19" s="61" t="s">
        <v>171</v>
      </c>
      <c r="E19" s="62">
        <v>559077429</v>
      </c>
    </row>
    <row r="20" spans="2:5">
      <c r="B20" s="57" t="s">
        <v>166</v>
      </c>
      <c r="C20" s="58" t="s">
        <v>54</v>
      </c>
      <c r="D20" s="58" t="s">
        <v>179</v>
      </c>
      <c r="E20" s="59">
        <v>434214864</v>
      </c>
    </row>
    <row r="21" spans="2:5">
      <c r="B21" s="60" t="s">
        <v>166</v>
      </c>
      <c r="C21" s="61" t="s">
        <v>186</v>
      </c>
      <c r="D21" s="61" t="s">
        <v>171</v>
      </c>
      <c r="E21" s="62">
        <v>408739490</v>
      </c>
    </row>
    <row r="22" spans="2:5">
      <c r="B22" s="57" t="s">
        <v>166</v>
      </c>
      <c r="C22" s="58" t="s">
        <v>189</v>
      </c>
      <c r="D22" s="58" t="s">
        <v>179</v>
      </c>
      <c r="E22" s="59">
        <v>325987624</v>
      </c>
    </row>
    <row r="23" spans="2:5">
      <c r="B23" s="60" t="s">
        <v>166</v>
      </c>
      <c r="C23" s="61" t="s">
        <v>187</v>
      </c>
      <c r="D23" s="61" t="s">
        <v>171</v>
      </c>
      <c r="E23" s="62">
        <v>320596066</v>
      </c>
    </row>
    <row r="24" spans="2:5">
      <c r="B24" s="57" t="s">
        <v>166</v>
      </c>
      <c r="C24" s="58" t="s">
        <v>188</v>
      </c>
      <c r="D24" s="58" t="s">
        <v>171</v>
      </c>
      <c r="E24" s="59">
        <v>272114310</v>
      </c>
    </row>
    <row r="25" spans="2:5">
      <c r="B25" s="60" t="s">
        <v>166</v>
      </c>
      <c r="C25" s="61" t="s">
        <v>52</v>
      </c>
      <c r="D25" s="61" t="s">
        <v>179</v>
      </c>
      <c r="E25" s="62">
        <v>268407520</v>
      </c>
    </row>
    <row r="26" spans="2:5">
      <c r="B26" s="57" t="s">
        <v>166</v>
      </c>
      <c r="C26" s="58" t="s">
        <v>196</v>
      </c>
      <c r="D26" s="58" t="s">
        <v>179</v>
      </c>
      <c r="E26" s="59">
        <v>225054569</v>
      </c>
    </row>
    <row r="27" spans="2:5">
      <c r="B27" s="60" t="s">
        <v>166</v>
      </c>
      <c r="C27" s="61" t="s">
        <v>228</v>
      </c>
      <c r="D27" s="61" t="s">
        <v>171</v>
      </c>
      <c r="E27" s="62">
        <v>124024235</v>
      </c>
    </row>
    <row r="28" spans="2:5">
      <c r="B28" s="57" t="s">
        <v>190</v>
      </c>
      <c r="C28" s="58" t="s">
        <v>229</v>
      </c>
      <c r="D28" s="58" t="s">
        <v>179</v>
      </c>
      <c r="E28" s="59">
        <v>106515100</v>
      </c>
    </row>
    <row r="29" spans="2:5">
      <c r="B29" s="60" t="s">
        <v>190</v>
      </c>
      <c r="C29" s="61" t="s">
        <v>204</v>
      </c>
      <c r="D29" s="61" t="s">
        <v>171</v>
      </c>
      <c r="E29" s="62">
        <v>103000000</v>
      </c>
    </row>
    <row r="30" spans="2:5">
      <c r="B30" s="57" t="s">
        <v>166</v>
      </c>
      <c r="C30" s="58" t="s">
        <v>44</v>
      </c>
      <c r="D30" s="58" t="s">
        <v>171</v>
      </c>
      <c r="E30" s="59">
        <v>102125019</v>
      </c>
    </row>
    <row r="31" spans="2:5">
      <c r="B31" s="60" t="s">
        <v>190</v>
      </c>
      <c r="C31" s="61" t="s">
        <v>191</v>
      </c>
      <c r="D31" s="61" t="s">
        <v>171</v>
      </c>
      <c r="E31" s="62">
        <v>101960437</v>
      </c>
    </row>
    <row r="32" spans="2:5">
      <c r="B32" s="57" t="s">
        <v>190</v>
      </c>
      <c r="C32" s="58" t="s">
        <v>230</v>
      </c>
      <c r="D32" s="58" t="s">
        <v>179</v>
      </c>
      <c r="E32" s="59">
        <v>88118176</v>
      </c>
    </row>
    <row r="33" spans="2:5">
      <c r="B33" s="60" t="s">
        <v>166</v>
      </c>
      <c r="C33" s="61" t="s">
        <v>231</v>
      </c>
      <c r="D33" s="61" t="s">
        <v>171</v>
      </c>
      <c r="E33" s="62">
        <v>72502000</v>
      </c>
    </row>
    <row r="34" spans="2:5">
      <c r="B34" s="57" t="s">
        <v>190</v>
      </c>
      <c r="C34" s="58" t="s">
        <v>193</v>
      </c>
      <c r="D34" s="58" t="s">
        <v>171</v>
      </c>
      <c r="E34" s="59">
        <v>62115362</v>
      </c>
    </row>
    <row r="35" spans="2:5">
      <c r="B35" s="60" t="s">
        <v>190</v>
      </c>
      <c r="C35" s="61" t="s">
        <v>192</v>
      </c>
      <c r="D35" s="61" t="s">
        <v>171</v>
      </c>
      <c r="E35" s="62">
        <v>54262151</v>
      </c>
    </row>
    <row r="36" spans="2:5">
      <c r="B36" s="57" t="s">
        <v>190</v>
      </c>
      <c r="C36" s="58" t="s">
        <v>232</v>
      </c>
      <c r="D36" s="58" t="s">
        <v>171</v>
      </c>
      <c r="E36" s="59">
        <v>43117350</v>
      </c>
    </row>
    <row r="37" spans="2:5">
      <c r="B37" s="60" t="s">
        <v>190</v>
      </c>
      <c r="C37" s="61" t="s">
        <v>233</v>
      </c>
      <c r="D37" s="61" t="s">
        <v>171</v>
      </c>
      <c r="E37" s="62">
        <v>27712287</v>
      </c>
    </row>
    <row r="38" spans="2:5">
      <c r="B38" s="57" t="s">
        <v>166</v>
      </c>
      <c r="C38" s="58" t="s">
        <v>28</v>
      </c>
      <c r="D38" s="58" t="s">
        <v>171</v>
      </c>
      <c r="E38" s="59">
        <v>26013160</v>
      </c>
    </row>
    <row r="39" spans="2:5">
      <c r="B39" s="60" t="s">
        <v>190</v>
      </c>
      <c r="C39" s="61" t="s">
        <v>234</v>
      </c>
      <c r="D39" s="61" t="s">
        <v>171</v>
      </c>
      <c r="E39" s="62">
        <v>25258761</v>
      </c>
    </row>
    <row r="40" spans="2:5">
      <c r="B40" s="57" t="s">
        <v>166</v>
      </c>
      <c r="C40" s="58" t="s">
        <v>235</v>
      </c>
      <c r="D40" s="58" t="s">
        <v>171</v>
      </c>
      <c r="E40" s="59">
        <v>24618298</v>
      </c>
    </row>
    <row r="41" spans="2:5">
      <c r="B41" s="60" t="s">
        <v>190</v>
      </c>
      <c r="C41" s="61" t="s">
        <v>194</v>
      </c>
      <c r="D41" s="61" t="s">
        <v>171</v>
      </c>
      <c r="E41" s="62">
        <v>20849802</v>
      </c>
    </row>
    <row r="42" spans="2:5">
      <c r="B42" s="57" t="s">
        <v>190</v>
      </c>
      <c r="C42" s="58" t="s">
        <v>236</v>
      </c>
      <c r="D42" s="58" t="s">
        <v>171</v>
      </c>
      <c r="E42" s="59">
        <v>20434492</v>
      </c>
    </row>
    <row r="43" spans="2:5">
      <c r="B43" s="60" t="s">
        <v>190</v>
      </c>
      <c r="C43" s="61" t="s">
        <v>199</v>
      </c>
      <c r="D43" s="61" t="s">
        <v>171</v>
      </c>
      <c r="E43" s="62">
        <v>18500000</v>
      </c>
    </row>
    <row r="44" spans="2:5">
      <c r="B44" s="57" t="s">
        <v>190</v>
      </c>
      <c r="C44" s="58" t="s">
        <v>195</v>
      </c>
      <c r="D44" s="58" t="s">
        <v>171</v>
      </c>
      <c r="E44" s="59">
        <v>18260000</v>
      </c>
    </row>
    <row r="45" spans="2:5">
      <c r="B45" s="60" t="s">
        <v>190</v>
      </c>
      <c r="C45" s="61" t="s">
        <v>237</v>
      </c>
      <c r="D45" s="61" t="s">
        <v>171</v>
      </c>
      <c r="E45" s="62">
        <v>17526046</v>
      </c>
    </row>
    <row r="46" spans="2:5">
      <c r="B46" s="57" t="s">
        <v>166</v>
      </c>
      <c r="C46" s="58" t="s">
        <v>22</v>
      </c>
      <c r="D46" s="58" t="s">
        <v>171</v>
      </c>
      <c r="E46" s="59">
        <v>16073308</v>
      </c>
    </row>
    <row r="47" spans="2:5">
      <c r="B47" s="60" t="s">
        <v>166</v>
      </c>
      <c r="C47" s="61" t="s">
        <v>197</v>
      </c>
      <c r="D47" s="61" t="s">
        <v>171</v>
      </c>
      <c r="E47" s="62">
        <v>15936971</v>
      </c>
    </row>
    <row r="48" spans="2:5">
      <c r="B48" s="57" t="s">
        <v>190</v>
      </c>
      <c r="C48" s="58" t="s">
        <v>211</v>
      </c>
      <c r="D48" s="58" t="s">
        <v>171</v>
      </c>
      <c r="E48" s="59">
        <v>15436978</v>
      </c>
    </row>
    <row r="49" spans="2:5">
      <c r="B49" s="60" t="s">
        <v>190</v>
      </c>
      <c r="C49" s="61" t="s">
        <v>238</v>
      </c>
      <c r="D49" s="61" t="s">
        <v>171</v>
      </c>
      <c r="E49" s="62">
        <v>12715919</v>
      </c>
    </row>
    <row r="50" spans="2:5">
      <c r="B50" s="57" t="s">
        <v>190</v>
      </c>
      <c r="C50" s="58" t="s">
        <v>239</v>
      </c>
      <c r="D50" s="58" t="s">
        <v>179</v>
      </c>
      <c r="E50" s="59">
        <v>12256528</v>
      </c>
    </row>
    <row r="51" spans="2:5">
      <c r="B51" s="60" t="s">
        <v>190</v>
      </c>
      <c r="C51" s="61" t="s">
        <v>198</v>
      </c>
      <c r="D51" s="61" t="s">
        <v>179</v>
      </c>
      <c r="E51" s="62">
        <v>11466177</v>
      </c>
    </row>
    <row r="52" spans="2:5">
      <c r="B52" s="57" t="s">
        <v>190</v>
      </c>
      <c r="C52" s="58" t="s">
        <v>240</v>
      </c>
      <c r="D52" s="58" t="s">
        <v>171</v>
      </c>
      <c r="E52" s="59">
        <v>10601802</v>
      </c>
    </row>
    <row r="53" spans="2:5">
      <c r="B53" s="60" t="s">
        <v>190</v>
      </c>
      <c r="C53" s="61" t="s">
        <v>241</v>
      </c>
      <c r="D53" s="61" t="s">
        <v>171</v>
      </c>
      <c r="E53" s="62">
        <v>10219334</v>
      </c>
    </row>
    <row r="54" spans="2:5">
      <c r="B54" s="57" t="s">
        <v>190</v>
      </c>
      <c r="C54" s="58" t="s">
        <v>200</v>
      </c>
      <c r="D54" s="58" t="s">
        <v>171</v>
      </c>
      <c r="E54" s="59">
        <v>9960000</v>
      </c>
    </row>
    <row r="55" spans="2:5">
      <c r="B55" s="60" t="s">
        <v>190</v>
      </c>
      <c r="C55" s="61" t="s">
        <v>242</v>
      </c>
      <c r="D55" s="61" t="s">
        <v>171</v>
      </c>
      <c r="E55" s="62">
        <v>9266313</v>
      </c>
    </row>
    <row r="56" spans="2:5">
      <c r="B56" s="57" t="s">
        <v>190</v>
      </c>
      <c r="C56" s="58" t="s">
        <v>201</v>
      </c>
      <c r="D56" s="58" t="s">
        <v>171</v>
      </c>
      <c r="E56" s="59">
        <v>9097256</v>
      </c>
    </row>
    <row r="57" spans="2:5">
      <c r="B57" s="60" t="s">
        <v>190</v>
      </c>
      <c r="C57" s="61" t="s">
        <v>243</v>
      </c>
      <c r="D57" s="61" t="s">
        <v>171</v>
      </c>
      <c r="E57" s="62">
        <v>9096603</v>
      </c>
    </row>
    <row r="58" spans="2:5">
      <c r="B58" s="57" t="s">
        <v>190</v>
      </c>
      <c r="C58" s="58" t="s">
        <v>244</v>
      </c>
      <c r="D58" s="58" t="s">
        <v>171</v>
      </c>
      <c r="E58" s="59">
        <v>8640302</v>
      </c>
    </row>
    <row r="59" spans="2:5">
      <c r="B59" s="60" t="s">
        <v>190</v>
      </c>
      <c r="C59" s="61" t="s">
        <v>202</v>
      </c>
      <c r="D59" s="61" t="s">
        <v>171</v>
      </c>
      <c r="E59" s="62">
        <v>7698820</v>
      </c>
    </row>
    <row r="60" spans="2:5">
      <c r="B60" s="57" t="s">
        <v>190</v>
      </c>
      <c r="C60" s="58" t="s">
        <v>245</v>
      </c>
      <c r="D60" s="58" t="s">
        <v>171</v>
      </c>
      <c r="E60" s="59">
        <v>7484396</v>
      </c>
    </row>
    <row r="61" spans="2:5">
      <c r="B61" s="60" t="s">
        <v>190</v>
      </c>
      <c r="C61" s="61" t="s">
        <v>246</v>
      </c>
      <c r="D61" s="61" t="s">
        <v>171</v>
      </c>
      <c r="E61" s="62">
        <v>7110000</v>
      </c>
    </row>
    <row r="62" spans="2:5">
      <c r="B62" s="57" t="s">
        <v>190</v>
      </c>
      <c r="C62" s="58" t="s">
        <v>203</v>
      </c>
      <c r="D62" s="58" t="s">
        <v>179</v>
      </c>
      <c r="E62" s="59">
        <v>6903342</v>
      </c>
    </row>
    <row r="63" spans="2:5">
      <c r="B63" s="60" t="s">
        <v>190</v>
      </c>
      <c r="C63" s="61" t="s">
        <v>247</v>
      </c>
      <c r="D63" s="61" t="s">
        <v>171</v>
      </c>
      <c r="E63" s="62">
        <v>6501573</v>
      </c>
    </row>
    <row r="64" spans="2:5">
      <c r="B64" s="57" t="s">
        <v>190</v>
      </c>
      <c r="C64" s="58" t="s">
        <v>248</v>
      </c>
      <c r="D64" s="58" t="s">
        <v>171</v>
      </c>
      <c r="E64" s="59">
        <v>6454409</v>
      </c>
    </row>
    <row r="65" spans="2:5">
      <c r="B65" s="60" t="s">
        <v>190</v>
      </c>
      <c r="C65" s="61" t="s">
        <v>249</v>
      </c>
      <c r="D65" s="61" t="s">
        <v>171</v>
      </c>
      <c r="E65" s="62">
        <v>6434235</v>
      </c>
    </row>
    <row r="66" spans="2:5">
      <c r="B66" s="57" t="s">
        <v>190</v>
      </c>
      <c r="C66" s="58" t="s">
        <v>250</v>
      </c>
      <c r="D66" s="58" t="s">
        <v>171</v>
      </c>
      <c r="E66" s="59">
        <v>5346296</v>
      </c>
    </row>
    <row r="67" spans="2:5">
      <c r="B67" s="60" t="s">
        <v>190</v>
      </c>
      <c r="C67" s="61" t="s">
        <v>251</v>
      </c>
      <c r="D67" s="61" t="s">
        <v>171</v>
      </c>
      <c r="E67" s="62">
        <v>4629545</v>
      </c>
    </row>
    <row r="68" spans="2:5">
      <c r="B68" s="57" t="s">
        <v>190</v>
      </c>
      <c r="C68" s="58" t="s">
        <v>252</v>
      </c>
      <c r="D68" s="58" t="s">
        <v>171</v>
      </c>
      <c r="E68" s="59">
        <v>4309200</v>
      </c>
    </row>
    <row r="69" spans="2:5">
      <c r="B69" s="60" t="s">
        <v>190</v>
      </c>
      <c r="C69" s="61" t="s">
        <v>253</v>
      </c>
      <c r="D69" s="61" t="s">
        <v>171</v>
      </c>
      <c r="E69" s="62">
        <v>4205391</v>
      </c>
    </row>
    <row r="70" spans="2:5">
      <c r="B70" s="57" t="s">
        <v>190</v>
      </c>
      <c r="C70" s="58" t="s">
        <v>254</v>
      </c>
      <c r="D70" s="58" t="s">
        <v>171</v>
      </c>
      <c r="E70" s="59">
        <v>4136619</v>
      </c>
    </row>
    <row r="71" spans="2:5">
      <c r="B71" s="60" t="s">
        <v>190</v>
      </c>
      <c r="C71" s="61" t="s">
        <v>205</v>
      </c>
      <c r="D71" s="61" t="s">
        <v>171</v>
      </c>
      <c r="E71" s="62">
        <v>3600000</v>
      </c>
    </row>
    <row r="72" spans="2:5">
      <c r="B72" s="57" t="s">
        <v>190</v>
      </c>
      <c r="C72" s="58" t="s">
        <v>255</v>
      </c>
      <c r="D72" s="58" t="s">
        <v>171</v>
      </c>
      <c r="E72" s="59">
        <v>3585997</v>
      </c>
    </row>
    <row r="73" spans="2:5">
      <c r="B73" s="60" t="s">
        <v>190</v>
      </c>
      <c r="C73" s="61" t="s">
        <v>256</v>
      </c>
      <c r="D73" s="61" t="s">
        <v>171</v>
      </c>
      <c r="E73" s="62">
        <v>3446259</v>
      </c>
    </row>
    <row r="74" spans="2:5">
      <c r="B74" s="57" t="s">
        <v>190</v>
      </c>
      <c r="C74" s="58" t="s">
        <v>257</v>
      </c>
      <c r="D74" s="58" t="s">
        <v>171</v>
      </c>
      <c r="E74" s="59">
        <v>2893829</v>
      </c>
    </row>
    <row r="75" spans="2:5">
      <c r="B75" s="60" t="s">
        <v>190</v>
      </c>
      <c r="C75" s="61" t="s">
        <v>207</v>
      </c>
      <c r="D75" s="61" t="s">
        <v>171</v>
      </c>
      <c r="E75" s="62">
        <v>2791720</v>
      </c>
    </row>
    <row r="76" spans="2:5">
      <c r="B76" s="57" t="s">
        <v>190</v>
      </c>
      <c r="C76" s="58" t="s">
        <v>258</v>
      </c>
      <c r="D76" s="58" t="s">
        <v>171</v>
      </c>
      <c r="E76" s="59">
        <v>2521922</v>
      </c>
    </row>
    <row r="77" spans="2:5">
      <c r="B77" s="60" t="s">
        <v>190</v>
      </c>
      <c r="C77" s="61" t="s">
        <v>259</v>
      </c>
      <c r="D77" s="61" t="s">
        <v>171</v>
      </c>
      <c r="E77" s="62">
        <v>2223253</v>
      </c>
    </row>
    <row r="78" spans="2:5">
      <c r="B78" s="57" t="s">
        <v>190</v>
      </c>
      <c r="C78" s="58" t="s">
        <v>260</v>
      </c>
      <c r="D78" s="58" t="s">
        <v>171</v>
      </c>
      <c r="E78" s="59">
        <v>1988317</v>
      </c>
    </row>
    <row r="79" spans="2:5">
      <c r="B79" s="60" t="s">
        <v>190</v>
      </c>
      <c r="C79" s="61" t="s">
        <v>261</v>
      </c>
      <c r="D79" s="61" t="s">
        <v>171</v>
      </c>
      <c r="E79" s="62">
        <v>1868885</v>
      </c>
    </row>
    <row r="80" spans="2:5">
      <c r="B80" s="57" t="s">
        <v>190</v>
      </c>
      <c r="C80" s="58" t="s">
        <v>262</v>
      </c>
      <c r="D80" s="58" t="s">
        <v>171</v>
      </c>
      <c r="E80" s="59">
        <v>1618063</v>
      </c>
    </row>
    <row r="81" spans="2:5">
      <c r="B81" s="60" t="s">
        <v>190</v>
      </c>
      <c r="C81" s="61" t="s">
        <v>263</v>
      </c>
      <c r="D81" s="61" t="s">
        <v>171</v>
      </c>
      <c r="E81" s="62">
        <v>1528899</v>
      </c>
    </row>
    <row r="82" spans="2:5">
      <c r="B82" s="57" t="s">
        <v>190</v>
      </c>
      <c r="C82" s="58" t="s">
        <v>264</v>
      </c>
      <c r="D82" s="58" t="s">
        <v>171</v>
      </c>
      <c r="E82" s="59">
        <v>1457745</v>
      </c>
    </row>
    <row r="83" spans="2:5">
      <c r="B83" s="60" t="s">
        <v>190</v>
      </c>
      <c r="C83" s="61" t="s">
        <v>206</v>
      </c>
      <c r="D83" s="61" t="s">
        <v>171</v>
      </c>
      <c r="E83" s="62">
        <v>1310000</v>
      </c>
    </row>
    <row r="84" spans="2:5">
      <c r="B84" s="57" t="s">
        <v>190</v>
      </c>
      <c r="C84" s="58" t="s">
        <v>265</v>
      </c>
      <c r="D84" s="58" t="s">
        <v>171</v>
      </c>
      <c r="E84" s="59">
        <v>1292540</v>
      </c>
    </row>
    <row r="85" spans="2:5">
      <c r="B85" s="60" t="s">
        <v>190</v>
      </c>
      <c r="C85" s="61" t="s">
        <v>266</v>
      </c>
      <c r="D85" s="61" t="s">
        <v>171</v>
      </c>
      <c r="E85" s="62">
        <v>1226232</v>
      </c>
    </row>
    <row r="86" spans="2:5">
      <c r="B86" s="57" t="s">
        <v>190</v>
      </c>
      <c r="C86" s="58" t="s">
        <v>267</v>
      </c>
      <c r="D86" s="58" t="s">
        <v>179</v>
      </c>
      <c r="E86" s="59">
        <v>1036800</v>
      </c>
    </row>
    <row r="87" spans="2:5">
      <c r="B87" s="60" t="s">
        <v>190</v>
      </c>
      <c r="C87" s="61" t="s">
        <v>208</v>
      </c>
      <c r="D87" s="61" t="s">
        <v>171</v>
      </c>
      <c r="E87" s="62">
        <v>1000000</v>
      </c>
    </row>
    <row r="88" spans="2:5">
      <c r="B88" s="57" t="s">
        <v>190</v>
      </c>
      <c r="C88" s="58" t="s">
        <v>209</v>
      </c>
      <c r="D88" s="58" t="s">
        <v>171</v>
      </c>
      <c r="E88" s="59">
        <v>976000</v>
      </c>
    </row>
    <row r="89" spans="2:5">
      <c r="B89" s="60" t="s">
        <v>190</v>
      </c>
      <c r="C89" s="61" t="s">
        <v>210</v>
      </c>
      <c r="D89" s="61" t="s">
        <v>171</v>
      </c>
      <c r="E89" s="62">
        <v>954529</v>
      </c>
    </row>
    <row r="90" spans="2:5">
      <c r="B90" s="57" t="s">
        <v>190</v>
      </c>
      <c r="C90" s="58" t="s">
        <v>268</v>
      </c>
      <c r="D90" s="58" t="s">
        <v>171</v>
      </c>
      <c r="E90" s="59">
        <v>710640</v>
      </c>
    </row>
    <row r="91" spans="2:5">
      <c r="B91" s="60" t="s">
        <v>190</v>
      </c>
      <c r="C91" s="61" t="s">
        <v>269</v>
      </c>
      <c r="D91" s="61" t="s">
        <v>171</v>
      </c>
      <c r="E91" s="62">
        <v>586171</v>
      </c>
    </row>
    <row r="92" spans="2:5">
      <c r="B92" s="57" t="s">
        <v>190</v>
      </c>
      <c r="C92" s="58" t="s">
        <v>270</v>
      </c>
      <c r="D92" s="58" t="s">
        <v>171</v>
      </c>
      <c r="E92" s="59">
        <v>500000</v>
      </c>
    </row>
    <row r="93" spans="2:5">
      <c r="B93" s="60" t="s">
        <v>190</v>
      </c>
      <c r="C93" s="61" t="s">
        <v>271</v>
      </c>
      <c r="D93" s="61" t="s">
        <v>171</v>
      </c>
      <c r="E93" s="62">
        <v>483803</v>
      </c>
    </row>
    <row r="94" spans="2:5">
      <c r="B94" s="57" t="s">
        <v>190</v>
      </c>
      <c r="C94" s="58" t="s">
        <v>212</v>
      </c>
      <c r="D94" s="58" t="s">
        <v>171</v>
      </c>
      <c r="E94" s="59">
        <v>400000</v>
      </c>
    </row>
    <row r="95" spans="2:5">
      <c r="B95" s="60" t="s">
        <v>190</v>
      </c>
      <c r="C95" s="61" t="s">
        <v>272</v>
      </c>
      <c r="D95" s="61" t="s">
        <v>171</v>
      </c>
      <c r="E95" s="62">
        <v>376280</v>
      </c>
    </row>
    <row r="96" spans="2:5">
      <c r="B96" s="57" t="s">
        <v>190</v>
      </c>
      <c r="C96" s="58" t="s">
        <v>273</v>
      </c>
      <c r="D96" s="58" t="s">
        <v>171</v>
      </c>
      <c r="E96" s="59">
        <v>312000</v>
      </c>
    </row>
    <row r="97" spans="2:5">
      <c r="B97" s="60" t="s">
        <v>190</v>
      </c>
      <c r="C97" s="61" t="s">
        <v>274</v>
      </c>
      <c r="D97" s="61" t="s">
        <v>171</v>
      </c>
      <c r="E97" s="62">
        <v>295896</v>
      </c>
    </row>
    <row r="98" spans="2:5">
      <c r="B98" s="57" t="s">
        <v>190</v>
      </c>
      <c r="C98" s="58" t="s">
        <v>275</v>
      </c>
      <c r="D98" s="58" t="s">
        <v>171</v>
      </c>
      <c r="E98" s="59">
        <v>287070</v>
      </c>
    </row>
    <row r="99" spans="2:5">
      <c r="B99" s="60" t="s">
        <v>190</v>
      </c>
      <c r="C99" s="61" t="s">
        <v>276</v>
      </c>
      <c r="D99" s="61" t="s">
        <v>171</v>
      </c>
      <c r="E99" s="62">
        <v>249480</v>
      </c>
    </row>
    <row r="100" spans="2:5">
      <c r="B100" s="57" t="s">
        <v>166</v>
      </c>
      <c r="C100" s="58" t="s">
        <v>277</v>
      </c>
      <c r="D100" s="58" t="s">
        <v>171</v>
      </c>
      <c r="E100" s="59">
        <v>210818</v>
      </c>
    </row>
    <row r="101" spans="2:5">
      <c r="B101" s="60" t="s">
        <v>190</v>
      </c>
      <c r="C101" s="61" t="s">
        <v>278</v>
      </c>
      <c r="D101" s="61" t="s">
        <v>171</v>
      </c>
      <c r="E101" s="62">
        <v>165522</v>
      </c>
    </row>
    <row r="102" spans="2:5">
      <c r="B102" s="57" t="s">
        <v>190</v>
      </c>
      <c r="C102" s="58" t="s">
        <v>213</v>
      </c>
      <c r="D102" s="58" t="s">
        <v>171</v>
      </c>
      <c r="E102" s="59">
        <v>148500</v>
      </c>
    </row>
    <row r="103" spans="2:5">
      <c r="B103" s="60" t="s">
        <v>190</v>
      </c>
      <c r="C103" s="61" t="s">
        <v>279</v>
      </c>
      <c r="D103" s="61" t="s">
        <v>171</v>
      </c>
      <c r="E103" s="62">
        <v>77490</v>
      </c>
    </row>
    <row r="104" spans="2:5">
      <c r="B104" s="57" t="s">
        <v>190</v>
      </c>
      <c r="C104" s="58" t="s">
        <v>280</v>
      </c>
      <c r="D104" s="58" t="s">
        <v>171</v>
      </c>
      <c r="E104" s="59">
        <v>68040</v>
      </c>
    </row>
    <row r="105" spans="2:5">
      <c r="B105" s="60" t="s">
        <v>190</v>
      </c>
      <c r="C105" s="61" t="s">
        <v>281</v>
      </c>
      <c r="D105" s="61" t="s">
        <v>171</v>
      </c>
      <c r="E105" s="62">
        <v>65574</v>
      </c>
    </row>
    <row r="106" spans="2:5">
      <c r="B106" s="57" t="s">
        <v>190</v>
      </c>
      <c r="C106" s="58" t="s">
        <v>282</v>
      </c>
      <c r="D106" s="58" t="s">
        <v>171</v>
      </c>
      <c r="E106" s="59">
        <v>56700</v>
      </c>
    </row>
    <row r="107" spans="2:5">
      <c r="B107" s="3" t="s">
        <v>190</v>
      </c>
      <c r="C107" s="3" t="s">
        <v>283</v>
      </c>
      <c r="D107" s="3" t="s">
        <v>171</v>
      </c>
      <c r="E107" s="63">
        <v>30240</v>
      </c>
    </row>
    <row r="108" spans="2:5">
      <c r="E108" s="63">
        <f>SUM(E4:E107)</f>
        <v>223154143714.1264</v>
      </c>
    </row>
  </sheetData>
  <autoFilter ref="B3:E106" xr:uid="{00000000-0009-0000-0000-00002A000000}">
    <sortState xmlns:xlrd2="http://schemas.microsoft.com/office/spreadsheetml/2017/richdata2" ref="B4:E106">
      <sortCondition descending="1" ref="E3:E106"/>
    </sortState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D2A9-70EE-470B-BE8D-7D2B3997DFCC}">
  <dimension ref="A1:D59"/>
  <sheetViews>
    <sheetView showGridLines="0" workbookViewId="0">
      <selection activeCell="C21" sqref="C21"/>
    </sheetView>
  </sheetViews>
  <sheetFormatPr baseColWidth="10" defaultColWidth="12.36328125" defaultRowHeight="12"/>
  <cols>
    <col min="1" max="1" width="12.36328125" style="3"/>
    <col min="2" max="2" width="64.7265625" style="3" bestFit="1" customWidth="1"/>
    <col min="3" max="3" width="14.26953125" style="3" bestFit="1" customWidth="1"/>
    <col min="4" max="4" width="20.7265625" style="3" bestFit="1" customWidth="1"/>
    <col min="5" max="16384" width="12.36328125" style="3"/>
  </cols>
  <sheetData>
    <row r="1" spans="1:4" ht="18.5">
      <c r="A1" s="45" t="s">
        <v>284</v>
      </c>
      <c r="B1" s="64"/>
    </row>
    <row r="3" spans="1:4">
      <c r="B3" s="53" t="s">
        <v>215</v>
      </c>
      <c r="C3" s="54" t="s">
        <v>217</v>
      </c>
      <c r="D3" s="53" t="s">
        <v>216</v>
      </c>
    </row>
    <row r="4" spans="1:4">
      <c r="B4" s="58" t="s">
        <v>75</v>
      </c>
      <c r="C4" s="59">
        <v>33300367940</v>
      </c>
      <c r="D4" s="58" t="s">
        <v>218</v>
      </c>
    </row>
    <row r="5" spans="1:4">
      <c r="B5" s="61" t="s">
        <v>102</v>
      </c>
      <c r="C5" s="62">
        <v>30931290624</v>
      </c>
      <c r="D5" s="61" t="s">
        <v>101</v>
      </c>
    </row>
    <row r="6" spans="1:4">
      <c r="B6" s="58" t="s">
        <v>104</v>
      </c>
      <c r="C6" s="59">
        <v>27581034842</v>
      </c>
      <c r="D6" s="58" t="s">
        <v>101</v>
      </c>
    </row>
    <row r="7" spans="1:4">
      <c r="B7" s="61" t="s">
        <v>103</v>
      </c>
      <c r="C7" s="62">
        <v>27393173182</v>
      </c>
      <c r="D7" s="61" t="s">
        <v>101</v>
      </c>
    </row>
    <row r="8" spans="1:4">
      <c r="B8" s="58" t="s">
        <v>119</v>
      </c>
      <c r="C8" s="59">
        <v>16780820173</v>
      </c>
      <c r="D8" s="58" t="s">
        <v>118</v>
      </c>
    </row>
    <row r="9" spans="1:4">
      <c r="B9" s="61" t="s">
        <v>115</v>
      </c>
      <c r="C9" s="62">
        <v>15485804055</v>
      </c>
      <c r="D9" s="61" t="s">
        <v>101</v>
      </c>
    </row>
    <row r="10" spans="1:4">
      <c r="B10" s="58" t="s">
        <v>117</v>
      </c>
      <c r="C10" s="59">
        <v>11904382771</v>
      </c>
      <c r="D10" s="58" t="s">
        <v>101</v>
      </c>
    </row>
    <row r="11" spans="1:4">
      <c r="B11" s="61" t="s">
        <v>105</v>
      </c>
      <c r="C11" s="62">
        <v>11749799259</v>
      </c>
      <c r="D11" s="61" t="s">
        <v>101</v>
      </c>
    </row>
    <row r="12" spans="1:4">
      <c r="B12" s="58" t="s">
        <v>122</v>
      </c>
      <c r="C12" s="59">
        <v>8817052020</v>
      </c>
      <c r="D12" s="58" t="s">
        <v>118</v>
      </c>
    </row>
    <row r="13" spans="1:4">
      <c r="B13" s="61" t="s">
        <v>107</v>
      </c>
      <c r="C13" s="62">
        <v>5961093409</v>
      </c>
      <c r="D13" s="61" t="s">
        <v>101</v>
      </c>
    </row>
    <row r="14" spans="1:4">
      <c r="B14" s="58" t="s">
        <v>114</v>
      </c>
      <c r="C14" s="59">
        <v>4860336829</v>
      </c>
      <c r="D14" s="58" t="s">
        <v>101</v>
      </c>
    </row>
    <row r="15" spans="1:4">
      <c r="B15" s="61" t="s">
        <v>137</v>
      </c>
      <c r="C15" s="62">
        <v>4012598063</v>
      </c>
      <c r="D15" s="61" t="s">
        <v>136</v>
      </c>
    </row>
    <row r="16" spans="1:4">
      <c r="B16" s="58" t="s">
        <v>97</v>
      </c>
      <c r="C16" s="59">
        <v>3819240585</v>
      </c>
      <c r="D16" s="58" t="s">
        <v>90</v>
      </c>
    </row>
    <row r="17" spans="2:4">
      <c r="B17" s="61" t="s">
        <v>109</v>
      </c>
      <c r="C17" s="62">
        <v>2462727250</v>
      </c>
      <c r="D17" s="61" t="s">
        <v>101</v>
      </c>
    </row>
    <row r="18" spans="2:4">
      <c r="B18" s="58" t="s">
        <v>121</v>
      </c>
      <c r="C18" s="59">
        <v>1780168293</v>
      </c>
      <c r="D18" s="58" t="s">
        <v>118</v>
      </c>
    </row>
    <row r="19" spans="2:4">
      <c r="B19" s="61" t="s">
        <v>100</v>
      </c>
      <c r="C19" s="62">
        <v>1772164835</v>
      </c>
      <c r="D19" s="61" t="s">
        <v>90</v>
      </c>
    </row>
    <row r="20" spans="2:4">
      <c r="B20" s="58" t="s">
        <v>285</v>
      </c>
      <c r="C20" s="59">
        <v>1727391130</v>
      </c>
      <c r="D20" s="58" t="s">
        <v>286</v>
      </c>
    </row>
    <row r="21" spans="2:4">
      <c r="B21" s="61" t="s">
        <v>120</v>
      </c>
      <c r="C21" s="62">
        <v>1423729975</v>
      </c>
      <c r="D21" s="61" t="s">
        <v>118</v>
      </c>
    </row>
    <row r="22" spans="2:4">
      <c r="B22" s="58" t="s">
        <v>83</v>
      </c>
      <c r="C22" s="59">
        <v>1025848850</v>
      </c>
      <c r="D22" s="58" t="s">
        <v>80</v>
      </c>
    </row>
    <row r="23" spans="2:4">
      <c r="B23" s="61" t="s">
        <v>287</v>
      </c>
      <c r="C23" s="62">
        <v>923366368</v>
      </c>
      <c r="D23" s="61" t="s">
        <v>286</v>
      </c>
    </row>
    <row r="24" spans="2:4">
      <c r="B24" s="58" t="s">
        <v>123</v>
      </c>
      <c r="C24" s="59">
        <v>888846230</v>
      </c>
      <c r="D24" s="58" t="s">
        <v>118</v>
      </c>
    </row>
    <row r="25" spans="2:4">
      <c r="B25" s="61" t="s">
        <v>288</v>
      </c>
      <c r="C25" s="62">
        <v>846329760.00999999</v>
      </c>
      <c r="D25" s="61" t="s">
        <v>289</v>
      </c>
    </row>
    <row r="26" spans="2:4">
      <c r="B26" s="58" t="s">
        <v>135</v>
      </c>
      <c r="C26" s="59">
        <v>758499843</v>
      </c>
      <c r="D26" s="58" t="s">
        <v>134</v>
      </c>
    </row>
    <row r="27" spans="2:4">
      <c r="B27" s="61" t="s">
        <v>219</v>
      </c>
      <c r="C27" s="62">
        <v>749662194</v>
      </c>
      <c r="D27" s="61" t="s">
        <v>118</v>
      </c>
    </row>
    <row r="28" spans="2:4">
      <c r="B28" s="58" t="s">
        <v>290</v>
      </c>
      <c r="C28" s="59">
        <v>735560357</v>
      </c>
      <c r="D28" s="58" t="s">
        <v>291</v>
      </c>
    </row>
    <row r="29" spans="2:4">
      <c r="B29" s="61" t="s">
        <v>92</v>
      </c>
      <c r="C29" s="62">
        <v>700210162</v>
      </c>
      <c r="D29" s="61" t="s">
        <v>90</v>
      </c>
    </row>
    <row r="30" spans="2:4">
      <c r="B30" s="58" t="s">
        <v>76</v>
      </c>
      <c r="C30" s="59">
        <v>624931223</v>
      </c>
      <c r="D30" s="58" t="s">
        <v>218</v>
      </c>
    </row>
    <row r="31" spans="2:4">
      <c r="B31" s="61" t="s">
        <v>292</v>
      </c>
      <c r="C31" s="62">
        <v>550471685</v>
      </c>
      <c r="D31" s="61" t="s">
        <v>289</v>
      </c>
    </row>
    <row r="32" spans="2:4">
      <c r="B32" s="58" t="s">
        <v>293</v>
      </c>
      <c r="C32" s="59">
        <v>468784271.14639997</v>
      </c>
      <c r="D32" s="58" t="s">
        <v>294</v>
      </c>
    </row>
    <row r="33" spans="2:4">
      <c r="B33" s="61" t="s">
        <v>139</v>
      </c>
      <c r="C33" s="62">
        <v>450101540</v>
      </c>
      <c r="D33" s="61" t="s">
        <v>101</v>
      </c>
    </row>
    <row r="34" spans="2:4">
      <c r="B34" s="58" t="s">
        <v>133</v>
      </c>
      <c r="C34" s="59">
        <v>445731482</v>
      </c>
      <c r="D34" s="58" t="s">
        <v>131</v>
      </c>
    </row>
    <row r="35" spans="2:4">
      <c r="B35" s="61" t="s">
        <v>108</v>
      </c>
      <c r="C35" s="62">
        <v>363390654</v>
      </c>
      <c r="D35" s="61" t="s">
        <v>101</v>
      </c>
    </row>
    <row r="36" spans="2:4">
      <c r="B36" s="58" t="s">
        <v>124</v>
      </c>
      <c r="C36" s="59">
        <v>329034277</v>
      </c>
      <c r="D36" s="58" t="s">
        <v>118</v>
      </c>
    </row>
    <row r="37" spans="2:4">
      <c r="B37" s="61" t="s">
        <v>110</v>
      </c>
      <c r="C37" s="62">
        <v>317670088</v>
      </c>
      <c r="D37" s="61" t="s">
        <v>101</v>
      </c>
    </row>
    <row r="38" spans="2:4">
      <c r="B38" s="58" t="s">
        <v>79</v>
      </c>
      <c r="C38" s="59">
        <v>307336802</v>
      </c>
      <c r="D38" s="58" t="s">
        <v>218</v>
      </c>
    </row>
    <row r="39" spans="2:4">
      <c r="B39" s="61" t="s">
        <v>89</v>
      </c>
      <c r="C39" s="62">
        <v>194633276</v>
      </c>
      <c r="D39" s="61" t="s">
        <v>80</v>
      </c>
    </row>
    <row r="40" spans="2:4">
      <c r="B40" s="58" t="s">
        <v>139</v>
      </c>
      <c r="C40" s="59">
        <v>165452572</v>
      </c>
      <c r="D40" s="58" t="s">
        <v>80</v>
      </c>
    </row>
    <row r="41" spans="2:4">
      <c r="B41" s="61" t="s">
        <v>128</v>
      </c>
      <c r="C41" s="62">
        <v>123506250</v>
      </c>
      <c r="D41" s="61" t="s">
        <v>127</v>
      </c>
    </row>
    <row r="42" spans="2:4">
      <c r="B42" s="58" t="s">
        <v>86</v>
      </c>
      <c r="C42" s="59">
        <v>92249778.969999999</v>
      </c>
      <c r="D42" s="58" t="s">
        <v>80</v>
      </c>
    </row>
    <row r="43" spans="2:4">
      <c r="B43" s="61" t="s">
        <v>84</v>
      </c>
      <c r="C43" s="62">
        <v>82983123</v>
      </c>
      <c r="D43" s="61" t="s">
        <v>80</v>
      </c>
    </row>
    <row r="44" spans="2:4">
      <c r="B44" s="58" t="s">
        <v>132</v>
      </c>
      <c r="C44" s="59">
        <v>67227396</v>
      </c>
      <c r="D44" s="58" t="s">
        <v>131</v>
      </c>
    </row>
    <row r="45" spans="2:4">
      <c r="B45" s="61" t="s">
        <v>77</v>
      </c>
      <c r="C45" s="62">
        <v>27198440</v>
      </c>
      <c r="D45" s="61" t="s">
        <v>218</v>
      </c>
    </row>
    <row r="46" spans="2:4">
      <c r="B46" s="58" t="s">
        <v>220</v>
      </c>
      <c r="C46" s="59">
        <v>27126500</v>
      </c>
      <c r="D46" s="58" t="s">
        <v>131</v>
      </c>
    </row>
    <row r="47" spans="2:4">
      <c r="B47" s="61" t="s">
        <v>85</v>
      </c>
      <c r="C47" s="62">
        <v>21598616</v>
      </c>
      <c r="D47" s="61" t="s">
        <v>80</v>
      </c>
    </row>
    <row r="48" spans="2:4">
      <c r="B48" s="58" t="s">
        <v>95</v>
      </c>
      <c r="C48" s="59">
        <v>20000000</v>
      </c>
      <c r="D48" s="58" t="s">
        <v>90</v>
      </c>
    </row>
    <row r="49" spans="2:4">
      <c r="B49" s="61" t="s">
        <v>221</v>
      </c>
      <c r="C49" s="62">
        <v>19156477</v>
      </c>
      <c r="D49" s="61" t="s">
        <v>118</v>
      </c>
    </row>
    <row r="50" spans="2:4">
      <c r="B50" s="58" t="s">
        <v>222</v>
      </c>
      <c r="C50" s="59">
        <v>16123969</v>
      </c>
      <c r="D50" s="58" t="s">
        <v>118</v>
      </c>
    </row>
    <row r="51" spans="2:4">
      <c r="B51" s="61" t="s">
        <v>223</v>
      </c>
      <c r="C51" s="62">
        <v>15213334</v>
      </c>
      <c r="D51" s="61" t="s">
        <v>118</v>
      </c>
    </row>
    <row r="52" spans="2:4">
      <c r="B52" s="58" t="s">
        <v>91</v>
      </c>
      <c r="C52" s="59">
        <v>14646000</v>
      </c>
      <c r="D52" s="58" t="s">
        <v>90</v>
      </c>
    </row>
    <row r="53" spans="2:4">
      <c r="B53" s="61" t="s">
        <v>129</v>
      </c>
      <c r="C53" s="62">
        <v>9413650</v>
      </c>
      <c r="D53" s="61" t="s">
        <v>127</v>
      </c>
    </row>
    <row r="54" spans="2:4">
      <c r="B54" s="58" t="s">
        <v>224</v>
      </c>
      <c r="C54" s="59">
        <v>5742004</v>
      </c>
      <c r="D54" s="58" t="s">
        <v>118</v>
      </c>
    </row>
    <row r="55" spans="2:4">
      <c r="B55" s="61" t="s">
        <v>225</v>
      </c>
      <c r="C55" s="62">
        <v>1615307</v>
      </c>
      <c r="D55" s="61" t="s">
        <v>118</v>
      </c>
    </row>
    <row r="56" spans="2:4">
      <c r="B56" s="58" t="s">
        <v>139</v>
      </c>
      <c r="C56" s="59">
        <v>960000</v>
      </c>
      <c r="D56" s="58" t="s">
        <v>127</v>
      </c>
    </row>
    <row r="57" spans="2:4">
      <c r="B57" s="3" t="s">
        <v>295</v>
      </c>
      <c r="C57" s="63">
        <v>340000</v>
      </c>
      <c r="D57" s="3" t="s">
        <v>294</v>
      </c>
    </row>
    <row r="58" spans="2:4">
      <c r="B58" s="58" t="s">
        <v>226</v>
      </c>
      <c r="C58" s="59">
        <v>6000</v>
      </c>
      <c r="D58" s="58" t="s">
        <v>118</v>
      </c>
    </row>
    <row r="59" spans="2:4">
      <c r="C59" s="63">
        <f>SUM(C4:C58)</f>
        <v>223154143714.1264</v>
      </c>
    </row>
  </sheetData>
  <autoFilter ref="B3:D56" xr:uid="{00000000-0009-0000-0000-00002B000000}">
    <sortState xmlns:xlrd2="http://schemas.microsoft.com/office/spreadsheetml/2017/richdata2" ref="B4:D56">
      <sortCondition descending="1" ref="C3:C56"/>
    </sortState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5178-49A7-4013-812F-95CCF447E49E}">
  <dimension ref="A1:J154"/>
  <sheetViews>
    <sheetView showGridLines="0" workbookViewId="0">
      <selection activeCell="C21" sqref="C21"/>
    </sheetView>
  </sheetViews>
  <sheetFormatPr baseColWidth="10" defaultColWidth="12.36328125" defaultRowHeight="12"/>
  <cols>
    <col min="1" max="1" width="7.6328125" style="3" customWidth="1"/>
    <col min="2" max="2" width="13.90625" style="3" bestFit="1" customWidth="1"/>
    <col min="3" max="3" width="41.26953125" style="3" customWidth="1"/>
    <col min="4" max="4" width="28.08984375" style="3" customWidth="1"/>
    <col min="5" max="5" width="7.7265625" style="3" bestFit="1" customWidth="1"/>
    <col min="6" max="6" width="15.90625" style="3" bestFit="1" customWidth="1"/>
    <col min="7" max="7" width="9.36328125" style="3" bestFit="1" customWidth="1"/>
    <col min="8" max="10" width="10.6328125" style="3" bestFit="1" customWidth="1"/>
    <col min="11" max="16384" width="12.36328125" style="3"/>
  </cols>
  <sheetData>
    <row r="1" spans="1:10" ht="18.5">
      <c r="A1" s="45" t="s">
        <v>296</v>
      </c>
    </row>
    <row r="3" spans="1:10" ht="48.5" thickBot="1">
      <c r="B3" s="55" t="s">
        <v>166</v>
      </c>
      <c r="C3" s="55" t="s">
        <v>167</v>
      </c>
      <c r="D3" s="55" t="s">
        <v>215</v>
      </c>
      <c r="E3" s="56" t="s">
        <v>168</v>
      </c>
      <c r="F3" s="56" t="s">
        <v>297</v>
      </c>
      <c r="G3" s="65" t="s">
        <v>298</v>
      </c>
      <c r="H3" s="65" t="s">
        <v>299</v>
      </c>
      <c r="I3" s="66" t="s">
        <v>300</v>
      </c>
      <c r="J3" s="66" t="s">
        <v>301</v>
      </c>
    </row>
    <row r="4" spans="1:10">
      <c r="B4" s="60" t="s">
        <v>190</v>
      </c>
      <c r="C4" s="60" t="s">
        <v>194</v>
      </c>
      <c r="D4" s="61" t="s">
        <v>122</v>
      </c>
      <c r="E4" s="61" t="s">
        <v>171</v>
      </c>
      <c r="F4" s="62">
        <v>3121178</v>
      </c>
      <c r="G4" s="67">
        <v>3.121178</v>
      </c>
      <c r="H4" s="68" t="s">
        <v>118</v>
      </c>
      <c r="I4" s="68" t="s">
        <v>302</v>
      </c>
      <c r="J4" s="69" t="s">
        <v>303</v>
      </c>
    </row>
    <row r="5" spans="1:10">
      <c r="B5" s="57" t="s">
        <v>190</v>
      </c>
      <c r="C5" s="57" t="s">
        <v>194</v>
      </c>
      <c r="D5" s="58" t="s">
        <v>221</v>
      </c>
      <c r="E5" s="58" t="s">
        <v>171</v>
      </c>
      <c r="F5" s="59">
        <v>533855</v>
      </c>
      <c r="G5" s="70">
        <v>0.53385499999999997</v>
      </c>
      <c r="H5" s="71" t="s">
        <v>118</v>
      </c>
      <c r="I5" s="71" t="s">
        <v>302</v>
      </c>
      <c r="J5" s="71" t="s">
        <v>303</v>
      </c>
    </row>
    <row r="6" spans="1:10">
      <c r="B6" s="60" t="s">
        <v>190</v>
      </c>
      <c r="C6" s="60" t="s">
        <v>194</v>
      </c>
      <c r="D6" s="61" t="s">
        <v>120</v>
      </c>
      <c r="E6" s="61" t="s">
        <v>171</v>
      </c>
      <c r="F6" s="62">
        <v>406325</v>
      </c>
      <c r="G6" s="67">
        <v>0.40632499999999999</v>
      </c>
      <c r="H6" s="68" t="s">
        <v>118</v>
      </c>
      <c r="I6" s="68" t="s">
        <v>302</v>
      </c>
      <c r="J6" s="69" t="s">
        <v>304</v>
      </c>
    </row>
    <row r="7" spans="1:10">
      <c r="B7" s="57" t="s">
        <v>190</v>
      </c>
      <c r="C7" s="57" t="s">
        <v>194</v>
      </c>
      <c r="D7" s="58" t="s">
        <v>124</v>
      </c>
      <c r="E7" s="58" t="s">
        <v>171</v>
      </c>
      <c r="F7" s="59">
        <v>55759</v>
      </c>
      <c r="G7" s="70">
        <v>5.5759000000000003E-2</v>
      </c>
      <c r="H7" s="71" t="s">
        <v>118</v>
      </c>
      <c r="I7" s="71" t="s">
        <v>302</v>
      </c>
      <c r="J7" s="71" t="s">
        <v>305</v>
      </c>
    </row>
    <row r="8" spans="1:10">
      <c r="B8" s="60" t="s">
        <v>190</v>
      </c>
      <c r="C8" s="60" t="s">
        <v>194</v>
      </c>
      <c r="D8" s="61" t="s">
        <v>123</v>
      </c>
      <c r="E8" s="61" t="s">
        <v>171</v>
      </c>
      <c r="F8" s="62">
        <v>253953</v>
      </c>
      <c r="G8" s="67">
        <v>0.25395299999999998</v>
      </c>
      <c r="H8" s="68" t="s">
        <v>118</v>
      </c>
      <c r="I8" s="68" t="s">
        <v>302</v>
      </c>
      <c r="J8" s="69" t="s">
        <v>306</v>
      </c>
    </row>
    <row r="9" spans="1:10">
      <c r="B9" s="57" t="s">
        <v>190</v>
      </c>
      <c r="C9" s="57" t="s">
        <v>194</v>
      </c>
      <c r="D9" s="58" t="s">
        <v>121</v>
      </c>
      <c r="E9" s="58" t="s">
        <v>171</v>
      </c>
      <c r="F9" s="59">
        <v>507906</v>
      </c>
      <c r="G9" s="70">
        <v>0.50790599999999997</v>
      </c>
      <c r="H9" s="71" t="s">
        <v>118</v>
      </c>
      <c r="I9" s="71" t="s">
        <v>302</v>
      </c>
      <c r="J9" s="71" t="s">
        <v>304</v>
      </c>
    </row>
    <row r="10" spans="1:10">
      <c r="B10" s="60" t="s">
        <v>190</v>
      </c>
      <c r="C10" s="60" t="s">
        <v>194</v>
      </c>
      <c r="D10" s="61" t="s">
        <v>223</v>
      </c>
      <c r="E10" s="61" t="s">
        <v>171</v>
      </c>
      <c r="F10" s="62">
        <v>1175292</v>
      </c>
      <c r="G10" s="67">
        <v>1.175292</v>
      </c>
      <c r="H10" s="68" t="s">
        <v>118</v>
      </c>
      <c r="I10" s="68" t="s">
        <v>302</v>
      </c>
      <c r="J10" s="69" t="s">
        <v>303</v>
      </c>
    </row>
    <row r="11" spans="1:10">
      <c r="B11" s="57" t="s">
        <v>190</v>
      </c>
      <c r="C11" s="57" t="s">
        <v>194</v>
      </c>
      <c r="D11" s="58" t="s">
        <v>119</v>
      </c>
      <c r="E11" s="58" t="s">
        <v>171</v>
      </c>
      <c r="F11" s="59">
        <v>9795534</v>
      </c>
      <c r="G11" s="70">
        <v>9.795534</v>
      </c>
      <c r="H11" s="71" t="s">
        <v>118</v>
      </c>
      <c r="I11" s="71" t="s">
        <v>302</v>
      </c>
      <c r="J11" s="71" t="s">
        <v>303</v>
      </c>
    </row>
    <row r="12" spans="1:10">
      <c r="B12" s="60" t="s">
        <v>190</v>
      </c>
      <c r="C12" s="60" t="s">
        <v>193</v>
      </c>
      <c r="D12" s="61" t="s">
        <v>122</v>
      </c>
      <c r="E12" s="61" t="s">
        <v>171</v>
      </c>
      <c r="F12" s="62">
        <v>6706651</v>
      </c>
      <c r="G12" s="67">
        <v>6.7066509999999999</v>
      </c>
      <c r="H12" s="68" t="s">
        <v>118</v>
      </c>
      <c r="I12" s="68" t="s">
        <v>302</v>
      </c>
      <c r="J12" s="69" t="s">
        <v>303</v>
      </c>
    </row>
    <row r="13" spans="1:10">
      <c r="B13" s="57" t="s">
        <v>190</v>
      </c>
      <c r="C13" s="57" t="s">
        <v>193</v>
      </c>
      <c r="D13" s="58" t="s">
        <v>222</v>
      </c>
      <c r="E13" s="58" t="s">
        <v>171</v>
      </c>
      <c r="F13" s="59">
        <v>1090104</v>
      </c>
      <c r="G13" s="70">
        <v>1.090104</v>
      </c>
      <c r="H13" s="71" t="s">
        <v>118</v>
      </c>
      <c r="I13" s="71" t="s">
        <v>302</v>
      </c>
      <c r="J13" s="71" t="s">
        <v>303</v>
      </c>
    </row>
    <row r="14" spans="1:10">
      <c r="B14" s="60" t="s">
        <v>190</v>
      </c>
      <c r="C14" s="60" t="s">
        <v>193</v>
      </c>
      <c r="D14" s="61" t="s">
        <v>221</v>
      </c>
      <c r="E14" s="61" t="s">
        <v>171</v>
      </c>
      <c r="F14" s="62">
        <v>3097882</v>
      </c>
      <c r="G14" s="67">
        <v>3.0978819999999998</v>
      </c>
      <c r="H14" s="68" t="s">
        <v>118</v>
      </c>
      <c r="I14" s="68" t="s">
        <v>302</v>
      </c>
      <c r="J14" s="69" t="s">
        <v>303</v>
      </c>
    </row>
    <row r="15" spans="1:10">
      <c r="B15" s="57" t="s">
        <v>190</v>
      </c>
      <c r="C15" s="57" t="s">
        <v>193</v>
      </c>
      <c r="D15" s="58" t="s">
        <v>120</v>
      </c>
      <c r="E15" s="58" t="s">
        <v>171</v>
      </c>
      <c r="F15" s="59">
        <v>764774</v>
      </c>
      <c r="G15" s="70">
        <v>0.76477399999999995</v>
      </c>
      <c r="H15" s="71" t="s">
        <v>118</v>
      </c>
      <c r="I15" s="71" t="s">
        <v>302</v>
      </c>
      <c r="J15" s="71" t="s">
        <v>304</v>
      </c>
    </row>
    <row r="16" spans="1:10">
      <c r="B16" s="60" t="s">
        <v>190</v>
      </c>
      <c r="C16" s="60" t="s">
        <v>193</v>
      </c>
      <c r="D16" s="61" t="s">
        <v>124</v>
      </c>
      <c r="E16" s="61" t="s">
        <v>171</v>
      </c>
      <c r="F16" s="62">
        <v>90927</v>
      </c>
      <c r="G16" s="67">
        <v>9.0926999999999994E-2</v>
      </c>
      <c r="H16" s="68" t="s">
        <v>118</v>
      </c>
      <c r="I16" s="68" t="s">
        <v>302</v>
      </c>
      <c r="J16" s="69" t="s">
        <v>305</v>
      </c>
    </row>
    <row r="17" spans="2:10">
      <c r="B17" s="57" t="s">
        <v>190</v>
      </c>
      <c r="C17" s="57" t="s">
        <v>193</v>
      </c>
      <c r="D17" s="58" t="s">
        <v>219</v>
      </c>
      <c r="E17" s="58" t="s">
        <v>171</v>
      </c>
      <c r="F17" s="59">
        <v>158160</v>
      </c>
      <c r="G17" s="70">
        <v>0.15816</v>
      </c>
      <c r="H17" s="71" t="s">
        <v>118</v>
      </c>
      <c r="I17" s="71" t="s">
        <v>302</v>
      </c>
      <c r="J17" s="71" t="s">
        <v>303</v>
      </c>
    </row>
    <row r="18" spans="2:10">
      <c r="B18" s="60" t="s">
        <v>190</v>
      </c>
      <c r="C18" s="60" t="s">
        <v>193</v>
      </c>
      <c r="D18" s="61" t="s">
        <v>123</v>
      </c>
      <c r="E18" s="61" t="s">
        <v>171</v>
      </c>
      <c r="F18" s="62">
        <v>477985</v>
      </c>
      <c r="G18" s="67">
        <v>0.47798499999999999</v>
      </c>
      <c r="H18" s="68" t="s">
        <v>118</v>
      </c>
      <c r="I18" s="68" t="s">
        <v>302</v>
      </c>
      <c r="J18" s="69" t="s">
        <v>306</v>
      </c>
    </row>
    <row r="19" spans="2:10">
      <c r="B19" s="57" t="s">
        <v>190</v>
      </c>
      <c r="C19" s="57" t="s">
        <v>193</v>
      </c>
      <c r="D19" s="58" t="s">
        <v>121</v>
      </c>
      <c r="E19" s="58" t="s">
        <v>171</v>
      </c>
      <c r="F19" s="59">
        <v>955968</v>
      </c>
      <c r="G19" s="70">
        <v>0.95596800000000004</v>
      </c>
      <c r="H19" s="71" t="s">
        <v>118</v>
      </c>
      <c r="I19" s="71" t="s">
        <v>302</v>
      </c>
      <c r="J19" s="71" t="s">
        <v>304</v>
      </c>
    </row>
    <row r="20" spans="2:10">
      <c r="B20" s="60" t="s">
        <v>190</v>
      </c>
      <c r="C20" s="60" t="s">
        <v>193</v>
      </c>
      <c r="D20" s="61" t="s">
        <v>225</v>
      </c>
      <c r="E20" s="61" t="s">
        <v>171</v>
      </c>
      <c r="F20" s="62">
        <v>55132</v>
      </c>
      <c r="G20" s="67">
        <v>5.5132E-2</v>
      </c>
      <c r="H20" s="68" t="s">
        <v>118</v>
      </c>
      <c r="I20" s="68" t="s">
        <v>302</v>
      </c>
      <c r="J20" s="69" t="s">
        <v>303</v>
      </c>
    </row>
    <row r="21" spans="2:10">
      <c r="B21" s="57" t="s">
        <v>190</v>
      </c>
      <c r="C21" s="57" t="s">
        <v>193</v>
      </c>
      <c r="D21" s="58" t="s">
        <v>223</v>
      </c>
      <c r="E21" s="58" t="s">
        <v>171</v>
      </c>
      <c r="F21" s="59">
        <v>365585</v>
      </c>
      <c r="G21" s="70">
        <v>0.36558499999999999</v>
      </c>
      <c r="H21" s="71" t="s">
        <v>118</v>
      </c>
      <c r="I21" s="71" t="s">
        <v>302</v>
      </c>
      <c r="J21" s="71" t="s">
        <v>303</v>
      </c>
    </row>
    <row r="22" spans="2:10">
      <c r="B22" s="60" t="s">
        <v>190</v>
      </c>
      <c r="C22" s="60" t="s">
        <v>193</v>
      </c>
      <c r="D22" s="61" t="s">
        <v>223</v>
      </c>
      <c r="E22" s="61" t="s">
        <v>171</v>
      </c>
      <c r="F22" s="62">
        <v>24917</v>
      </c>
      <c r="G22" s="67">
        <v>2.4917000000000002E-2</v>
      </c>
      <c r="H22" s="68" t="s">
        <v>118</v>
      </c>
      <c r="I22" s="68" t="s">
        <v>302</v>
      </c>
      <c r="J22" s="69" t="s">
        <v>303</v>
      </c>
    </row>
    <row r="23" spans="2:10">
      <c r="B23" s="57" t="s">
        <v>190</v>
      </c>
      <c r="C23" s="57" t="s">
        <v>193</v>
      </c>
      <c r="D23" s="58" t="s">
        <v>224</v>
      </c>
      <c r="E23" s="58" t="s">
        <v>171</v>
      </c>
      <c r="F23" s="59">
        <v>87510</v>
      </c>
      <c r="G23" s="70">
        <v>8.7510000000000004E-2</v>
      </c>
      <c r="H23" s="71" t="s">
        <v>118</v>
      </c>
      <c r="I23" s="71" t="s">
        <v>302</v>
      </c>
      <c r="J23" s="71" t="s">
        <v>303</v>
      </c>
    </row>
    <row r="24" spans="2:10">
      <c r="B24" s="60" t="s">
        <v>190</v>
      </c>
      <c r="C24" s="60" t="s">
        <v>193</v>
      </c>
      <c r="D24" s="61" t="s">
        <v>119</v>
      </c>
      <c r="E24" s="61" t="s">
        <v>171</v>
      </c>
      <c r="F24" s="62">
        <v>18798664</v>
      </c>
      <c r="G24" s="67">
        <v>18.798663999999999</v>
      </c>
      <c r="H24" s="68" t="s">
        <v>118</v>
      </c>
      <c r="I24" s="68" t="s">
        <v>302</v>
      </c>
      <c r="J24" s="69" t="s">
        <v>303</v>
      </c>
    </row>
    <row r="25" spans="2:10">
      <c r="B25" s="57" t="s">
        <v>190</v>
      </c>
      <c r="C25" s="57" t="s">
        <v>263</v>
      </c>
      <c r="D25" s="58" t="s">
        <v>120</v>
      </c>
      <c r="E25" s="58" t="s">
        <v>171</v>
      </c>
      <c r="F25" s="59">
        <v>453007</v>
      </c>
      <c r="G25" s="70">
        <v>0.45300699999999999</v>
      </c>
      <c r="H25" s="71" t="s">
        <v>118</v>
      </c>
      <c r="I25" s="71" t="s">
        <v>302</v>
      </c>
      <c r="J25" s="71" t="s">
        <v>304</v>
      </c>
    </row>
    <row r="26" spans="2:10">
      <c r="B26" s="60" t="s">
        <v>190</v>
      </c>
      <c r="C26" s="60" t="s">
        <v>263</v>
      </c>
      <c r="D26" s="61" t="s">
        <v>124</v>
      </c>
      <c r="E26" s="61" t="s">
        <v>171</v>
      </c>
      <c r="F26" s="62">
        <v>226504</v>
      </c>
      <c r="G26" s="67">
        <v>0.22650400000000001</v>
      </c>
      <c r="H26" s="68" t="s">
        <v>118</v>
      </c>
      <c r="I26" s="68" t="s">
        <v>302</v>
      </c>
      <c r="J26" s="69" t="s">
        <v>305</v>
      </c>
    </row>
    <row r="27" spans="2:10">
      <c r="B27" s="57" t="s">
        <v>190</v>
      </c>
      <c r="C27" s="57" t="s">
        <v>263</v>
      </c>
      <c r="D27" s="58" t="s">
        <v>123</v>
      </c>
      <c r="E27" s="58" t="s">
        <v>171</v>
      </c>
      <c r="F27" s="59">
        <v>283129</v>
      </c>
      <c r="G27" s="70">
        <v>0.28312900000000002</v>
      </c>
      <c r="H27" s="71" t="s">
        <v>118</v>
      </c>
      <c r="I27" s="71" t="s">
        <v>302</v>
      </c>
      <c r="J27" s="71" t="s">
        <v>306</v>
      </c>
    </row>
    <row r="28" spans="2:10">
      <c r="B28" s="60" t="s">
        <v>190</v>
      </c>
      <c r="C28" s="60" t="s">
        <v>263</v>
      </c>
      <c r="D28" s="61" t="s">
        <v>121</v>
      </c>
      <c r="E28" s="61" t="s">
        <v>171</v>
      </c>
      <c r="F28" s="62">
        <v>566259</v>
      </c>
      <c r="G28" s="67">
        <v>0.56625899999999996</v>
      </c>
      <c r="H28" s="68" t="s">
        <v>118</v>
      </c>
      <c r="I28" s="68" t="s">
        <v>302</v>
      </c>
      <c r="J28" s="69" t="s">
        <v>304</v>
      </c>
    </row>
    <row r="29" spans="2:10">
      <c r="B29" s="57" t="s">
        <v>190</v>
      </c>
      <c r="C29" s="57" t="s">
        <v>256</v>
      </c>
      <c r="D29" s="58" t="s">
        <v>120</v>
      </c>
      <c r="E29" s="58" t="s">
        <v>171</v>
      </c>
      <c r="F29" s="59">
        <v>1192578</v>
      </c>
      <c r="G29" s="70">
        <v>1.1925779999999999</v>
      </c>
      <c r="H29" s="71" t="s">
        <v>118</v>
      </c>
      <c r="I29" s="71" t="s">
        <v>302</v>
      </c>
      <c r="J29" s="71" t="s">
        <v>304</v>
      </c>
    </row>
    <row r="30" spans="2:10">
      <c r="B30" s="60" t="s">
        <v>190</v>
      </c>
      <c r="C30" s="60" t="s">
        <v>256</v>
      </c>
      <c r="D30" s="61" t="s">
        <v>124</v>
      </c>
      <c r="E30" s="61" t="s">
        <v>171</v>
      </c>
      <c r="F30" s="62">
        <v>17602</v>
      </c>
      <c r="G30" s="67">
        <v>1.7602E-2</v>
      </c>
      <c r="H30" s="68" t="s">
        <v>118</v>
      </c>
      <c r="I30" s="68" t="s">
        <v>302</v>
      </c>
      <c r="J30" s="69" t="s">
        <v>305</v>
      </c>
    </row>
    <row r="31" spans="2:10">
      <c r="B31" s="57" t="s">
        <v>190</v>
      </c>
      <c r="C31" s="57" t="s">
        <v>256</v>
      </c>
      <c r="D31" s="58" t="s">
        <v>123</v>
      </c>
      <c r="E31" s="58" t="s">
        <v>171</v>
      </c>
      <c r="F31" s="59">
        <v>745362</v>
      </c>
      <c r="G31" s="70">
        <v>0.74536199999999997</v>
      </c>
      <c r="H31" s="71" t="s">
        <v>118</v>
      </c>
      <c r="I31" s="71" t="s">
        <v>302</v>
      </c>
      <c r="J31" s="71" t="s">
        <v>306</v>
      </c>
    </row>
    <row r="32" spans="2:10">
      <c r="B32" s="60" t="s">
        <v>190</v>
      </c>
      <c r="C32" s="60" t="s">
        <v>256</v>
      </c>
      <c r="D32" s="61" t="s">
        <v>121</v>
      </c>
      <c r="E32" s="61" t="s">
        <v>171</v>
      </c>
      <c r="F32" s="62">
        <v>1490717</v>
      </c>
      <c r="G32" s="67">
        <v>1.4907170000000001</v>
      </c>
      <c r="H32" s="68" t="s">
        <v>118</v>
      </c>
      <c r="I32" s="68" t="s">
        <v>302</v>
      </c>
      <c r="J32" s="69" t="s">
        <v>304</v>
      </c>
    </row>
    <row r="33" spans="2:10">
      <c r="B33" s="57" t="s">
        <v>190</v>
      </c>
      <c r="C33" s="57" t="s">
        <v>211</v>
      </c>
      <c r="D33" s="58" t="s">
        <v>122</v>
      </c>
      <c r="E33" s="58" t="s">
        <v>171</v>
      </c>
      <c r="F33" s="59">
        <v>150010</v>
      </c>
      <c r="G33" s="70">
        <v>0.15001</v>
      </c>
      <c r="H33" s="71" t="s">
        <v>118</v>
      </c>
      <c r="I33" s="71" t="s">
        <v>302</v>
      </c>
      <c r="J33" s="71" t="s">
        <v>303</v>
      </c>
    </row>
    <row r="34" spans="2:10">
      <c r="B34" s="60" t="s">
        <v>190</v>
      </c>
      <c r="C34" s="60" t="s">
        <v>211</v>
      </c>
      <c r="D34" s="61" t="s">
        <v>120</v>
      </c>
      <c r="E34" s="61" t="s">
        <v>171</v>
      </c>
      <c r="F34" s="62">
        <v>717631</v>
      </c>
      <c r="G34" s="67">
        <v>0.71763100000000002</v>
      </c>
      <c r="H34" s="68" t="s">
        <v>118</v>
      </c>
      <c r="I34" s="68" t="s">
        <v>302</v>
      </c>
      <c r="J34" s="69" t="s">
        <v>304</v>
      </c>
    </row>
    <row r="35" spans="2:10">
      <c r="B35" s="57" t="s">
        <v>190</v>
      </c>
      <c r="C35" s="57" t="s">
        <v>211</v>
      </c>
      <c r="D35" s="58" t="s">
        <v>124</v>
      </c>
      <c r="E35" s="58" t="s">
        <v>171</v>
      </c>
      <c r="F35" s="59">
        <v>12001</v>
      </c>
      <c r="G35" s="70">
        <v>1.2001E-2</v>
      </c>
      <c r="H35" s="71" t="s">
        <v>118</v>
      </c>
      <c r="I35" s="71" t="s">
        <v>302</v>
      </c>
      <c r="J35" s="71" t="s">
        <v>305</v>
      </c>
    </row>
    <row r="36" spans="2:10">
      <c r="B36" s="60" t="s">
        <v>190</v>
      </c>
      <c r="C36" s="60" t="s">
        <v>211</v>
      </c>
      <c r="D36" s="61" t="s">
        <v>219</v>
      </c>
      <c r="E36" s="61" t="s">
        <v>171</v>
      </c>
      <c r="F36" s="62">
        <v>90006</v>
      </c>
      <c r="G36" s="67">
        <v>9.0006000000000003E-2</v>
      </c>
      <c r="H36" s="68" t="s">
        <v>118</v>
      </c>
      <c r="I36" s="68" t="s">
        <v>302</v>
      </c>
      <c r="J36" s="69" t="s">
        <v>303</v>
      </c>
    </row>
    <row r="37" spans="2:10">
      <c r="B37" s="57" t="s">
        <v>190</v>
      </c>
      <c r="C37" s="57" t="s">
        <v>211</v>
      </c>
      <c r="D37" s="58" t="s">
        <v>123</v>
      </c>
      <c r="E37" s="58" t="s">
        <v>171</v>
      </c>
      <c r="F37" s="59">
        <v>448518</v>
      </c>
      <c r="G37" s="70">
        <v>0.44851799999999997</v>
      </c>
      <c r="H37" s="71" t="s">
        <v>118</v>
      </c>
      <c r="I37" s="71" t="s">
        <v>302</v>
      </c>
      <c r="J37" s="71" t="s">
        <v>306</v>
      </c>
    </row>
    <row r="38" spans="2:10">
      <c r="B38" s="60" t="s">
        <v>190</v>
      </c>
      <c r="C38" s="60" t="s">
        <v>211</v>
      </c>
      <c r="D38" s="61" t="s">
        <v>121</v>
      </c>
      <c r="E38" s="61" t="s">
        <v>171</v>
      </c>
      <c r="F38" s="62">
        <v>897041</v>
      </c>
      <c r="G38" s="67">
        <v>0.89704099999999998</v>
      </c>
      <c r="H38" s="68" t="s">
        <v>118</v>
      </c>
      <c r="I38" s="68" t="s">
        <v>302</v>
      </c>
      <c r="J38" s="69" t="s">
        <v>304</v>
      </c>
    </row>
    <row r="39" spans="2:10">
      <c r="B39" s="57" t="s">
        <v>190</v>
      </c>
      <c r="C39" s="57" t="s">
        <v>211</v>
      </c>
      <c r="D39" s="58" t="s">
        <v>119</v>
      </c>
      <c r="E39" s="58" t="s">
        <v>171</v>
      </c>
      <c r="F39" s="59">
        <v>572437</v>
      </c>
      <c r="G39" s="70">
        <v>0.57243699999999997</v>
      </c>
      <c r="H39" s="71" t="s">
        <v>118</v>
      </c>
      <c r="I39" s="71" t="s">
        <v>302</v>
      </c>
      <c r="J39" s="71" t="s">
        <v>303</v>
      </c>
    </row>
    <row r="40" spans="2:10">
      <c r="B40" s="60" t="s">
        <v>190</v>
      </c>
      <c r="C40" s="60" t="s">
        <v>207</v>
      </c>
      <c r="D40" s="61" t="s">
        <v>135</v>
      </c>
      <c r="E40" s="61" t="s">
        <v>171</v>
      </c>
      <c r="F40" s="62">
        <v>1791720</v>
      </c>
      <c r="G40" s="67">
        <v>1.79172</v>
      </c>
      <c r="H40" s="68" t="s">
        <v>134</v>
      </c>
      <c r="I40" s="68" t="s">
        <v>134</v>
      </c>
      <c r="J40" s="69" t="s">
        <v>134</v>
      </c>
    </row>
    <row r="41" spans="2:10">
      <c r="B41" s="57" t="s">
        <v>190</v>
      </c>
      <c r="C41" s="57" t="s">
        <v>238</v>
      </c>
      <c r="D41" s="58" t="s">
        <v>135</v>
      </c>
      <c r="E41" s="58" t="s">
        <v>171</v>
      </c>
      <c r="F41" s="59">
        <v>2740926</v>
      </c>
      <c r="G41" s="70">
        <v>2.740926</v>
      </c>
      <c r="H41" s="71" t="s">
        <v>134</v>
      </c>
      <c r="I41" s="71" t="s">
        <v>134</v>
      </c>
      <c r="J41" s="71" t="s">
        <v>134</v>
      </c>
    </row>
    <row r="42" spans="2:10">
      <c r="B42" s="60" t="s">
        <v>190</v>
      </c>
      <c r="C42" s="60" t="s">
        <v>211</v>
      </c>
      <c r="D42" s="61" t="s">
        <v>135</v>
      </c>
      <c r="E42" s="61" t="s">
        <v>171</v>
      </c>
      <c r="F42" s="62">
        <v>1867320</v>
      </c>
      <c r="G42" s="67">
        <v>1.8673200000000001</v>
      </c>
      <c r="H42" s="68" t="s">
        <v>134</v>
      </c>
      <c r="I42" s="68" t="s">
        <v>134</v>
      </c>
      <c r="J42" s="69" t="s">
        <v>134</v>
      </c>
    </row>
    <row r="43" spans="2:10">
      <c r="B43" s="57" t="s">
        <v>190</v>
      </c>
      <c r="C43" s="57" t="s">
        <v>269</v>
      </c>
      <c r="D43" s="58" t="s">
        <v>135</v>
      </c>
      <c r="E43" s="58" t="s">
        <v>171</v>
      </c>
      <c r="F43" s="59">
        <v>586171</v>
      </c>
      <c r="G43" s="70">
        <v>0.586171</v>
      </c>
      <c r="H43" s="71" t="s">
        <v>134</v>
      </c>
      <c r="I43" s="71" t="s">
        <v>134</v>
      </c>
      <c r="J43" s="71" t="s">
        <v>134</v>
      </c>
    </row>
    <row r="44" spans="2:10">
      <c r="B44" s="60" t="s">
        <v>190</v>
      </c>
      <c r="C44" s="60" t="s">
        <v>282</v>
      </c>
      <c r="D44" s="61" t="s">
        <v>135</v>
      </c>
      <c r="E44" s="61" t="s">
        <v>171</v>
      </c>
      <c r="F44" s="62">
        <v>56700</v>
      </c>
      <c r="G44" s="67">
        <v>5.67E-2</v>
      </c>
      <c r="H44" s="68" t="s">
        <v>134</v>
      </c>
      <c r="I44" s="68" t="s">
        <v>134</v>
      </c>
      <c r="J44" s="69" t="s">
        <v>134</v>
      </c>
    </row>
    <row r="45" spans="2:10">
      <c r="B45" s="57" t="s">
        <v>190</v>
      </c>
      <c r="C45" s="57" t="s">
        <v>240</v>
      </c>
      <c r="D45" s="58" t="s">
        <v>135</v>
      </c>
      <c r="E45" s="58" t="s">
        <v>171</v>
      </c>
      <c r="F45" s="59">
        <v>10601802</v>
      </c>
      <c r="G45" s="70">
        <v>10.601801999999999</v>
      </c>
      <c r="H45" s="71" t="s">
        <v>134</v>
      </c>
      <c r="I45" s="71" t="s">
        <v>134</v>
      </c>
      <c r="J45" s="71" t="s">
        <v>134</v>
      </c>
    </row>
    <row r="46" spans="2:10">
      <c r="B46" s="60" t="s">
        <v>190</v>
      </c>
      <c r="C46" s="60" t="s">
        <v>245</v>
      </c>
      <c r="D46" s="61" t="s">
        <v>135</v>
      </c>
      <c r="E46" s="61" t="s">
        <v>171</v>
      </c>
      <c r="F46" s="62">
        <v>7484396</v>
      </c>
      <c r="G46" s="67">
        <v>7.4843960000000003</v>
      </c>
      <c r="H46" s="68" t="s">
        <v>134</v>
      </c>
      <c r="I46" s="68" t="s">
        <v>134</v>
      </c>
      <c r="J46" s="69" t="s">
        <v>134</v>
      </c>
    </row>
    <row r="47" spans="2:10">
      <c r="B47" s="57" t="s">
        <v>190</v>
      </c>
      <c r="C47" s="57" t="s">
        <v>257</v>
      </c>
      <c r="D47" s="58" t="s">
        <v>135</v>
      </c>
      <c r="E47" s="58" t="s">
        <v>171</v>
      </c>
      <c r="F47" s="59">
        <v>2893829</v>
      </c>
      <c r="G47" s="70">
        <v>2.8938290000000002</v>
      </c>
      <c r="H47" s="71" t="s">
        <v>134</v>
      </c>
      <c r="I47" s="71" t="s">
        <v>134</v>
      </c>
      <c r="J47" s="71" t="s">
        <v>134</v>
      </c>
    </row>
    <row r="48" spans="2:10">
      <c r="B48" s="60" t="s">
        <v>190</v>
      </c>
      <c r="C48" s="60" t="s">
        <v>237</v>
      </c>
      <c r="D48" s="61" t="s">
        <v>135</v>
      </c>
      <c r="E48" s="61" t="s">
        <v>171</v>
      </c>
      <c r="F48" s="62">
        <v>3306866</v>
      </c>
      <c r="G48" s="67">
        <v>3.3068659999999999</v>
      </c>
      <c r="H48" s="68" t="s">
        <v>134</v>
      </c>
      <c r="I48" s="68" t="s">
        <v>134</v>
      </c>
      <c r="J48" s="69" t="s">
        <v>134</v>
      </c>
    </row>
    <row r="49" spans="2:10">
      <c r="B49" s="57" t="s">
        <v>190</v>
      </c>
      <c r="C49" s="57" t="s">
        <v>260</v>
      </c>
      <c r="D49" s="58" t="s">
        <v>135</v>
      </c>
      <c r="E49" s="58" t="s">
        <v>171</v>
      </c>
      <c r="F49" s="59">
        <v>1988317</v>
      </c>
      <c r="G49" s="70">
        <v>1.9883169999999999</v>
      </c>
      <c r="H49" s="71" t="s">
        <v>134</v>
      </c>
      <c r="I49" s="71" t="s">
        <v>134</v>
      </c>
      <c r="J49" s="71" t="s">
        <v>134</v>
      </c>
    </row>
    <row r="50" spans="2:10">
      <c r="B50" s="60" t="s">
        <v>190</v>
      </c>
      <c r="C50" s="60" t="s">
        <v>271</v>
      </c>
      <c r="D50" s="61" t="s">
        <v>135</v>
      </c>
      <c r="E50" s="61" t="s">
        <v>171</v>
      </c>
      <c r="F50" s="62">
        <v>483803</v>
      </c>
      <c r="G50" s="67">
        <v>0.48380299999999998</v>
      </c>
      <c r="H50" s="68" t="s">
        <v>134</v>
      </c>
      <c r="I50" s="68" t="s">
        <v>134</v>
      </c>
      <c r="J50" s="69" t="s">
        <v>134</v>
      </c>
    </row>
    <row r="51" spans="2:10">
      <c r="B51" s="57" t="s">
        <v>190</v>
      </c>
      <c r="C51" s="57" t="s">
        <v>251</v>
      </c>
      <c r="D51" s="58" t="s">
        <v>135</v>
      </c>
      <c r="E51" s="58" t="s">
        <v>171</v>
      </c>
      <c r="F51" s="59">
        <v>619296</v>
      </c>
      <c r="G51" s="70">
        <v>0.61929599999999996</v>
      </c>
      <c r="H51" s="71" t="s">
        <v>134</v>
      </c>
      <c r="I51" s="71" t="s">
        <v>134</v>
      </c>
      <c r="J51" s="71" t="s">
        <v>134</v>
      </c>
    </row>
    <row r="52" spans="2:10">
      <c r="B52" s="60" t="s">
        <v>190</v>
      </c>
      <c r="C52" s="60" t="s">
        <v>201</v>
      </c>
      <c r="D52" s="61" t="s">
        <v>135</v>
      </c>
      <c r="E52" s="61" t="s">
        <v>171</v>
      </c>
      <c r="F52" s="62">
        <v>95256</v>
      </c>
      <c r="G52" s="67">
        <v>9.5255999999999993E-2</v>
      </c>
      <c r="H52" s="68" t="s">
        <v>134</v>
      </c>
      <c r="I52" s="68" t="s">
        <v>134</v>
      </c>
      <c r="J52" s="69" t="s">
        <v>134</v>
      </c>
    </row>
    <row r="53" spans="2:10">
      <c r="B53" s="57" t="s">
        <v>190</v>
      </c>
      <c r="C53" s="57" t="s">
        <v>259</v>
      </c>
      <c r="D53" s="58" t="s">
        <v>135</v>
      </c>
      <c r="E53" s="58" t="s">
        <v>171</v>
      </c>
      <c r="F53" s="59">
        <v>2223253</v>
      </c>
      <c r="G53" s="70">
        <v>2.2232530000000001</v>
      </c>
      <c r="H53" s="71" t="s">
        <v>134</v>
      </c>
      <c r="I53" s="71" t="s">
        <v>134</v>
      </c>
      <c r="J53" s="71" t="s">
        <v>134</v>
      </c>
    </row>
    <row r="54" spans="2:10">
      <c r="B54" s="60" t="s">
        <v>190</v>
      </c>
      <c r="C54" s="60" t="s">
        <v>280</v>
      </c>
      <c r="D54" s="61" t="s">
        <v>135</v>
      </c>
      <c r="E54" s="61" t="s">
        <v>171</v>
      </c>
      <c r="F54" s="62">
        <v>68040</v>
      </c>
      <c r="G54" s="67">
        <v>6.8040000000000003E-2</v>
      </c>
      <c r="H54" s="68" t="s">
        <v>134</v>
      </c>
      <c r="I54" s="68" t="s">
        <v>134</v>
      </c>
      <c r="J54" s="69" t="s">
        <v>134</v>
      </c>
    </row>
    <row r="55" spans="2:10">
      <c r="B55" s="57" t="s">
        <v>190</v>
      </c>
      <c r="C55" s="57" t="s">
        <v>279</v>
      </c>
      <c r="D55" s="58" t="s">
        <v>135</v>
      </c>
      <c r="E55" s="58" t="s">
        <v>171</v>
      </c>
      <c r="F55" s="59">
        <v>77490</v>
      </c>
      <c r="G55" s="70">
        <v>7.7490000000000003E-2</v>
      </c>
      <c r="H55" s="71" t="s">
        <v>134</v>
      </c>
      <c r="I55" s="71" t="s">
        <v>134</v>
      </c>
      <c r="J55" s="71" t="s">
        <v>134</v>
      </c>
    </row>
    <row r="56" spans="2:10">
      <c r="B56" s="60" t="s">
        <v>190</v>
      </c>
      <c r="C56" s="60" t="s">
        <v>252</v>
      </c>
      <c r="D56" s="61" t="s">
        <v>135</v>
      </c>
      <c r="E56" s="61" t="s">
        <v>171</v>
      </c>
      <c r="F56" s="62">
        <v>4309200</v>
      </c>
      <c r="G56" s="67">
        <v>4.3091999999999997</v>
      </c>
      <c r="H56" s="68" t="s">
        <v>134</v>
      </c>
      <c r="I56" s="68" t="s">
        <v>134</v>
      </c>
      <c r="J56" s="69" t="s">
        <v>134</v>
      </c>
    </row>
    <row r="57" spans="2:10">
      <c r="B57" s="57" t="s">
        <v>190</v>
      </c>
      <c r="C57" s="57" t="s">
        <v>276</v>
      </c>
      <c r="D57" s="58" t="s">
        <v>135</v>
      </c>
      <c r="E57" s="58" t="s">
        <v>171</v>
      </c>
      <c r="F57" s="59">
        <v>249480</v>
      </c>
      <c r="G57" s="70">
        <v>0.24948000000000001</v>
      </c>
      <c r="H57" s="71" t="s">
        <v>134</v>
      </c>
      <c r="I57" s="71" t="s">
        <v>134</v>
      </c>
      <c r="J57" s="71" t="s">
        <v>134</v>
      </c>
    </row>
    <row r="58" spans="2:10">
      <c r="B58" s="60" t="s">
        <v>190</v>
      </c>
      <c r="C58" s="60" t="s">
        <v>281</v>
      </c>
      <c r="D58" s="61" t="s">
        <v>135</v>
      </c>
      <c r="E58" s="61" t="s">
        <v>171</v>
      </c>
      <c r="F58" s="62">
        <v>65574</v>
      </c>
      <c r="G58" s="67">
        <v>6.5573999999999993E-2</v>
      </c>
      <c r="H58" s="68" t="s">
        <v>134</v>
      </c>
      <c r="I58" s="68" t="s">
        <v>134</v>
      </c>
      <c r="J58" s="69" t="s">
        <v>134</v>
      </c>
    </row>
    <row r="59" spans="2:10">
      <c r="B59" s="57" t="s">
        <v>190</v>
      </c>
      <c r="C59" s="57" t="s">
        <v>193</v>
      </c>
      <c r="D59" s="58" t="s">
        <v>135</v>
      </c>
      <c r="E59" s="58" t="s">
        <v>171</v>
      </c>
      <c r="F59" s="59">
        <v>4993282</v>
      </c>
      <c r="G59" s="70">
        <v>4.9932819999999998</v>
      </c>
      <c r="H59" s="71" t="s">
        <v>134</v>
      </c>
      <c r="I59" s="71" t="s">
        <v>134</v>
      </c>
      <c r="J59" s="71" t="s">
        <v>134</v>
      </c>
    </row>
    <row r="60" spans="2:10">
      <c r="B60" s="60" t="s">
        <v>190</v>
      </c>
      <c r="C60" s="60" t="s">
        <v>258</v>
      </c>
      <c r="D60" s="61" t="s">
        <v>135</v>
      </c>
      <c r="E60" s="61" t="s">
        <v>171</v>
      </c>
      <c r="F60" s="62">
        <v>2521922</v>
      </c>
      <c r="G60" s="67">
        <v>2.521922</v>
      </c>
      <c r="H60" s="68" t="s">
        <v>134</v>
      </c>
      <c r="I60" s="68" t="s">
        <v>134</v>
      </c>
      <c r="J60" s="69" t="s">
        <v>134</v>
      </c>
    </row>
    <row r="61" spans="2:10">
      <c r="B61" s="57" t="s">
        <v>190</v>
      </c>
      <c r="C61" s="57" t="s">
        <v>266</v>
      </c>
      <c r="D61" s="58" t="s">
        <v>135</v>
      </c>
      <c r="E61" s="58" t="s">
        <v>171</v>
      </c>
      <c r="F61" s="59">
        <v>1226232</v>
      </c>
      <c r="G61" s="70">
        <v>1.226232</v>
      </c>
      <c r="H61" s="71" t="s">
        <v>134</v>
      </c>
      <c r="I61" s="71" t="s">
        <v>134</v>
      </c>
      <c r="J61" s="71" t="s">
        <v>134</v>
      </c>
    </row>
    <row r="62" spans="2:10">
      <c r="B62" s="60" t="s">
        <v>190</v>
      </c>
      <c r="C62" s="60" t="s">
        <v>241</v>
      </c>
      <c r="D62" s="61" t="s">
        <v>135</v>
      </c>
      <c r="E62" s="61" t="s">
        <v>171</v>
      </c>
      <c r="F62" s="62">
        <v>10219334</v>
      </c>
      <c r="G62" s="67">
        <v>10.219334</v>
      </c>
      <c r="H62" s="68" t="s">
        <v>134</v>
      </c>
      <c r="I62" s="68" t="s">
        <v>134</v>
      </c>
      <c r="J62" s="69" t="s">
        <v>134</v>
      </c>
    </row>
    <row r="63" spans="2:10">
      <c r="B63" s="57" t="s">
        <v>190</v>
      </c>
      <c r="C63" s="57" t="s">
        <v>265</v>
      </c>
      <c r="D63" s="58" t="s">
        <v>135</v>
      </c>
      <c r="E63" s="58" t="s">
        <v>171</v>
      </c>
      <c r="F63" s="59">
        <v>1292540</v>
      </c>
      <c r="G63" s="70">
        <v>1.29254</v>
      </c>
      <c r="H63" s="71" t="s">
        <v>134</v>
      </c>
      <c r="I63" s="71" t="s">
        <v>134</v>
      </c>
      <c r="J63" s="71" t="s">
        <v>134</v>
      </c>
    </row>
    <row r="64" spans="2:10">
      <c r="B64" s="60" t="s">
        <v>190</v>
      </c>
      <c r="C64" s="60" t="s">
        <v>243</v>
      </c>
      <c r="D64" s="61" t="s">
        <v>135</v>
      </c>
      <c r="E64" s="61" t="s">
        <v>171</v>
      </c>
      <c r="F64" s="62">
        <v>9096603</v>
      </c>
      <c r="G64" s="67">
        <v>9.096603</v>
      </c>
      <c r="H64" s="68" t="s">
        <v>134</v>
      </c>
      <c r="I64" s="68" t="s">
        <v>134</v>
      </c>
      <c r="J64" s="69" t="s">
        <v>134</v>
      </c>
    </row>
    <row r="65" spans="2:10">
      <c r="B65" s="57" t="s">
        <v>190</v>
      </c>
      <c r="C65" s="57" t="s">
        <v>272</v>
      </c>
      <c r="D65" s="58" t="s">
        <v>135</v>
      </c>
      <c r="E65" s="58" t="s">
        <v>171</v>
      </c>
      <c r="F65" s="59">
        <v>376280</v>
      </c>
      <c r="G65" s="70">
        <v>0.37628</v>
      </c>
      <c r="H65" s="71" t="s">
        <v>134</v>
      </c>
      <c r="I65" s="71" t="s">
        <v>134</v>
      </c>
      <c r="J65" s="71" t="s">
        <v>134</v>
      </c>
    </row>
    <row r="66" spans="2:10">
      <c r="B66" s="60" t="s">
        <v>190</v>
      </c>
      <c r="C66" s="60" t="s">
        <v>268</v>
      </c>
      <c r="D66" s="61" t="s">
        <v>135</v>
      </c>
      <c r="E66" s="61" t="s">
        <v>171</v>
      </c>
      <c r="F66" s="62">
        <v>710640</v>
      </c>
      <c r="G66" s="67">
        <v>0.71064000000000005</v>
      </c>
      <c r="H66" s="68" t="s">
        <v>134</v>
      </c>
      <c r="I66" s="68" t="s">
        <v>134</v>
      </c>
      <c r="J66" s="69" t="s">
        <v>134</v>
      </c>
    </row>
    <row r="67" spans="2:10">
      <c r="B67" s="57" t="s">
        <v>190</v>
      </c>
      <c r="C67" s="57" t="s">
        <v>283</v>
      </c>
      <c r="D67" s="58" t="s">
        <v>135</v>
      </c>
      <c r="E67" s="58" t="s">
        <v>171</v>
      </c>
      <c r="F67" s="59">
        <v>30240</v>
      </c>
      <c r="G67" s="70">
        <v>3.024E-2</v>
      </c>
      <c r="H67" s="71" t="s">
        <v>134</v>
      </c>
      <c r="I67" s="71" t="s">
        <v>134</v>
      </c>
      <c r="J67" s="71" t="s">
        <v>134</v>
      </c>
    </row>
    <row r="68" spans="2:10">
      <c r="B68" s="60" t="s">
        <v>190</v>
      </c>
      <c r="C68" s="60" t="s">
        <v>199</v>
      </c>
      <c r="D68" s="61" t="s">
        <v>133</v>
      </c>
      <c r="E68" s="61" t="s">
        <v>171</v>
      </c>
      <c r="F68" s="62">
        <v>2000000</v>
      </c>
      <c r="G68" s="67">
        <v>2</v>
      </c>
      <c r="H68" s="68" t="s">
        <v>131</v>
      </c>
      <c r="I68" s="68" t="s">
        <v>131</v>
      </c>
      <c r="J68" s="69" t="s">
        <v>131</v>
      </c>
    </row>
    <row r="69" spans="2:10">
      <c r="B69" s="57" t="s">
        <v>190</v>
      </c>
      <c r="C69" s="57" t="s">
        <v>199</v>
      </c>
      <c r="D69" s="58" t="s">
        <v>133</v>
      </c>
      <c r="E69" s="58" t="s">
        <v>171</v>
      </c>
      <c r="F69" s="59">
        <v>6500000</v>
      </c>
      <c r="G69" s="70">
        <v>6.5</v>
      </c>
      <c r="H69" s="71" t="s">
        <v>131</v>
      </c>
      <c r="I69" s="71" t="s">
        <v>131</v>
      </c>
      <c r="J69" s="71" t="s">
        <v>131</v>
      </c>
    </row>
    <row r="70" spans="2:10">
      <c r="B70" s="60" t="s">
        <v>190</v>
      </c>
      <c r="C70" s="60" t="s">
        <v>199</v>
      </c>
      <c r="D70" s="61" t="s">
        <v>220</v>
      </c>
      <c r="E70" s="61" t="s">
        <v>171</v>
      </c>
      <c r="F70" s="62">
        <v>10000000</v>
      </c>
      <c r="G70" s="67">
        <v>10</v>
      </c>
      <c r="H70" s="68" t="s">
        <v>131</v>
      </c>
      <c r="I70" s="68" t="s">
        <v>302</v>
      </c>
      <c r="J70" s="69" t="s">
        <v>303</v>
      </c>
    </row>
    <row r="71" spans="2:10">
      <c r="B71" s="57" t="s">
        <v>190</v>
      </c>
      <c r="C71" s="57" t="s">
        <v>201</v>
      </c>
      <c r="D71" s="58" t="s">
        <v>220</v>
      </c>
      <c r="E71" s="58" t="s">
        <v>171</v>
      </c>
      <c r="F71" s="59">
        <v>3000000</v>
      </c>
      <c r="G71" s="70">
        <v>3</v>
      </c>
      <c r="H71" s="71" t="s">
        <v>131</v>
      </c>
      <c r="I71" s="71" t="s">
        <v>302</v>
      </c>
      <c r="J71" s="71" t="s">
        <v>303</v>
      </c>
    </row>
    <row r="72" spans="2:10">
      <c r="B72" s="60" t="s">
        <v>190</v>
      </c>
      <c r="C72" s="60" t="s">
        <v>201</v>
      </c>
      <c r="D72" s="61" t="s">
        <v>220</v>
      </c>
      <c r="E72" s="61" t="s">
        <v>171</v>
      </c>
      <c r="F72" s="62">
        <v>6002000</v>
      </c>
      <c r="G72" s="67">
        <v>6.0019999999999998</v>
      </c>
      <c r="H72" s="68" t="s">
        <v>131</v>
      </c>
      <c r="I72" s="68" t="s">
        <v>302</v>
      </c>
      <c r="J72" s="69" t="s">
        <v>303</v>
      </c>
    </row>
    <row r="73" spans="2:10">
      <c r="B73" s="57" t="s">
        <v>190</v>
      </c>
      <c r="C73" s="57" t="s">
        <v>213</v>
      </c>
      <c r="D73" s="58" t="s">
        <v>220</v>
      </c>
      <c r="E73" s="58" t="s">
        <v>171</v>
      </c>
      <c r="F73" s="59">
        <v>148500</v>
      </c>
      <c r="G73" s="70">
        <v>0.14849999999999999</v>
      </c>
      <c r="H73" s="71" t="s">
        <v>131</v>
      </c>
      <c r="I73" s="71" t="s">
        <v>302</v>
      </c>
      <c r="J73" s="71" t="s">
        <v>303</v>
      </c>
    </row>
    <row r="74" spans="2:10">
      <c r="B74" s="60" t="s">
        <v>190</v>
      </c>
      <c r="C74" s="60" t="s">
        <v>204</v>
      </c>
      <c r="D74" s="61" t="s">
        <v>133</v>
      </c>
      <c r="E74" s="61" t="s">
        <v>171</v>
      </c>
      <c r="F74" s="62">
        <v>98000000</v>
      </c>
      <c r="G74" s="67">
        <v>98</v>
      </c>
      <c r="H74" s="68" t="s">
        <v>131</v>
      </c>
      <c r="I74" s="68" t="s">
        <v>131</v>
      </c>
      <c r="J74" s="69" t="s">
        <v>131</v>
      </c>
    </row>
    <row r="75" spans="2:10">
      <c r="B75" s="57" t="s">
        <v>190</v>
      </c>
      <c r="C75" s="57" t="s">
        <v>204</v>
      </c>
      <c r="D75" s="58" t="s">
        <v>220</v>
      </c>
      <c r="E75" s="58" t="s">
        <v>171</v>
      </c>
      <c r="F75" s="59">
        <v>5000000</v>
      </c>
      <c r="G75" s="70">
        <v>5</v>
      </c>
      <c r="H75" s="71" t="s">
        <v>131</v>
      </c>
      <c r="I75" s="71" t="s">
        <v>302</v>
      </c>
      <c r="J75" s="71" t="s">
        <v>303</v>
      </c>
    </row>
    <row r="76" spans="2:10">
      <c r="B76" s="60" t="s">
        <v>190</v>
      </c>
      <c r="C76" s="60" t="s">
        <v>208</v>
      </c>
      <c r="D76" s="61" t="s">
        <v>220</v>
      </c>
      <c r="E76" s="61" t="s">
        <v>171</v>
      </c>
      <c r="F76" s="62">
        <v>1000000</v>
      </c>
      <c r="G76" s="67">
        <v>1</v>
      </c>
      <c r="H76" s="68" t="s">
        <v>131</v>
      </c>
      <c r="I76" s="68" t="s">
        <v>302</v>
      </c>
      <c r="J76" s="69" t="s">
        <v>303</v>
      </c>
    </row>
    <row r="77" spans="2:10">
      <c r="B77" s="57" t="s">
        <v>190</v>
      </c>
      <c r="C77" s="57" t="s">
        <v>209</v>
      </c>
      <c r="D77" s="58" t="s">
        <v>220</v>
      </c>
      <c r="E77" s="58" t="s">
        <v>171</v>
      </c>
      <c r="F77" s="59">
        <v>976000</v>
      </c>
      <c r="G77" s="70">
        <v>0.97599999999999998</v>
      </c>
      <c r="H77" s="71" t="s">
        <v>131</v>
      </c>
      <c r="I77" s="71" t="s">
        <v>302</v>
      </c>
      <c r="J77" s="71" t="s">
        <v>303</v>
      </c>
    </row>
    <row r="78" spans="2:10">
      <c r="B78" s="60" t="s">
        <v>190</v>
      </c>
      <c r="C78" s="60" t="s">
        <v>207</v>
      </c>
      <c r="D78" s="61" t="s">
        <v>220</v>
      </c>
      <c r="E78" s="61" t="s">
        <v>171</v>
      </c>
      <c r="F78" s="62">
        <v>1000000</v>
      </c>
      <c r="G78" s="67">
        <v>1</v>
      </c>
      <c r="H78" s="68" t="s">
        <v>131</v>
      </c>
      <c r="I78" s="68" t="s">
        <v>302</v>
      </c>
      <c r="J78" s="69" t="s">
        <v>303</v>
      </c>
    </row>
    <row r="79" spans="2:10">
      <c r="B79" s="57" t="s">
        <v>190</v>
      </c>
      <c r="C79" s="57" t="s">
        <v>233</v>
      </c>
      <c r="D79" s="58" t="s">
        <v>133</v>
      </c>
      <c r="E79" s="58" t="s">
        <v>171</v>
      </c>
      <c r="F79" s="59">
        <v>4900000</v>
      </c>
      <c r="G79" s="70">
        <v>4.9000000000000004</v>
      </c>
      <c r="H79" s="71" t="s">
        <v>131</v>
      </c>
      <c r="I79" s="71" t="s">
        <v>131</v>
      </c>
      <c r="J79" s="71" t="s">
        <v>131</v>
      </c>
    </row>
    <row r="80" spans="2:10">
      <c r="B80" s="60" t="s">
        <v>190</v>
      </c>
      <c r="C80" s="60" t="s">
        <v>238</v>
      </c>
      <c r="D80" s="61" t="s">
        <v>133</v>
      </c>
      <c r="E80" s="61" t="s">
        <v>171</v>
      </c>
      <c r="F80" s="62">
        <v>2500000</v>
      </c>
      <c r="G80" s="67">
        <v>2.5</v>
      </c>
      <c r="H80" s="68" t="s">
        <v>131</v>
      </c>
      <c r="I80" s="68" t="s">
        <v>131</v>
      </c>
      <c r="J80" s="69" t="s">
        <v>131</v>
      </c>
    </row>
    <row r="81" spans="2:10">
      <c r="B81" s="57" t="s">
        <v>190</v>
      </c>
      <c r="C81" s="57" t="s">
        <v>246</v>
      </c>
      <c r="D81" s="58" t="s">
        <v>133</v>
      </c>
      <c r="E81" s="58" t="s">
        <v>171</v>
      </c>
      <c r="F81" s="59">
        <v>7110000</v>
      </c>
      <c r="G81" s="70">
        <v>7.11</v>
      </c>
      <c r="H81" s="71" t="s">
        <v>131</v>
      </c>
      <c r="I81" s="71" t="s">
        <v>131</v>
      </c>
      <c r="J81" s="71" t="s">
        <v>131</v>
      </c>
    </row>
    <row r="82" spans="2:10">
      <c r="B82" s="60" t="s">
        <v>190</v>
      </c>
      <c r="C82" s="60" t="s">
        <v>192</v>
      </c>
      <c r="D82" s="61" t="s">
        <v>139</v>
      </c>
      <c r="E82" s="61" t="s">
        <v>171</v>
      </c>
      <c r="F82" s="62">
        <v>2629665</v>
      </c>
      <c r="G82" s="67">
        <v>2.6296650000000001</v>
      </c>
      <c r="H82" s="68" t="s">
        <v>101</v>
      </c>
      <c r="I82" s="68" t="s">
        <v>302</v>
      </c>
      <c r="J82" s="69" t="s">
        <v>303</v>
      </c>
    </row>
    <row r="83" spans="2:10">
      <c r="B83" s="57" t="s">
        <v>190</v>
      </c>
      <c r="C83" s="57" t="s">
        <v>192</v>
      </c>
      <c r="D83" s="58" t="s">
        <v>105</v>
      </c>
      <c r="E83" s="58" t="s">
        <v>171</v>
      </c>
      <c r="F83" s="59">
        <v>4730300</v>
      </c>
      <c r="G83" s="70">
        <v>4.7302999999999997</v>
      </c>
      <c r="H83" s="71" t="s">
        <v>101</v>
      </c>
      <c r="I83" s="71" t="s">
        <v>302</v>
      </c>
      <c r="J83" s="71" t="s">
        <v>303</v>
      </c>
    </row>
    <row r="84" spans="2:10">
      <c r="B84" s="60" t="s">
        <v>190</v>
      </c>
      <c r="C84" s="60" t="s">
        <v>192</v>
      </c>
      <c r="D84" s="61" t="s">
        <v>103</v>
      </c>
      <c r="E84" s="61" t="s">
        <v>171</v>
      </c>
      <c r="F84" s="62">
        <v>44185692</v>
      </c>
      <c r="G84" s="67">
        <v>44.185692000000003</v>
      </c>
      <c r="H84" s="68" t="s">
        <v>101</v>
      </c>
      <c r="I84" s="68" t="s">
        <v>302</v>
      </c>
      <c r="J84" s="69" t="s">
        <v>303</v>
      </c>
    </row>
    <row r="85" spans="2:10">
      <c r="B85" s="57" t="s">
        <v>190</v>
      </c>
      <c r="C85" s="57" t="s">
        <v>192</v>
      </c>
      <c r="D85" s="58" t="s">
        <v>109</v>
      </c>
      <c r="E85" s="58" t="s">
        <v>171</v>
      </c>
      <c r="F85" s="59">
        <v>370393</v>
      </c>
      <c r="G85" s="70">
        <v>0.37039299999999997</v>
      </c>
      <c r="H85" s="71" t="s">
        <v>101</v>
      </c>
      <c r="I85" s="71" t="s">
        <v>302</v>
      </c>
      <c r="J85" s="71" t="s">
        <v>303</v>
      </c>
    </row>
    <row r="86" spans="2:10">
      <c r="B86" s="60" t="s">
        <v>190</v>
      </c>
      <c r="C86" s="60" t="s">
        <v>192</v>
      </c>
      <c r="D86" s="61" t="s">
        <v>103</v>
      </c>
      <c r="E86" s="61" t="s">
        <v>171</v>
      </c>
      <c r="F86" s="62">
        <v>395436</v>
      </c>
      <c r="G86" s="67">
        <v>0.39543600000000001</v>
      </c>
      <c r="H86" s="68" t="s">
        <v>101</v>
      </c>
      <c r="I86" s="68" t="s">
        <v>302</v>
      </c>
      <c r="J86" s="69" t="s">
        <v>303</v>
      </c>
    </row>
    <row r="87" spans="2:10">
      <c r="B87" s="57" t="s">
        <v>190</v>
      </c>
      <c r="C87" s="57" t="s">
        <v>192</v>
      </c>
      <c r="D87" s="58" t="s">
        <v>102</v>
      </c>
      <c r="E87" s="58" t="s">
        <v>171</v>
      </c>
      <c r="F87" s="59">
        <v>1950665</v>
      </c>
      <c r="G87" s="70">
        <v>1.9506650000000001</v>
      </c>
      <c r="H87" s="71" t="s">
        <v>101</v>
      </c>
      <c r="I87" s="71" t="s">
        <v>302</v>
      </c>
      <c r="J87" s="71" t="s">
        <v>303</v>
      </c>
    </row>
    <row r="88" spans="2:10">
      <c r="B88" s="60" t="s">
        <v>190</v>
      </c>
      <c r="C88" s="60" t="s">
        <v>210</v>
      </c>
      <c r="D88" s="61" t="s">
        <v>103</v>
      </c>
      <c r="E88" s="61" t="s">
        <v>171</v>
      </c>
      <c r="F88" s="62">
        <v>205185</v>
      </c>
      <c r="G88" s="67">
        <v>0.20518500000000001</v>
      </c>
      <c r="H88" s="68" t="s">
        <v>101</v>
      </c>
      <c r="I88" s="68" t="s">
        <v>302</v>
      </c>
      <c r="J88" s="69" t="s">
        <v>303</v>
      </c>
    </row>
    <row r="89" spans="2:10">
      <c r="B89" s="57" t="s">
        <v>190</v>
      </c>
      <c r="C89" s="57" t="s">
        <v>210</v>
      </c>
      <c r="D89" s="58" t="s">
        <v>103</v>
      </c>
      <c r="E89" s="58" t="s">
        <v>171</v>
      </c>
      <c r="F89" s="59">
        <v>333797</v>
      </c>
      <c r="G89" s="70">
        <v>0.33379700000000001</v>
      </c>
      <c r="H89" s="71" t="s">
        <v>101</v>
      </c>
      <c r="I89" s="71" t="s">
        <v>302</v>
      </c>
      <c r="J89" s="71" t="s">
        <v>303</v>
      </c>
    </row>
    <row r="90" spans="2:10">
      <c r="B90" s="60" t="s">
        <v>190</v>
      </c>
      <c r="C90" s="60" t="s">
        <v>210</v>
      </c>
      <c r="D90" s="61" t="s">
        <v>109</v>
      </c>
      <c r="E90" s="61" t="s">
        <v>171</v>
      </c>
      <c r="F90" s="62">
        <v>386500</v>
      </c>
      <c r="G90" s="67">
        <v>0.38650000000000001</v>
      </c>
      <c r="H90" s="68" t="s">
        <v>101</v>
      </c>
      <c r="I90" s="68" t="s">
        <v>302</v>
      </c>
      <c r="J90" s="69" t="s">
        <v>303</v>
      </c>
    </row>
    <row r="91" spans="2:10">
      <c r="B91" s="57" t="s">
        <v>190</v>
      </c>
      <c r="C91" s="57" t="s">
        <v>210</v>
      </c>
      <c r="D91" s="58" t="s">
        <v>103</v>
      </c>
      <c r="E91" s="58" t="s">
        <v>171</v>
      </c>
      <c r="F91" s="59">
        <v>29047</v>
      </c>
      <c r="G91" s="70">
        <v>2.9047E-2</v>
      </c>
      <c r="H91" s="71" t="s">
        <v>101</v>
      </c>
      <c r="I91" s="71" t="s">
        <v>302</v>
      </c>
      <c r="J91" s="71" t="s">
        <v>303</v>
      </c>
    </row>
    <row r="92" spans="2:10">
      <c r="B92" s="60" t="s">
        <v>190</v>
      </c>
      <c r="C92" s="60" t="s">
        <v>194</v>
      </c>
      <c r="D92" s="61" t="s">
        <v>105</v>
      </c>
      <c r="E92" s="61" t="s">
        <v>171</v>
      </c>
      <c r="F92" s="62">
        <v>5000000</v>
      </c>
      <c r="G92" s="67">
        <v>5</v>
      </c>
      <c r="H92" s="68" t="s">
        <v>101</v>
      </c>
      <c r="I92" s="68" t="s">
        <v>302</v>
      </c>
      <c r="J92" s="69" t="s">
        <v>303</v>
      </c>
    </row>
    <row r="93" spans="2:10">
      <c r="B93" s="57" t="s">
        <v>190</v>
      </c>
      <c r="C93" s="57" t="s">
        <v>198</v>
      </c>
      <c r="D93" s="58" t="s">
        <v>103</v>
      </c>
      <c r="E93" s="58" t="s">
        <v>179</v>
      </c>
      <c r="F93" s="59">
        <v>788442</v>
      </c>
      <c r="G93" s="70">
        <v>0.78844199999999998</v>
      </c>
      <c r="H93" s="71" t="s">
        <v>101</v>
      </c>
      <c r="I93" s="71" t="s">
        <v>302</v>
      </c>
      <c r="J93" s="71" t="s">
        <v>303</v>
      </c>
    </row>
    <row r="94" spans="2:10">
      <c r="B94" s="60" t="s">
        <v>190</v>
      </c>
      <c r="C94" s="60" t="s">
        <v>198</v>
      </c>
      <c r="D94" s="61" t="s">
        <v>103</v>
      </c>
      <c r="E94" s="61" t="s">
        <v>179</v>
      </c>
      <c r="F94" s="62">
        <v>10095735</v>
      </c>
      <c r="G94" s="67">
        <v>10.095734999999999</v>
      </c>
      <c r="H94" s="68" t="s">
        <v>101</v>
      </c>
      <c r="I94" s="68" t="s">
        <v>302</v>
      </c>
      <c r="J94" s="69" t="s">
        <v>303</v>
      </c>
    </row>
    <row r="95" spans="2:10">
      <c r="B95" s="57" t="s">
        <v>190</v>
      </c>
      <c r="C95" s="57" t="s">
        <v>198</v>
      </c>
      <c r="D95" s="58" t="s">
        <v>103</v>
      </c>
      <c r="E95" s="58" t="s">
        <v>179</v>
      </c>
      <c r="F95" s="59">
        <v>6000</v>
      </c>
      <c r="G95" s="70">
        <v>6.0000000000000001E-3</v>
      </c>
      <c r="H95" s="71" t="s">
        <v>101</v>
      </c>
      <c r="I95" s="71" t="s">
        <v>302</v>
      </c>
      <c r="J95" s="71" t="s">
        <v>303</v>
      </c>
    </row>
    <row r="96" spans="2:10">
      <c r="B96" s="60" t="s">
        <v>190</v>
      </c>
      <c r="C96" s="60" t="s">
        <v>203</v>
      </c>
      <c r="D96" s="61" t="s">
        <v>103</v>
      </c>
      <c r="E96" s="61" t="s">
        <v>179</v>
      </c>
      <c r="F96" s="62">
        <v>6758815</v>
      </c>
      <c r="G96" s="67">
        <v>6.7588150000000002</v>
      </c>
      <c r="H96" s="68" t="s">
        <v>101</v>
      </c>
      <c r="I96" s="68" t="s">
        <v>302</v>
      </c>
      <c r="J96" s="69" t="s">
        <v>303</v>
      </c>
    </row>
    <row r="97" spans="2:10">
      <c r="B97" s="57" t="s">
        <v>190</v>
      </c>
      <c r="C97" s="57" t="s">
        <v>203</v>
      </c>
      <c r="D97" s="58" t="s">
        <v>109</v>
      </c>
      <c r="E97" s="58" t="s">
        <v>179</v>
      </c>
      <c r="F97" s="59">
        <v>40527</v>
      </c>
      <c r="G97" s="70">
        <v>4.0527000000000001E-2</v>
      </c>
      <c r="H97" s="71" t="s">
        <v>101</v>
      </c>
      <c r="I97" s="71" t="s">
        <v>302</v>
      </c>
      <c r="J97" s="71" t="s">
        <v>303</v>
      </c>
    </row>
    <row r="98" spans="2:10">
      <c r="B98" s="60" t="s">
        <v>190</v>
      </c>
      <c r="C98" s="60" t="s">
        <v>203</v>
      </c>
      <c r="D98" s="61" t="s">
        <v>103</v>
      </c>
      <c r="E98" s="61" t="s">
        <v>179</v>
      </c>
      <c r="F98" s="62">
        <v>104000</v>
      </c>
      <c r="G98" s="67">
        <v>0.104</v>
      </c>
      <c r="H98" s="68" t="s">
        <v>101</v>
      </c>
      <c r="I98" s="68" t="s">
        <v>302</v>
      </c>
      <c r="J98" s="69" t="s">
        <v>303</v>
      </c>
    </row>
    <row r="99" spans="2:10">
      <c r="B99" s="57" t="s">
        <v>190</v>
      </c>
      <c r="C99" s="57" t="s">
        <v>202</v>
      </c>
      <c r="D99" s="58" t="s">
        <v>103</v>
      </c>
      <c r="E99" s="58" t="s">
        <v>171</v>
      </c>
      <c r="F99" s="59">
        <v>500459</v>
      </c>
      <c r="G99" s="70">
        <v>0.50045899999999999</v>
      </c>
      <c r="H99" s="71" t="s">
        <v>101</v>
      </c>
      <c r="I99" s="71" t="s">
        <v>302</v>
      </c>
      <c r="J99" s="71" t="s">
        <v>303</v>
      </c>
    </row>
    <row r="100" spans="2:10">
      <c r="B100" s="60" t="s">
        <v>190</v>
      </c>
      <c r="C100" s="60" t="s">
        <v>202</v>
      </c>
      <c r="D100" s="61" t="s">
        <v>103</v>
      </c>
      <c r="E100" s="61" t="s">
        <v>171</v>
      </c>
      <c r="F100" s="62">
        <v>5187061</v>
      </c>
      <c r="G100" s="67">
        <v>5.1870609999999999</v>
      </c>
      <c r="H100" s="68" t="s">
        <v>101</v>
      </c>
      <c r="I100" s="68" t="s">
        <v>302</v>
      </c>
      <c r="J100" s="69" t="s">
        <v>303</v>
      </c>
    </row>
    <row r="101" spans="2:10">
      <c r="B101" s="57" t="s">
        <v>190</v>
      </c>
      <c r="C101" s="57" t="s">
        <v>202</v>
      </c>
      <c r="D101" s="58" t="s">
        <v>109</v>
      </c>
      <c r="E101" s="58" t="s">
        <v>171</v>
      </c>
      <c r="F101" s="59">
        <v>943800</v>
      </c>
      <c r="G101" s="70">
        <v>0.94379999999999997</v>
      </c>
      <c r="H101" s="71" t="s">
        <v>101</v>
      </c>
      <c r="I101" s="71" t="s">
        <v>302</v>
      </c>
      <c r="J101" s="71" t="s">
        <v>303</v>
      </c>
    </row>
    <row r="102" spans="2:10">
      <c r="B102" s="60" t="s">
        <v>190</v>
      </c>
      <c r="C102" s="60" t="s">
        <v>202</v>
      </c>
      <c r="D102" s="61" t="s">
        <v>103</v>
      </c>
      <c r="E102" s="61" t="s">
        <v>171</v>
      </c>
      <c r="F102" s="62">
        <v>67500</v>
      </c>
      <c r="G102" s="67">
        <v>6.7500000000000004E-2</v>
      </c>
      <c r="H102" s="68" t="s">
        <v>101</v>
      </c>
      <c r="I102" s="68" t="s">
        <v>302</v>
      </c>
      <c r="J102" s="69" t="s">
        <v>303</v>
      </c>
    </row>
    <row r="103" spans="2:10">
      <c r="B103" s="57" t="s">
        <v>190</v>
      </c>
      <c r="C103" s="57" t="s">
        <v>202</v>
      </c>
      <c r="D103" s="58" t="s">
        <v>139</v>
      </c>
      <c r="E103" s="58" t="s">
        <v>171</v>
      </c>
      <c r="F103" s="59">
        <v>1000000</v>
      </c>
      <c r="G103" s="70">
        <v>1</v>
      </c>
      <c r="H103" s="71" t="s">
        <v>101</v>
      </c>
      <c r="I103" s="71" t="s">
        <v>302</v>
      </c>
      <c r="J103" s="71" t="s">
        <v>303</v>
      </c>
    </row>
    <row r="104" spans="2:10">
      <c r="B104" s="60" t="s">
        <v>190</v>
      </c>
      <c r="C104" s="60" t="s">
        <v>206</v>
      </c>
      <c r="D104" s="61" t="s">
        <v>77</v>
      </c>
      <c r="E104" s="61" t="s">
        <v>171</v>
      </c>
      <c r="F104" s="62">
        <v>1000000</v>
      </c>
      <c r="G104" s="67">
        <v>1</v>
      </c>
      <c r="H104" s="68" t="s">
        <v>218</v>
      </c>
      <c r="I104" s="68" t="s">
        <v>302</v>
      </c>
      <c r="J104" s="69" t="s">
        <v>303</v>
      </c>
    </row>
    <row r="105" spans="2:10">
      <c r="B105" s="57" t="s">
        <v>190</v>
      </c>
      <c r="C105" s="57" t="s">
        <v>206</v>
      </c>
      <c r="D105" s="58" t="s">
        <v>79</v>
      </c>
      <c r="E105" s="58" t="s">
        <v>171</v>
      </c>
      <c r="F105" s="59">
        <v>310000</v>
      </c>
      <c r="G105" s="70">
        <v>0.31</v>
      </c>
      <c r="H105" s="71" t="s">
        <v>218</v>
      </c>
      <c r="I105" s="71" t="s">
        <v>302</v>
      </c>
      <c r="J105" s="71" t="s">
        <v>303</v>
      </c>
    </row>
    <row r="106" spans="2:10">
      <c r="B106" s="60" t="s">
        <v>190</v>
      </c>
      <c r="C106" s="60" t="s">
        <v>212</v>
      </c>
      <c r="D106" s="61" t="s">
        <v>79</v>
      </c>
      <c r="E106" s="61" t="s">
        <v>171</v>
      </c>
      <c r="F106" s="62">
        <v>400000</v>
      </c>
      <c r="G106" s="67">
        <v>0.4</v>
      </c>
      <c r="H106" s="68" t="s">
        <v>218</v>
      </c>
      <c r="I106" s="68" t="s">
        <v>302</v>
      </c>
      <c r="J106" s="69" t="s">
        <v>303</v>
      </c>
    </row>
    <row r="107" spans="2:10">
      <c r="B107" s="57" t="s">
        <v>190</v>
      </c>
      <c r="C107" s="57" t="s">
        <v>200</v>
      </c>
      <c r="D107" s="58" t="s">
        <v>79</v>
      </c>
      <c r="E107" s="58" t="s">
        <v>171</v>
      </c>
      <c r="F107" s="59">
        <v>4980000</v>
      </c>
      <c r="G107" s="70">
        <v>4.9800000000000004</v>
      </c>
      <c r="H107" s="71" t="s">
        <v>218</v>
      </c>
      <c r="I107" s="71" t="s">
        <v>302</v>
      </c>
      <c r="J107" s="71" t="s">
        <v>303</v>
      </c>
    </row>
    <row r="108" spans="2:10">
      <c r="B108" s="60" t="s">
        <v>190</v>
      </c>
      <c r="C108" s="60" t="s">
        <v>200</v>
      </c>
      <c r="D108" s="61" t="s">
        <v>79</v>
      </c>
      <c r="E108" s="61" t="s">
        <v>171</v>
      </c>
      <c r="F108" s="62">
        <v>4980000</v>
      </c>
      <c r="G108" s="67">
        <v>4.9800000000000004</v>
      </c>
      <c r="H108" s="68" t="s">
        <v>218</v>
      </c>
      <c r="I108" s="68" t="s">
        <v>302</v>
      </c>
      <c r="J108" s="69" t="s">
        <v>303</v>
      </c>
    </row>
    <row r="109" spans="2:10">
      <c r="B109" s="57" t="s">
        <v>190</v>
      </c>
      <c r="C109" s="57" t="s">
        <v>191</v>
      </c>
      <c r="D109" s="58" t="s">
        <v>77</v>
      </c>
      <c r="E109" s="58" t="s">
        <v>171</v>
      </c>
      <c r="F109" s="59">
        <v>2500000</v>
      </c>
      <c r="G109" s="70">
        <v>2.5</v>
      </c>
      <c r="H109" s="71" t="s">
        <v>218</v>
      </c>
      <c r="I109" s="71" t="s">
        <v>302</v>
      </c>
      <c r="J109" s="71" t="s">
        <v>303</v>
      </c>
    </row>
    <row r="110" spans="2:10">
      <c r="B110" s="60" t="s">
        <v>190</v>
      </c>
      <c r="C110" s="60" t="s">
        <v>191</v>
      </c>
      <c r="D110" s="61" t="s">
        <v>79</v>
      </c>
      <c r="E110" s="61" t="s">
        <v>171</v>
      </c>
      <c r="F110" s="62">
        <v>2500000</v>
      </c>
      <c r="G110" s="67">
        <v>2.5</v>
      </c>
      <c r="H110" s="68" t="s">
        <v>218</v>
      </c>
      <c r="I110" s="68" t="s">
        <v>302</v>
      </c>
      <c r="J110" s="69" t="s">
        <v>303</v>
      </c>
    </row>
    <row r="111" spans="2:10">
      <c r="B111" s="57" t="s">
        <v>190</v>
      </c>
      <c r="C111" s="57" t="s">
        <v>191</v>
      </c>
      <c r="D111" s="58" t="s">
        <v>77</v>
      </c>
      <c r="E111" s="58" t="s">
        <v>171</v>
      </c>
      <c r="F111" s="59">
        <v>2500000</v>
      </c>
      <c r="G111" s="70">
        <v>2.5</v>
      </c>
      <c r="H111" s="71" t="s">
        <v>218</v>
      </c>
      <c r="I111" s="71" t="s">
        <v>302</v>
      </c>
      <c r="J111" s="71" t="s">
        <v>303</v>
      </c>
    </row>
    <row r="112" spans="2:10">
      <c r="B112" s="60" t="s">
        <v>190</v>
      </c>
      <c r="C112" s="60" t="s">
        <v>191</v>
      </c>
      <c r="D112" s="61" t="s">
        <v>77</v>
      </c>
      <c r="E112" s="61" t="s">
        <v>171</v>
      </c>
      <c r="F112" s="62">
        <v>2698440</v>
      </c>
      <c r="G112" s="67">
        <v>2.6984400000000002</v>
      </c>
      <c r="H112" s="68" t="s">
        <v>218</v>
      </c>
      <c r="I112" s="68" t="s">
        <v>302</v>
      </c>
      <c r="J112" s="69" t="s">
        <v>303</v>
      </c>
    </row>
    <row r="113" spans="2:10">
      <c r="B113" s="57" t="s">
        <v>190</v>
      </c>
      <c r="C113" s="57" t="s">
        <v>191</v>
      </c>
      <c r="D113" s="58" t="s">
        <v>79</v>
      </c>
      <c r="E113" s="58" t="s">
        <v>171</v>
      </c>
      <c r="F113" s="59">
        <v>45032169</v>
      </c>
      <c r="G113" s="70">
        <v>45.032169000000003</v>
      </c>
      <c r="H113" s="71" t="s">
        <v>218</v>
      </c>
      <c r="I113" s="71" t="s">
        <v>302</v>
      </c>
      <c r="J113" s="71" t="s">
        <v>303</v>
      </c>
    </row>
    <row r="114" spans="2:10">
      <c r="B114" s="60" t="s">
        <v>190</v>
      </c>
      <c r="C114" s="60" t="s">
        <v>191</v>
      </c>
      <c r="D114" s="61" t="s">
        <v>79</v>
      </c>
      <c r="E114" s="61" t="s">
        <v>171</v>
      </c>
      <c r="F114" s="62">
        <v>46729828</v>
      </c>
      <c r="G114" s="67">
        <v>46.729827999999998</v>
      </c>
      <c r="H114" s="68" t="s">
        <v>218</v>
      </c>
      <c r="I114" s="68" t="s">
        <v>302</v>
      </c>
      <c r="J114" s="69" t="s">
        <v>303</v>
      </c>
    </row>
    <row r="115" spans="2:10">
      <c r="B115" s="57" t="s">
        <v>190</v>
      </c>
      <c r="C115" s="57" t="s">
        <v>195</v>
      </c>
      <c r="D115" s="58" t="s">
        <v>79</v>
      </c>
      <c r="E115" s="58" t="s">
        <v>171</v>
      </c>
      <c r="F115" s="59">
        <v>6000000</v>
      </c>
      <c r="G115" s="70">
        <v>6</v>
      </c>
      <c r="H115" s="71" t="s">
        <v>218</v>
      </c>
      <c r="I115" s="71" t="s">
        <v>302</v>
      </c>
      <c r="J115" s="71" t="s">
        <v>303</v>
      </c>
    </row>
    <row r="116" spans="2:10">
      <c r="B116" s="60" t="s">
        <v>190</v>
      </c>
      <c r="C116" s="60" t="s">
        <v>195</v>
      </c>
      <c r="D116" s="61" t="s">
        <v>79</v>
      </c>
      <c r="E116" s="61" t="s">
        <v>171</v>
      </c>
      <c r="F116" s="62">
        <v>3000000</v>
      </c>
      <c r="G116" s="67">
        <v>3</v>
      </c>
      <c r="H116" s="68" t="s">
        <v>218</v>
      </c>
      <c r="I116" s="68" t="s">
        <v>302</v>
      </c>
      <c r="J116" s="69" t="s">
        <v>303</v>
      </c>
    </row>
    <row r="117" spans="2:10">
      <c r="B117" s="57" t="s">
        <v>190</v>
      </c>
      <c r="C117" s="57" t="s">
        <v>195</v>
      </c>
      <c r="D117" s="58" t="s">
        <v>79</v>
      </c>
      <c r="E117" s="58" t="s">
        <v>171</v>
      </c>
      <c r="F117" s="59">
        <v>6000000</v>
      </c>
      <c r="G117" s="70">
        <v>6</v>
      </c>
      <c r="H117" s="71" t="s">
        <v>218</v>
      </c>
      <c r="I117" s="71" t="s">
        <v>302</v>
      </c>
      <c r="J117" s="71" t="s">
        <v>303</v>
      </c>
    </row>
    <row r="118" spans="2:10">
      <c r="B118" s="60" t="s">
        <v>190</v>
      </c>
      <c r="C118" s="60" t="s">
        <v>195</v>
      </c>
      <c r="D118" s="61" t="s">
        <v>79</v>
      </c>
      <c r="E118" s="61" t="s">
        <v>171</v>
      </c>
      <c r="F118" s="62">
        <v>3260000</v>
      </c>
      <c r="G118" s="67">
        <v>3.26</v>
      </c>
      <c r="H118" s="68" t="s">
        <v>218</v>
      </c>
      <c r="I118" s="68" t="s">
        <v>302</v>
      </c>
      <c r="J118" s="69" t="s">
        <v>303</v>
      </c>
    </row>
    <row r="119" spans="2:10">
      <c r="B119" s="57" t="s">
        <v>190</v>
      </c>
      <c r="C119" s="57" t="s">
        <v>205</v>
      </c>
      <c r="D119" s="58" t="s">
        <v>75</v>
      </c>
      <c r="E119" s="58" t="s">
        <v>171</v>
      </c>
      <c r="F119" s="59">
        <v>1500000</v>
      </c>
      <c r="G119" s="70">
        <v>1.5</v>
      </c>
      <c r="H119" s="71" t="s">
        <v>218</v>
      </c>
      <c r="I119" s="71" t="s">
        <v>302</v>
      </c>
      <c r="J119" s="71" t="s">
        <v>303</v>
      </c>
    </row>
    <row r="120" spans="2:10">
      <c r="B120" s="60" t="s">
        <v>190</v>
      </c>
      <c r="C120" s="60" t="s">
        <v>205</v>
      </c>
      <c r="D120" s="61" t="s">
        <v>75</v>
      </c>
      <c r="E120" s="61" t="s">
        <v>171</v>
      </c>
      <c r="F120" s="62">
        <v>500000</v>
      </c>
      <c r="G120" s="67">
        <v>0.5</v>
      </c>
      <c r="H120" s="68" t="s">
        <v>218</v>
      </c>
      <c r="I120" s="68" t="s">
        <v>302</v>
      </c>
      <c r="J120" s="69" t="s">
        <v>303</v>
      </c>
    </row>
    <row r="121" spans="2:10">
      <c r="B121" s="57" t="s">
        <v>190</v>
      </c>
      <c r="C121" s="57" t="s">
        <v>205</v>
      </c>
      <c r="D121" s="58" t="s">
        <v>75</v>
      </c>
      <c r="E121" s="58" t="s">
        <v>171</v>
      </c>
      <c r="F121" s="59">
        <v>600000</v>
      </c>
      <c r="G121" s="70">
        <v>0.6</v>
      </c>
      <c r="H121" s="71" t="s">
        <v>218</v>
      </c>
      <c r="I121" s="71" t="s">
        <v>302</v>
      </c>
      <c r="J121" s="71" t="s">
        <v>303</v>
      </c>
    </row>
    <row r="122" spans="2:10">
      <c r="B122" s="60" t="s">
        <v>190</v>
      </c>
      <c r="C122" s="60" t="s">
        <v>205</v>
      </c>
      <c r="D122" s="61" t="s">
        <v>75</v>
      </c>
      <c r="E122" s="61" t="s">
        <v>171</v>
      </c>
      <c r="F122" s="62">
        <v>1000000</v>
      </c>
      <c r="G122" s="67">
        <v>1</v>
      </c>
      <c r="H122" s="68" t="s">
        <v>218</v>
      </c>
      <c r="I122" s="68" t="s">
        <v>302</v>
      </c>
      <c r="J122" s="69" t="s">
        <v>303</v>
      </c>
    </row>
    <row r="123" spans="2:10">
      <c r="B123" s="57" t="s">
        <v>190</v>
      </c>
      <c r="C123" s="57" t="s">
        <v>239</v>
      </c>
      <c r="D123" s="58" t="s">
        <v>137</v>
      </c>
      <c r="E123" s="58" t="s">
        <v>179</v>
      </c>
      <c r="F123" s="59">
        <v>12256528</v>
      </c>
      <c r="G123" s="70">
        <v>12.256527999999999</v>
      </c>
      <c r="H123" s="71" t="s">
        <v>136</v>
      </c>
      <c r="I123" s="71" t="s">
        <v>136</v>
      </c>
      <c r="J123" s="71" t="s">
        <v>136</v>
      </c>
    </row>
    <row r="124" spans="2:10">
      <c r="B124" s="60" t="s">
        <v>190</v>
      </c>
      <c r="C124" s="60" t="s">
        <v>238</v>
      </c>
      <c r="D124" s="61" t="s">
        <v>137</v>
      </c>
      <c r="E124" s="61" t="s">
        <v>171</v>
      </c>
      <c r="F124" s="62">
        <v>7474993</v>
      </c>
      <c r="G124" s="67">
        <v>7.4749930000000004</v>
      </c>
      <c r="H124" s="68" t="s">
        <v>136</v>
      </c>
      <c r="I124" s="68" t="s">
        <v>136</v>
      </c>
      <c r="J124" s="69" t="s">
        <v>136</v>
      </c>
    </row>
    <row r="125" spans="2:10">
      <c r="B125" s="57" t="s">
        <v>190</v>
      </c>
      <c r="C125" s="57" t="s">
        <v>211</v>
      </c>
      <c r="D125" s="58" t="s">
        <v>137</v>
      </c>
      <c r="E125" s="58" t="s">
        <v>171</v>
      </c>
      <c r="F125" s="59">
        <v>10682014</v>
      </c>
      <c r="G125" s="70">
        <v>10.682014000000001</v>
      </c>
      <c r="H125" s="71" t="s">
        <v>136</v>
      </c>
      <c r="I125" s="71" t="s">
        <v>136</v>
      </c>
      <c r="J125" s="71" t="s">
        <v>136</v>
      </c>
    </row>
    <row r="126" spans="2:10">
      <c r="B126" s="60" t="s">
        <v>190</v>
      </c>
      <c r="C126" s="60" t="s">
        <v>262</v>
      </c>
      <c r="D126" s="61" t="s">
        <v>137</v>
      </c>
      <c r="E126" s="61" t="s">
        <v>171</v>
      </c>
      <c r="F126" s="62">
        <v>1618063</v>
      </c>
      <c r="G126" s="67">
        <v>1.618063</v>
      </c>
      <c r="H126" s="68" t="s">
        <v>136</v>
      </c>
      <c r="I126" s="68" t="s">
        <v>136</v>
      </c>
      <c r="J126" s="69" t="s">
        <v>136</v>
      </c>
    </row>
    <row r="127" spans="2:10">
      <c r="B127" s="57" t="s">
        <v>190</v>
      </c>
      <c r="C127" s="57" t="s">
        <v>198</v>
      </c>
      <c r="D127" s="58" t="s">
        <v>137</v>
      </c>
      <c r="E127" s="58" t="s">
        <v>179</v>
      </c>
      <c r="F127" s="59">
        <v>576000</v>
      </c>
      <c r="G127" s="70">
        <v>0.57599999999999996</v>
      </c>
      <c r="H127" s="71" t="s">
        <v>136</v>
      </c>
      <c r="I127" s="71" t="s">
        <v>136</v>
      </c>
      <c r="J127" s="71" t="s">
        <v>136</v>
      </c>
    </row>
    <row r="128" spans="2:10">
      <c r="B128" s="60" t="s">
        <v>190</v>
      </c>
      <c r="C128" s="60" t="s">
        <v>254</v>
      </c>
      <c r="D128" s="61" t="s">
        <v>137</v>
      </c>
      <c r="E128" s="61" t="s">
        <v>171</v>
      </c>
      <c r="F128" s="62">
        <v>4136619</v>
      </c>
      <c r="G128" s="67">
        <v>4.1366189999999996</v>
      </c>
      <c r="H128" s="68" t="s">
        <v>136</v>
      </c>
      <c r="I128" s="68" t="s">
        <v>136</v>
      </c>
      <c r="J128" s="69" t="s">
        <v>136</v>
      </c>
    </row>
    <row r="129" spans="2:10">
      <c r="B129" s="57" t="s">
        <v>190</v>
      </c>
      <c r="C129" s="57" t="s">
        <v>253</v>
      </c>
      <c r="D129" s="58" t="s">
        <v>137</v>
      </c>
      <c r="E129" s="58" t="s">
        <v>171</v>
      </c>
      <c r="F129" s="59">
        <v>4205391</v>
      </c>
      <c r="G129" s="70">
        <v>4.2053909999999997</v>
      </c>
      <c r="H129" s="71" t="s">
        <v>136</v>
      </c>
      <c r="I129" s="71" t="s">
        <v>136</v>
      </c>
      <c r="J129" s="71" t="s">
        <v>136</v>
      </c>
    </row>
    <row r="130" spans="2:10">
      <c r="B130" s="60" t="s">
        <v>190</v>
      </c>
      <c r="C130" s="60" t="s">
        <v>255</v>
      </c>
      <c r="D130" s="61" t="s">
        <v>137</v>
      </c>
      <c r="E130" s="61" t="s">
        <v>171</v>
      </c>
      <c r="F130" s="62">
        <v>3585997</v>
      </c>
      <c r="G130" s="67">
        <v>3.5859969999999999</v>
      </c>
      <c r="H130" s="68" t="s">
        <v>136</v>
      </c>
      <c r="I130" s="68" t="s">
        <v>136</v>
      </c>
      <c r="J130" s="69" t="s">
        <v>136</v>
      </c>
    </row>
    <row r="131" spans="2:10">
      <c r="B131" s="57" t="s">
        <v>190</v>
      </c>
      <c r="C131" s="57" t="s">
        <v>232</v>
      </c>
      <c r="D131" s="58" t="s">
        <v>137</v>
      </c>
      <c r="E131" s="58" t="s">
        <v>171</v>
      </c>
      <c r="F131" s="59">
        <v>43117350</v>
      </c>
      <c r="G131" s="70">
        <v>43.117350000000002</v>
      </c>
      <c r="H131" s="71" t="s">
        <v>136</v>
      </c>
      <c r="I131" s="71" t="s">
        <v>136</v>
      </c>
      <c r="J131" s="71" t="s">
        <v>136</v>
      </c>
    </row>
    <row r="132" spans="2:10">
      <c r="B132" s="60" t="s">
        <v>190</v>
      </c>
      <c r="C132" s="60" t="s">
        <v>267</v>
      </c>
      <c r="D132" s="61" t="s">
        <v>137</v>
      </c>
      <c r="E132" s="61" t="s">
        <v>179</v>
      </c>
      <c r="F132" s="62">
        <v>1036800</v>
      </c>
      <c r="G132" s="67">
        <v>1.0367999999999999</v>
      </c>
      <c r="H132" s="68" t="s">
        <v>136</v>
      </c>
      <c r="I132" s="68" t="s">
        <v>136</v>
      </c>
      <c r="J132" s="69" t="s">
        <v>136</v>
      </c>
    </row>
    <row r="133" spans="2:10">
      <c r="B133" s="57" t="s">
        <v>190</v>
      </c>
      <c r="C133" s="57" t="s">
        <v>249</v>
      </c>
      <c r="D133" s="58" t="s">
        <v>137</v>
      </c>
      <c r="E133" s="58" t="s">
        <v>171</v>
      </c>
      <c r="F133" s="59">
        <v>6434235</v>
      </c>
      <c r="G133" s="70">
        <v>6.4342350000000001</v>
      </c>
      <c r="H133" s="71" t="s">
        <v>136</v>
      </c>
      <c r="I133" s="71" t="s">
        <v>136</v>
      </c>
      <c r="J133" s="71" t="s">
        <v>136</v>
      </c>
    </row>
    <row r="134" spans="2:10">
      <c r="B134" s="60" t="s">
        <v>190</v>
      </c>
      <c r="C134" s="60" t="s">
        <v>236</v>
      </c>
      <c r="D134" s="61" t="s">
        <v>137</v>
      </c>
      <c r="E134" s="61" t="s">
        <v>171</v>
      </c>
      <c r="F134" s="62">
        <v>20434492</v>
      </c>
      <c r="G134" s="67">
        <v>20.434491999999999</v>
      </c>
      <c r="H134" s="68" t="s">
        <v>136</v>
      </c>
      <c r="I134" s="68" t="s">
        <v>136</v>
      </c>
      <c r="J134" s="69" t="s">
        <v>136</v>
      </c>
    </row>
    <row r="135" spans="2:10">
      <c r="B135" s="57" t="s">
        <v>190</v>
      </c>
      <c r="C135" s="57" t="s">
        <v>237</v>
      </c>
      <c r="D135" s="58" t="s">
        <v>137</v>
      </c>
      <c r="E135" s="58" t="s">
        <v>171</v>
      </c>
      <c r="F135" s="59">
        <v>14219180</v>
      </c>
      <c r="G135" s="70">
        <v>14.21918</v>
      </c>
      <c r="H135" s="71" t="s">
        <v>136</v>
      </c>
      <c r="I135" s="71" t="s">
        <v>136</v>
      </c>
      <c r="J135" s="71" t="s">
        <v>136</v>
      </c>
    </row>
    <row r="136" spans="2:10">
      <c r="B136" s="60" t="s">
        <v>190</v>
      </c>
      <c r="C136" s="60" t="s">
        <v>250</v>
      </c>
      <c r="D136" s="61" t="s">
        <v>137</v>
      </c>
      <c r="E136" s="61" t="s">
        <v>171</v>
      </c>
      <c r="F136" s="62">
        <v>5346296</v>
      </c>
      <c r="G136" s="67">
        <v>5.3462959999999997</v>
      </c>
      <c r="H136" s="68" t="s">
        <v>136</v>
      </c>
      <c r="I136" s="68" t="s">
        <v>136</v>
      </c>
      <c r="J136" s="69" t="s">
        <v>136</v>
      </c>
    </row>
    <row r="137" spans="2:10">
      <c r="B137" s="57" t="s">
        <v>190</v>
      </c>
      <c r="C137" s="57" t="s">
        <v>248</v>
      </c>
      <c r="D137" s="58" t="s">
        <v>137</v>
      </c>
      <c r="E137" s="58" t="s">
        <v>171</v>
      </c>
      <c r="F137" s="59">
        <v>6454409</v>
      </c>
      <c r="G137" s="70">
        <v>6.4544090000000001</v>
      </c>
      <c r="H137" s="71" t="s">
        <v>136</v>
      </c>
      <c r="I137" s="71" t="s">
        <v>136</v>
      </c>
      <c r="J137" s="71" t="s">
        <v>136</v>
      </c>
    </row>
    <row r="138" spans="2:10">
      <c r="B138" s="60" t="s">
        <v>190</v>
      </c>
      <c r="C138" s="60" t="s">
        <v>251</v>
      </c>
      <c r="D138" s="61" t="s">
        <v>137</v>
      </c>
      <c r="E138" s="61" t="s">
        <v>171</v>
      </c>
      <c r="F138" s="62">
        <v>4010249</v>
      </c>
      <c r="G138" s="67">
        <v>4.010249</v>
      </c>
      <c r="H138" s="68" t="s">
        <v>136</v>
      </c>
      <c r="I138" s="68" t="s">
        <v>136</v>
      </c>
      <c r="J138" s="69" t="s">
        <v>136</v>
      </c>
    </row>
    <row r="139" spans="2:10">
      <c r="B139" s="57" t="s">
        <v>190</v>
      </c>
      <c r="C139" s="57" t="s">
        <v>264</v>
      </c>
      <c r="D139" s="58" t="s">
        <v>137</v>
      </c>
      <c r="E139" s="58" t="s">
        <v>171</v>
      </c>
      <c r="F139" s="59">
        <v>1457745</v>
      </c>
      <c r="G139" s="70">
        <v>1.4577450000000001</v>
      </c>
      <c r="H139" s="71" t="s">
        <v>136</v>
      </c>
      <c r="I139" s="71" t="s">
        <v>136</v>
      </c>
      <c r="J139" s="71" t="s">
        <v>136</v>
      </c>
    </row>
    <row r="140" spans="2:10">
      <c r="B140" s="60" t="s">
        <v>190</v>
      </c>
      <c r="C140" s="60" t="s">
        <v>270</v>
      </c>
      <c r="D140" s="61" t="s">
        <v>137</v>
      </c>
      <c r="E140" s="61" t="s">
        <v>171</v>
      </c>
      <c r="F140" s="62">
        <v>500000</v>
      </c>
      <c r="G140" s="67">
        <v>0.5</v>
      </c>
      <c r="H140" s="68" t="s">
        <v>136</v>
      </c>
      <c r="I140" s="68" t="s">
        <v>136</v>
      </c>
      <c r="J140" s="69" t="s">
        <v>136</v>
      </c>
    </row>
    <row r="141" spans="2:10">
      <c r="B141" s="57" t="s">
        <v>190</v>
      </c>
      <c r="C141" s="57" t="s">
        <v>278</v>
      </c>
      <c r="D141" s="58" t="s">
        <v>137</v>
      </c>
      <c r="E141" s="58" t="s">
        <v>171</v>
      </c>
      <c r="F141" s="59">
        <v>165522</v>
      </c>
      <c r="G141" s="70">
        <v>0.165522</v>
      </c>
      <c r="H141" s="71" t="s">
        <v>136</v>
      </c>
      <c r="I141" s="71" t="s">
        <v>136</v>
      </c>
      <c r="J141" s="71" t="s">
        <v>136</v>
      </c>
    </row>
    <row r="142" spans="2:10">
      <c r="B142" s="60" t="s">
        <v>190</v>
      </c>
      <c r="C142" s="60" t="s">
        <v>242</v>
      </c>
      <c r="D142" s="61" t="s">
        <v>137</v>
      </c>
      <c r="E142" s="61" t="s">
        <v>171</v>
      </c>
      <c r="F142" s="62">
        <v>9266313</v>
      </c>
      <c r="G142" s="67">
        <v>9.2663130000000002</v>
      </c>
      <c r="H142" s="68" t="s">
        <v>136</v>
      </c>
      <c r="I142" s="68" t="s">
        <v>136</v>
      </c>
      <c r="J142" s="69" t="s">
        <v>136</v>
      </c>
    </row>
    <row r="143" spans="2:10">
      <c r="B143" s="57" t="s">
        <v>190</v>
      </c>
      <c r="C143" s="57" t="s">
        <v>244</v>
      </c>
      <c r="D143" s="58" t="s">
        <v>137</v>
      </c>
      <c r="E143" s="58" t="s">
        <v>171</v>
      </c>
      <c r="F143" s="59">
        <v>8640302</v>
      </c>
      <c r="G143" s="70">
        <v>8.6403020000000001</v>
      </c>
      <c r="H143" s="71" t="s">
        <v>136</v>
      </c>
      <c r="I143" s="71" t="s">
        <v>136</v>
      </c>
      <c r="J143" s="71" t="s">
        <v>136</v>
      </c>
    </row>
    <row r="144" spans="2:10">
      <c r="B144" s="60" t="s">
        <v>190</v>
      </c>
      <c r="C144" s="60" t="s">
        <v>273</v>
      </c>
      <c r="D144" s="61" t="s">
        <v>137</v>
      </c>
      <c r="E144" s="61" t="s">
        <v>171</v>
      </c>
      <c r="F144" s="62">
        <v>312000</v>
      </c>
      <c r="G144" s="67">
        <v>0.312</v>
      </c>
      <c r="H144" s="68" t="s">
        <v>136</v>
      </c>
      <c r="I144" s="68" t="s">
        <v>136</v>
      </c>
      <c r="J144" s="69" t="s">
        <v>136</v>
      </c>
    </row>
    <row r="145" spans="2:10">
      <c r="B145" s="57" t="s">
        <v>190</v>
      </c>
      <c r="C145" s="57" t="s">
        <v>307</v>
      </c>
      <c r="D145" s="58" t="s">
        <v>137</v>
      </c>
      <c r="E145" s="58" t="s">
        <v>171</v>
      </c>
      <c r="F145" s="59">
        <v>24447821</v>
      </c>
      <c r="G145" s="70">
        <v>24.447821000000001</v>
      </c>
      <c r="H145" s="71" t="s">
        <v>136</v>
      </c>
      <c r="I145" s="71" t="s">
        <v>136</v>
      </c>
      <c r="J145" s="71" t="s">
        <v>136</v>
      </c>
    </row>
    <row r="146" spans="2:10">
      <c r="B146" s="60" t="s">
        <v>190</v>
      </c>
      <c r="C146" s="60" t="s">
        <v>275</v>
      </c>
      <c r="D146" s="61" t="s">
        <v>137</v>
      </c>
      <c r="E146" s="61" t="s">
        <v>171</v>
      </c>
      <c r="F146" s="62">
        <v>287070</v>
      </c>
      <c r="G146" s="67">
        <v>0.28706999999999999</v>
      </c>
      <c r="H146" s="68" t="s">
        <v>136</v>
      </c>
      <c r="I146" s="68" t="s">
        <v>136</v>
      </c>
      <c r="J146" s="69" t="s">
        <v>136</v>
      </c>
    </row>
    <row r="147" spans="2:10">
      <c r="B147" s="57" t="s">
        <v>190</v>
      </c>
      <c r="C147" s="57" t="s">
        <v>274</v>
      </c>
      <c r="D147" s="58" t="s">
        <v>137</v>
      </c>
      <c r="E147" s="58" t="s">
        <v>171</v>
      </c>
      <c r="F147" s="59">
        <v>295896</v>
      </c>
      <c r="G147" s="70">
        <v>0.29589599999999999</v>
      </c>
      <c r="H147" s="71" t="s">
        <v>136</v>
      </c>
      <c r="I147" s="71" t="s">
        <v>136</v>
      </c>
      <c r="J147" s="71" t="s">
        <v>136</v>
      </c>
    </row>
    <row r="148" spans="2:10">
      <c r="B148" s="60" t="s">
        <v>190</v>
      </c>
      <c r="C148" s="60" t="s">
        <v>247</v>
      </c>
      <c r="D148" s="61" t="s">
        <v>137</v>
      </c>
      <c r="E148" s="61" t="s">
        <v>171</v>
      </c>
      <c r="F148" s="62">
        <v>6501573</v>
      </c>
      <c r="G148" s="67">
        <v>6.5015729999999996</v>
      </c>
      <c r="H148" s="68" t="s">
        <v>136</v>
      </c>
      <c r="I148" s="68" t="s">
        <v>136</v>
      </c>
      <c r="J148" s="69" t="s">
        <v>136</v>
      </c>
    </row>
    <row r="149" spans="2:10">
      <c r="B149" s="57" t="s">
        <v>190</v>
      </c>
      <c r="C149" s="57" t="s">
        <v>233</v>
      </c>
      <c r="D149" s="58" t="s">
        <v>137</v>
      </c>
      <c r="E149" s="58" t="s">
        <v>171</v>
      </c>
      <c r="F149" s="59">
        <v>22812287</v>
      </c>
      <c r="G149" s="70">
        <v>22.812287000000001</v>
      </c>
      <c r="H149" s="71" t="s">
        <v>136</v>
      </c>
      <c r="I149" s="71" t="s">
        <v>136</v>
      </c>
      <c r="J149" s="71" t="s">
        <v>136</v>
      </c>
    </row>
    <row r="150" spans="2:10">
      <c r="B150" s="60" t="s">
        <v>190</v>
      </c>
      <c r="C150" s="60" t="s">
        <v>234</v>
      </c>
      <c r="D150" s="61" t="s">
        <v>137</v>
      </c>
      <c r="E150" s="61" t="s">
        <v>171</v>
      </c>
      <c r="F150" s="62">
        <v>25258761</v>
      </c>
      <c r="G150" s="67">
        <v>25.258761</v>
      </c>
      <c r="H150" s="68" t="s">
        <v>136</v>
      </c>
      <c r="I150" s="68" t="s">
        <v>136</v>
      </c>
      <c r="J150" s="69" t="s">
        <v>136</v>
      </c>
    </row>
    <row r="151" spans="2:10">
      <c r="B151" s="57" t="s">
        <v>190</v>
      </c>
      <c r="C151" s="57" t="s">
        <v>261</v>
      </c>
      <c r="D151" s="58" t="s">
        <v>137</v>
      </c>
      <c r="E151" s="58" t="s">
        <v>171</v>
      </c>
      <c r="F151" s="59">
        <v>1868885</v>
      </c>
      <c r="G151" s="70">
        <v>1.8688849999999999</v>
      </c>
      <c r="H151" s="71" t="s">
        <v>136</v>
      </c>
      <c r="I151" s="71" t="s">
        <v>136</v>
      </c>
      <c r="J151" s="71" t="s">
        <v>136</v>
      </c>
    </row>
    <row r="152" spans="2:10">
      <c r="B152" s="60" t="s">
        <v>190</v>
      </c>
      <c r="C152" s="60" t="s">
        <v>230</v>
      </c>
      <c r="D152" s="61" t="s">
        <v>89</v>
      </c>
      <c r="E152" s="61" t="s">
        <v>179</v>
      </c>
      <c r="F152" s="62">
        <v>88118176</v>
      </c>
      <c r="G152" s="67">
        <v>88.118176000000005</v>
      </c>
      <c r="H152" s="68" t="s">
        <v>80</v>
      </c>
      <c r="I152" s="68" t="s">
        <v>80</v>
      </c>
      <c r="J152" s="69" t="s">
        <v>80</v>
      </c>
    </row>
    <row r="153" spans="2:10">
      <c r="B153" s="57" t="s">
        <v>190</v>
      </c>
      <c r="C153" s="57" t="s">
        <v>229</v>
      </c>
      <c r="D153" s="58" t="s">
        <v>89</v>
      </c>
      <c r="E153" s="58" t="s">
        <v>179</v>
      </c>
      <c r="F153" s="59">
        <v>44855539</v>
      </c>
      <c r="G153" s="70">
        <v>44.855539</v>
      </c>
      <c r="H153" s="71" t="s">
        <v>80</v>
      </c>
      <c r="I153" s="71" t="s">
        <v>80</v>
      </c>
      <c r="J153" s="71" t="s">
        <v>80</v>
      </c>
    </row>
    <row r="154" spans="2:10">
      <c r="B154" s="60" t="s">
        <v>190</v>
      </c>
      <c r="C154" s="60" t="s">
        <v>229</v>
      </c>
      <c r="D154" s="61" t="s">
        <v>89</v>
      </c>
      <c r="E154" s="61" t="s">
        <v>179</v>
      </c>
      <c r="F154" s="62">
        <v>61659561</v>
      </c>
      <c r="G154" s="67">
        <v>61.659560999999997</v>
      </c>
      <c r="H154" s="68" t="s">
        <v>80</v>
      </c>
      <c r="I154" s="68" t="s">
        <v>80</v>
      </c>
      <c r="J154" s="69" t="s">
        <v>80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DB88-8C2B-4502-A11B-7BB2847EE8F5}">
  <dimension ref="A1:E71"/>
  <sheetViews>
    <sheetView showGridLines="0" zoomScaleNormal="100" workbookViewId="0">
      <selection activeCell="C21" sqref="C21"/>
    </sheetView>
  </sheetViews>
  <sheetFormatPr baseColWidth="10" defaultColWidth="12.36328125" defaultRowHeight="12"/>
  <cols>
    <col min="1" max="1" width="3.6328125" style="3" bestFit="1" customWidth="1"/>
    <col min="2" max="2" width="61.7265625" style="3" bestFit="1" customWidth="1"/>
    <col min="3" max="3" width="11.54296875" style="3" bestFit="1" customWidth="1"/>
    <col min="4" max="4" width="15.6328125" style="3" bestFit="1" customWidth="1"/>
    <col min="5" max="5" width="8" style="3" bestFit="1" customWidth="1"/>
    <col min="6" max="16384" width="12.36328125" style="3"/>
  </cols>
  <sheetData>
    <row r="1" spans="1:5" ht="18.5">
      <c r="A1" s="45" t="s">
        <v>308</v>
      </c>
    </row>
    <row r="3" spans="1:5" ht="24.5" thickBot="1">
      <c r="A3" s="72" t="s">
        <v>309</v>
      </c>
      <c r="B3" s="73" t="s">
        <v>63</v>
      </c>
      <c r="C3" s="72" t="s">
        <v>310</v>
      </c>
      <c r="D3" s="72" t="s">
        <v>311</v>
      </c>
      <c r="E3" s="72" t="s">
        <v>312</v>
      </c>
    </row>
    <row r="4" spans="1:5" ht="12.5" thickBot="1">
      <c r="A4" s="74" t="s">
        <v>70</v>
      </c>
      <c r="B4" s="75"/>
      <c r="C4" s="76"/>
      <c r="D4" s="77" t="s">
        <v>313</v>
      </c>
      <c r="E4" s="77" t="s">
        <v>314</v>
      </c>
    </row>
    <row r="5" spans="1:5">
      <c r="A5" s="78">
        <v>1</v>
      </c>
      <c r="B5" s="79" t="s">
        <v>71</v>
      </c>
      <c r="C5" s="78" t="s">
        <v>315</v>
      </c>
      <c r="D5" s="80">
        <v>0</v>
      </c>
      <c r="E5" s="80">
        <v>0</v>
      </c>
    </row>
    <row r="6" spans="1:5">
      <c r="A6" s="81">
        <v>2</v>
      </c>
      <c r="B6" s="82" t="s">
        <v>72</v>
      </c>
      <c r="C6" s="81" t="s">
        <v>315</v>
      </c>
      <c r="D6" s="80">
        <v>0</v>
      </c>
      <c r="E6" s="80">
        <v>0</v>
      </c>
    </row>
    <row r="7" spans="1:5" ht="24.5" thickBot="1">
      <c r="A7" s="83" t="s">
        <v>309</v>
      </c>
      <c r="B7" s="73" t="s">
        <v>63</v>
      </c>
      <c r="C7" s="83" t="s">
        <v>310</v>
      </c>
      <c r="D7" s="72" t="s">
        <v>311</v>
      </c>
      <c r="E7" s="72" t="s">
        <v>312</v>
      </c>
    </row>
    <row r="8" spans="1:5" ht="12.5" thickBot="1">
      <c r="A8" s="84" t="s">
        <v>73</v>
      </c>
      <c r="B8" s="75"/>
      <c r="C8" s="76"/>
      <c r="D8" s="77" t="s">
        <v>314</v>
      </c>
      <c r="E8" s="77" t="s">
        <v>316</v>
      </c>
    </row>
    <row r="9" spans="1:5">
      <c r="A9" s="78">
        <v>3</v>
      </c>
      <c r="B9" s="79" t="s">
        <v>317</v>
      </c>
      <c r="C9" s="78" t="s">
        <v>74</v>
      </c>
      <c r="D9" s="80">
        <v>0</v>
      </c>
      <c r="E9" s="80">
        <v>0</v>
      </c>
    </row>
    <row r="10" spans="1:5">
      <c r="A10" s="85">
        <v>4</v>
      </c>
      <c r="B10" s="86" t="s">
        <v>76</v>
      </c>
      <c r="C10" s="85" t="s">
        <v>74</v>
      </c>
      <c r="D10" s="80">
        <v>0</v>
      </c>
      <c r="E10" s="80">
        <v>0</v>
      </c>
    </row>
    <row r="11" spans="1:5">
      <c r="A11" s="81">
        <v>5</v>
      </c>
      <c r="B11" s="86" t="s">
        <v>318</v>
      </c>
      <c r="C11" s="85" t="s">
        <v>74</v>
      </c>
      <c r="D11" s="80">
        <v>0</v>
      </c>
      <c r="E11" s="80">
        <v>0</v>
      </c>
    </row>
    <row r="12" spans="1:5">
      <c r="A12" s="81">
        <v>6</v>
      </c>
      <c r="B12" s="86" t="s">
        <v>319</v>
      </c>
      <c r="C12" s="85" t="s">
        <v>74</v>
      </c>
      <c r="D12" s="80">
        <v>0</v>
      </c>
      <c r="E12" s="80">
        <v>0</v>
      </c>
    </row>
    <row r="13" spans="1:5" ht="12.5" thickBot="1">
      <c r="A13" s="87">
        <v>7</v>
      </c>
      <c r="B13" s="88" t="s">
        <v>79</v>
      </c>
      <c r="C13" s="81" t="s">
        <v>74</v>
      </c>
      <c r="D13" s="80">
        <v>0</v>
      </c>
      <c r="E13" s="80">
        <v>0</v>
      </c>
    </row>
    <row r="14" spans="1:5" ht="24.5" thickBot="1">
      <c r="A14" s="89" t="s">
        <v>309</v>
      </c>
      <c r="B14" s="90" t="s">
        <v>63</v>
      </c>
      <c r="C14" s="91" t="s">
        <v>310</v>
      </c>
      <c r="D14" s="91" t="s">
        <v>311</v>
      </c>
      <c r="E14" s="91" t="s">
        <v>312</v>
      </c>
    </row>
    <row r="15" spans="1:5">
      <c r="A15" s="92">
        <v>8</v>
      </c>
      <c r="B15" s="93" t="s">
        <v>320</v>
      </c>
      <c r="C15" s="78" t="s">
        <v>80</v>
      </c>
      <c r="D15" s="80">
        <v>0</v>
      </c>
      <c r="E15" s="80">
        <v>0</v>
      </c>
    </row>
    <row r="16" spans="1:5">
      <c r="A16" s="94">
        <v>9</v>
      </c>
      <c r="B16" s="95" t="s">
        <v>321</v>
      </c>
      <c r="C16" s="78" t="s">
        <v>80</v>
      </c>
      <c r="D16" s="80">
        <v>0</v>
      </c>
      <c r="E16" s="80">
        <v>0</v>
      </c>
    </row>
    <row r="17" spans="1:5">
      <c r="A17" s="94">
        <v>10</v>
      </c>
      <c r="B17" s="95" t="s">
        <v>83</v>
      </c>
      <c r="C17" s="78" t="s">
        <v>80</v>
      </c>
      <c r="D17" s="80">
        <v>0</v>
      </c>
      <c r="E17" s="80">
        <v>0</v>
      </c>
    </row>
    <row r="18" spans="1:5">
      <c r="A18" s="94">
        <v>11</v>
      </c>
      <c r="B18" s="96" t="s">
        <v>84</v>
      </c>
      <c r="C18" s="78" t="s">
        <v>80</v>
      </c>
      <c r="D18" s="80">
        <v>0</v>
      </c>
      <c r="E18" s="80">
        <v>0</v>
      </c>
    </row>
    <row r="19" spans="1:5" ht="24">
      <c r="A19" s="94">
        <v>12</v>
      </c>
      <c r="B19" s="95" t="s">
        <v>322</v>
      </c>
      <c r="C19" s="78" t="s">
        <v>80</v>
      </c>
      <c r="D19" s="80">
        <v>0</v>
      </c>
      <c r="E19" s="80">
        <v>0</v>
      </c>
    </row>
    <row r="20" spans="1:5">
      <c r="A20" s="94">
        <v>13</v>
      </c>
      <c r="B20" s="96" t="s">
        <v>323</v>
      </c>
      <c r="C20" s="78" t="s">
        <v>80</v>
      </c>
      <c r="D20" s="80">
        <v>0</v>
      </c>
      <c r="E20" s="80">
        <v>0</v>
      </c>
    </row>
    <row r="21" spans="1:5">
      <c r="A21" s="94">
        <v>14</v>
      </c>
      <c r="B21" s="96" t="s">
        <v>87</v>
      </c>
      <c r="C21" s="78" t="s">
        <v>80</v>
      </c>
      <c r="D21" s="80">
        <v>0</v>
      </c>
      <c r="E21" s="80">
        <v>0</v>
      </c>
    </row>
    <row r="22" spans="1:5">
      <c r="A22" s="94">
        <v>15</v>
      </c>
      <c r="B22" s="96" t="s">
        <v>88</v>
      </c>
      <c r="C22" s="78" t="s">
        <v>80</v>
      </c>
      <c r="D22" s="80">
        <v>0</v>
      </c>
      <c r="E22" s="80">
        <v>0</v>
      </c>
    </row>
    <row r="23" spans="1:5" ht="12.5" thickBot="1">
      <c r="A23" s="94">
        <v>16</v>
      </c>
      <c r="B23" s="97" t="s">
        <v>89</v>
      </c>
      <c r="C23" s="98" t="s">
        <v>80</v>
      </c>
      <c r="D23" s="80">
        <v>0</v>
      </c>
      <c r="E23" s="80">
        <v>0</v>
      </c>
    </row>
    <row r="24" spans="1:5" ht="24.5" thickBot="1">
      <c r="A24" s="89" t="s">
        <v>309</v>
      </c>
      <c r="B24" s="90" t="s">
        <v>63</v>
      </c>
      <c r="C24" s="91" t="s">
        <v>310</v>
      </c>
      <c r="D24" s="91" t="s">
        <v>311</v>
      </c>
      <c r="E24" s="91" t="s">
        <v>312</v>
      </c>
    </row>
    <row r="25" spans="1:5">
      <c r="A25" s="92">
        <v>17</v>
      </c>
      <c r="B25" s="93" t="s">
        <v>91</v>
      </c>
      <c r="C25" s="78" t="s">
        <v>90</v>
      </c>
      <c r="D25" s="80">
        <v>0</v>
      </c>
      <c r="E25" s="80">
        <v>0</v>
      </c>
    </row>
    <row r="26" spans="1:5">
      <c r="A26" s="92">
        <v>18</v>
      </c>
      <c r="B26" s="93" t="s">
        <v>324</v>
      </c>
      <c r="C26" s="98" t="s">
        <v>90</v>
      </c>
      <c r="D26" s="80">
        <v>0</v>
      </c>
      <c r="E26" s="80">
        <v>0</v>
      </c>
    </row>
    <row r="27" spans="1:5">
      <c r="A27" s="92">
        <v>19</v>
      </c>
      <c r="B27" s="96" t="s">
        <v>325</v>
      </c>
      <c r="C27" s="81" t="s">
        <v>90</v>
      </c>
      <c r="D27" s="80">
        <v>0</v>
      </c>
      <c r="E27" s="80">
        <v>0</v>
      </c>
    </row>
    <row r="28" spans="1:5">
      <c r="A28" s="92">
        <v>20</v>
      </c>
      <c r="B28" s="96" t="s">
        <v>93</v>
      </c>
      <c r="C28" s="81" t="s">
        <v>90</v>
      </c>
      <c r="D28" s="80">
        <v>0</v>
      </c>
      <c r="E28" s="80">
        <v>0</v>
      </c>
    </row>
    <row r="29" spans="1:5">
      <c r="A29" s="92">
        <v>21</v>
      </c>
      <c r="B29" s="96" t="s">
        <v>94</v>
      </c>
      <c r="C29" s="81" t="s">
        <v>90</v>
      </c>
      <c r="D29" s="80">
        <v>0</v>
      </c>
      <c r="E29" s="80">
        <v>0</v>
      </c>
    </row>
    <row r="30" spans="1:5">
      <c r="A30" s="92">
        <v>22</v>
      </c>
      <c r="B30" s="96" t="s">
        <v>326</v>
      </c>
      <c r="C30" s="81" t="s">
        <v>90</v>
      </c>
      <c r="D30" s="80">
        <v>0</v>
      </c>
      <c r="E30" s="80">
        <v>0</v>
      </c>
    </row>
    <row r="31" spans="1:5">
      <c r="A31" s="92">
        <v>23</v>
      </c>
      <c r="B31" s="99" t="s">
        <v>320</v>
      </c>
      <c r="C31" s="81" t="s">
        <v>90</v>
      </c>
      <c r="D31" s="80">
        <v>0</v>
      </c>
      <c r="E31" s="80">
        <v>0</v>
      </c>
    </row>
    <row r="32" spans="1:5">
      <c r="A32" s="92">
        <v>24</v>
      </c>
      <c r="B32" s="96" t="s">
        <v>327</v>
      </c>
      <c r="C32" s="85" t="s">
        <v>90</v>
      </c>
      <c r="D32" s="80">
        <v>0</v>
      </c>
      <c r="E32" s="80">
        <v>0</v>
      </c>
    </row>
    <row r="33" spans="1:5">
      <c r="A33" s="92">
        <v>25</v>
      </c>
      <c r="B33" s="93" t="s">
        <v>98</v>
      </c>
      <c r="C33" s="85" t="s">
        <v>90</v>
      </c>
      <c r="D33" s="80">
        <v>0</v>
      </c>
      <c r="E33" s="80">
        <v>0</v>
      </c>
    </row>
    <row r="34" spans="1:5" ht="12.5" thickBot="1">
      <c r="A34" s="92">
        <v>26</v>
      </c>
      <c r="B34" s="93" t="s">
        <v>328</v>
      </c>
      <c r="C34" s="85" t="s">
        <v>90</v>
      </c>
      <c r="D34" s="80">
        <v>0</v>
      </c>
      <c r="E34" s="80">
        <v>0</v>
      </c>
    </row>
    <row r="35" spans="1:5" ht="24.5" thickBot="1">
      <c r="A35" s="89" t="s">
        <v>309</v>
      </c>
      <c r="B35" s="100" t="s">
        <v>63</v>
      </c>
      <c r="C35" s="91" t="s">
        <v>310</v>
      </c>
      <c r="D35" s="91" t="s">
        <v>311</v>
      </c>
      <c r="E35" s="91" t="s">
        <v>312</v>
      </c>
    </row>
    <row r="36" spans="1:5">
      <c r="A36" s="94">
        <v>27</v>
      </c>
      <c r="B36" s="93" t="s">
        <v>102</v>
      </c>
      <c r="C36" s="78" t="s">
        <v>101</v>
      </c>
      <c r="D36" s="80">
        <v>0</v>
      </c>
      <c r="E36" s="80">
        <v>0</v>
      </c>
    </row>
    <row r="37" spans="1:5">
      <c r="A37" s="94">
        <v>28</v>
      </c>
      <c r="B37" s="96" t="s">
        <v>103</v>
      </c>
      <c r="C37" s="85" t="s">
        <v>101</v>
      </c>
      <c r="D37" s="80">
        <v>0</v>
      </c>
      <c r="E37" s="80">
        <v>0</v>
      </c>
    </row>
    <row r="38" spans="1:5">
      <c r="A38" s="94">
        <v>29</v>
      </c>
      <c r="B38" s="96" t="s">
        <v>104</v>
      </c>
      <c r="C38" s="85" t="s">
        <v>101</v>
      </c>
      <c r="D38" s="80">
        <v>0</v>
      </c>
      <c r="E38" s="80">
        <v>0</v>
      </c>
    </row>
    <row r="39" spans="1:5">
      <c r="A39" s="94">
        <v>30</v>
      </c>
      <c r="B39" s="96" t="s">
        <v>105</v>
      </c>
      <c r="C39" s="85" t="s">
        <v>101</v>
      </c>
      <c r="D39" s="80">
        <v>0</v>
      </c>
      <c r="E39" s="80">
        <v>0</v>
      </c>
    </row>
    <row r="40" spans="1:5">
      <c r="A40" s="94">
        <v>31</v>
      </c>
      <c r="B40" s="96" t="s">
        <v>106</v>
      </c>
      <c r="C40" s="85" t="s">
        <v>101</v>
      </c>
      <c r="D40" s="80">
        <v>0</v>
      </c>
      <c r="E40" s="80">
        <v>0</v>
      </c>
    </row>
    <row r="41" spans="1:5">
      <c r="A41" s="94">
        <v>32</v>
      </c>
      <c r="B41" s="96" t="s">
        <v>107</v>
      </c>
      <c r="C41" s="85" t="s">
        <v>101</v>
      </c>
      <c r="D41" s="80">
        <v>0</v>
      </c>
      <c r="E41" s="80">
        <v>0</v>
      </c>
    </row>
    <row r="42" spans="1:5">
      <c r="A42" s="94">
        <v>33</v>
      </c>
      <c r="B42" s="96" t="s">
        <v>108</v>
      </c>
      <c r="C42" s="85" t="s">
        <v>101</v>
      </c>
      <c r="D42" s="80">
        <v>0</v>
      </c>
      <c r="E42" s="80">
        <v>0</v>
      </c>
    </row>
    <row r="43" spans="1:5">
      <c r="A43" s="94">
        <v>34</v>
      </c>
      <c r="B43" s="96" t="s">
        <v>109</v>
      </c>
      <c r="C43" s="85" t="s">
        <v>101</v>
      </c>
      <c r="D43" s="80">
        <v>0</v>
      </c>
      <c r="E43" s="80">
        <v>0</v>
      </c>
    </row>
    <row r="44" spans="1:5">
      <c r="A44" s="94">
        <v>35</v>
      </c>
      <c r="B44" s="96" t="s">
        <v>110</v>
      </c>
      <c r="C44" s="85" t="s">
        <v>101</v>
      </c>
      <c r="D44" s="80">
        <v>0</v>
      </c>
      <c r="E44" s="80">
        <v>0</v>
      </c>
    </row>
    <row r="45" spans="1:5">
      <c r="A45" s="94">
        <v>36</v>
      </c>
      <c r="B45" s="96" t="s">
        <v>111</v>
      </c>
      <c r="C45" s="85" t="s">
        <v>101</v>
      </c>
      <c r="D45" s="80">
        <v>0</v>
      </c>
      <c r="E45" s="80">
        <v>0</v>
      </c>
    </row>
    <row r="46" spans="1:5">
      <c r="A46" s="94">
        <v>37</v>
      </c>
      <c r="B46" s="96" t="s">
        <v>329</v>
      </c>
      <c r="C46" s="85" t="s">
        <v>101</v>
      </c>
      <c r="D46" s="80">
        <v>0</v>
      </c>
      <c r="E46" s="80">
        <v>0</v>
      </c>
    </row>
    <row r="47" spans="1:5">
      <c r="A47" s="94">
        <v>38</v>
      </c>
      <c r="B47" s="96" t="s">
        <v>320</v>
      </c>
      <c r="C47" s="85" t="s">
        <v>101</v>
      </c>
      <c r="D47" s="80">
        <v>0</v>
      </c>
      <c r="E47" s="80">
        <v>0</v>
      </c>
    </row>
    <row r="48" spans="1:5">
      <c r="A48" s="94">
        <v>39</v>
      </c>
      <c r="B48" s="96" t="s">
        <v>114</v>
      </c>
      <c r="C48" s="85" t="s">
        <v>101</v>
      </c>
      <c r="D48" s="80">
        <v>0</v>
      </c>
      <c r="E48" s="80">
        <v>0</v>
      </c>
    </row>
    <row r="49" spans="1:5">
      <c r="A49" s="94">
        <v>40</v>
      </c>
      <c r="B49" s="97" t="s">
        <v>98</v>
      </c>
      <c r="C49" s="85" t="s">
        <v>101</v>
      </c>
      <c r="D49" s="80">
        <v>0</v>
      </c>
      <c r="E49" s="80">
        <v>0</v>
      </c>
    </row>
    <row r="50" spans="1:5">
      <c r="A50" s="94">
        <v>41</v>
      </c>
      <c r="B50" s="96" t="s">
        <v>115</v>
      </c>
      <c r="C50" s="85" t="s">
        <v>101</v>
      </c>
      <c r="D50" s="80">
        <v>0</v>
      </c>
      <c r="E50" s="80">
        <v>0</v>
      </c>
    </row>
    <row r="51" spans="1:5" ht="12.5" thickBot="1">
      <c r="A51" s="94">
        <v>42</v>
      </c>
      <c r="B51" s="101" t="s">
        <v>117</v>
      </c>
      <c r="C51" s="102" t="s">
        <v>101</v>
      </c>
      <c r="D51" s="80">
        <v>0</v>
      </c>
      <c r="E51" s="80">
        <v>0</v>
      </c>
    </row>
    <row r="52" spans="1:5" ht="24.5" thickBot="1">
      <c r="A52" s="89" t="s">
        <v>309</v>
      </c>
      <c r="B52" s="90" t="s">
        <v>63</v>
      </c>
      <c r="C52" s="91" t="s">
        <v>310</v>
      </c>
      <c r="D52" s="91" t="s">
        <v>311</v>
      </c>
      <c r="E52" s="91" t="s">
        <v>312</v>
      </c>
    </row>
    <row r="53" spans="1:5">
      <c r="A53" s="92">
        <v>43</v>
      </c>
      <c r="B53" s="93" t="s">
        <v>330</v>
      </c>
      <c r="C53" s="78" t="s">
        <v>331</v>
      </c>
      <c r="D53" s="80">
        <v>0</v>
      </c>
      <c r="E53" s="80">
        <v>0</v>
      </c>
    </row>
    <row r="54" spans="1:5">
      <c r="A54" s="92">
        <v>44</v>
      </c>
      <c r="B54" s="93" t="s">
        <v>332</v>
      </c>
      <c r="C54" s="78" t="s">
        <v>331</v>
      </c>
      <c r="D54" s="80">
        <v>0</v>
      </c>
      <c r="E54" s="80">
        <v>0</v>
      </c>
    </row>
    <row r="55" spans="1:5">
      <c r="A55" s="92">
        <v>45</v>
      </c>
      <c r="B55" s="93" t="s">
        <v>121</v>
      </c>
      <c r="C55" s="78" t="s">
        <v>331</v>
      </c>
      <c r="D55" s="80">
        <v>0</v>
      </c>
      <c r="E55" s="80">
        <v>0</v>
      </c>
    </row>
    <row r="56" spans="1:5">
      <c r="A56" s="92">
        <v>46</v>
      </c>
      <c r="B56" s="93" t="s">
        <v>122</v>
      </c>
      <c r="C56" s="78" t="s">
        <v>331</v>
      </c>
      <c r="D56" s="80">
        <v>0</v>
      </c>
      <c r="E56" s="80">
        <v>0</v>
      </c>
    </row>
    <row r="57" spans="1:5">
      <c r="A57" s="92">
        <v>47</v>
      </c>
      <c r="B57" s="93" t="s">
        <v>333</v>
      </c>
      <c r="C57" s="78" t="s">
        <v>331</v>
      </c>
      <c r="D57" s="80">
        <v>0</v>
      </c>
      <c r="E57" s="80">
        <v>0</v>
      </c>
    </row>
    <row r="58" spans="1:5">
      <c r="A58" s="92">
        <v>48</v>
      </c>
      <c r="B58" s="93" t="s">
        <v>334</v>
      </c>
      <c r="C58" s="78" t="s">
        <v>331</v>
      </c>
      <c r="D58" s="80">
        <v>0</v>
      </c>
      <c r="E58" s="80">
        <v>0</v>
      </c>
    </row>
    <row r="59" spans="1:5">
      <c r="A59" s="92">
        <v>49</v>
      </c>
      <c r="B59" s="93" t="s">
        <v>335</v>
      </c>
      <c r="C59" s="78" t="s">
        <v>331</v>
      </c>
      <c r="D59" s="80">
        <v>0</v>
      </c>
      <c r="E59" s="80">
        <v>0</v>
      </c>
    </row>
    <row r="60" spans="1:5">
      <c r="A60" s="92">
        <v>50</v>
      </c>
      <c r="B60" s="93" t="s">
        <v>126</v>
      </c>
      <c r="C60" s="78" t="s">
        <v>331</v>
      </c>
      <c r="D60" s="80">
        <v>0</v>
      </c>
      <c r="E60" s="80">
        <v>0</v>
      </c>
    </row>
    <row r="61" spans="1:5">
      <c r="A61" s="92">
        <v>51</v>
      </c>
      <c r="B61" s="93" t="s">
        <v>128</v>
      </c>
      <c r="C61" s="78" t="s">
        <v>127</v>
      </c>
      <c r="D61" s="80">
        <v>0</v>
      </c>
      <c r="E61" s="80">
        <v>0</v>
      </c>
    </row>
    <row r="62" spans="1:5">
      <c r="A62" s="92">
        <v>52</v>
      </c>
      <c r="B62" s="86" t="s">
        <v>129</v>
      </c>
      <c r="C62" s="85" t="s">
        <v>127</v>
      </c>
      <c r="D62" s="80">
        <v>0</v>
      </c>
      <c r="E62" s="80">
        <v>0</v>
      </c>
    </row>
    <row r="63" spans="1:5">
      <c r="A63" s="92">
        <v>53</v>
      </c>
      <c r="B63" s="103" t="s">
        <v>336</v>
      </c>
      <c r="C63" s="98" t="s">
        <v>127</v>
      </c>
      <c r="D63" s="80">
        <v>0</v>
      </c>
      <c r="E63" s="80">
        <v>0</v>
      </c>
    </row>
    <row r="64" spans="1:5">
      <c r="A64" s="92">
        <v>54</v>
      </c>
      <c r="B64" s="86" t="s">
        <v>132</v>
      </c>
      <c r="C64" s="85" t="s">
        <v>131</v>
      </c>
      <c r="D64" s="80">
        <v>0</v>
      </c>
      <c r="E64" s="80">
        <v>0</v>
      </c>
    </row>
    <row r="65" spans="1:5">
      <c r="A65" s="92">
        <v>55</v>
      </c>
      <c r="B65" s="103" t="s">
        <v>336</v>
      </c>
      <c r="C65" s="98" t="s">
        <v>131</v>
      </c>
      <c r="D65" s="80">
        <v>0</v>
      </c>
      <c r="E65" s="80">
        <v>0</v>
      </c>
    </row>
    <row r="66" spans="1:5">
      <c r="A66" s="92">
        <v>56</v>
      </c>
      <c r="B66" s="86" t="s">
        <v>337</v>
      </c>
      <c r="C66" s="85" t="s">
        <v>134</v>
      </c>
      <c r="D66" s="80">
        <v>0</v>
      </c>
      <c r="E66" s="80">
        <v>0</v>
      </c>
    </row>
    <row r="67" spans="1:5">
      <c r="A67" s="92">
        <v>57</v>
      </c>
      <c r="B67" s="86" t="s">
        <v>337</v>
      </c>
      <c r="C67" s="85" t="s">
        <v>136</v>
      </c>
      <c r="D67" s="80">
        <v>0</v>
      </c>
      <c r="E67" s="80">
        <v>0</v>
      </c>
    </row>
    <row r="68" spans="1:5" ht="12.5" thickBot="1">
      <c r="A68" s="92">
        <v>58</v>
      </c>
      <c r="B68" s="104" t="s">
        <v>338</v>
      </c>
      <c r="C68" s="85" t="s">
        <v>339</v>
      </c>
      <c r="D68" s="80">
        <v>0</v>
      </c>
      <c r="E68" s="80">
        <v>0</v>
      </c>
    </row>
    <row r="69" spans="1:5">
      <c r="A69" s="105"/>
      <c r="B69" s="106" t="s">
        <v>340</v>
      </c>
      <c r="C69" s="107"/>
      <c r="D69" s="107">
        <f>SUM(D53:D68)</f>
        <v>0</v>
      </c>
      <c r="E69" s="107">
        <v>0</v>
      </c>
    </row>
    <row r="70" spans="1:5">
      <c r="A70" s="92">
        <v>59</v>
      </c>
      <c r="B70" s="86" t="s">
        <v>341</v>
      </c>
      <c r="C70" s="85"/>
      <c r="D70" s="80">
        <v>0</v>
      </c>
      <c r="E70" s="80">
        <v>0</v>
      </c>
    </row>
    <row r="71" spans="1:5">
      <c r="A71" s="92">
        <v>60</v>
      </c>
      <c r="B71" s="86" t="s">
        <v>342</v>
      </c>
      <c r="C71" s="85"/>
      <c r="D71" s="80">
        <v>0</v>
      </c>
      <c r="E71" s="80">
        <v>0</v>
      </c>
    </row>
  </sheetData>
  <mergeCells count="2">
    <mergeCell ref="A4:B4"/>
    <mergeCell ref="A8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36</vt:i4>
      </vt:variant>
    </vt:vector>
  </HeadingPairs>
  <TitlesOfParts>
    <vt:vector size="36" baseType="lpstr">
      <vt:lpstr>Annexe 11</vt:lpstr>
      <vt:lpstr>Annexe 11-(1)</vt:lpstr>
      <vt:lpstr>Annexe 11-(2)</vt:lpstr>
      <vt:lpstr>Annexe 11-(3)</vt:lpstr>
      <vt:lpstr>Annexe 11-(4)</vt:lpstr>
      <vt:lpstr>Annexe 11-(5)</vt:lpstr>
      <vt:lpstr>Annexe 11-(6)</vt:lpstr>
      <vt:lpstr>Annexe 11-(7)</vt:lpstr>
      <vt:lpstr>Annexe 11-(8)</vt:lpstr>
      <vt:lpstr>Annexe 11-(9)</vt:lpstr>
      <vt:lpstr>Annexe 11-(10)</vt:lpstr>
      <vt:lpstr>Annexe 11-(11)</vt:lpstr>
      <vt:lpstr>Annexe 11-(12)</vt:lpstr>
      <vt:lpstr>Annexe 11-(13)</vt:lpstr>
      <vt:lpstr>Annexe 11-(14)</vt:lpstr>
      <vt:lpstr>Annexe 11-(15)</vt:lpstr>
      <vt:lpstr>Annexe 11-(16)</vt:lpstr>
      <vt:lpstr>Annexe 11-(17)</vt:lpstr>
      <vt:lpstr>Annexe 11-(18)</vt:lpstr>
      <vt:lpstr>Annexe 11-(19)</vt:lpstr>
      <vt:lpstr>Annexe 11-(20)</vt:lpstr>
      <vt:lpstr>Annexe 11-(21)</vt:lpstr>
      <vt:lpstr>Annexe 11-(22)</vt:lpstr>
      <vt:lpstr>Annexe 11-(23)</vt:lpstr>
      <vt:lpstr>Annexe 11-(24)</vt:lpstr>
      <vt:lpstr>Annexe 11-(25)</vt:lpstr>
      <vt:lpstr>Annexe 11-(26)</vt:lpstr>
      <vt:lpstr>Annexe 11-(27)</vt:lpstr>
      <vt:lpstr>Annexe 11-(28)</vt:lpstr>
      <vt:lpstr>Annexe 11-(29)</vt:lpstr>
      <vt:lpstr>Annexe 12</vt:lpstr>
      <vt:lpstr>Annexe 13</vt:lpstr>
      <vt:lpstr>Annexe 14</vt:lpstr>
      <vt:lpstr>Annexe 15</vt:lpstr>
      <vt:lpstr>Annexe 16</vt:lpstr>
      <vt:lpstr>Annexe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2026-07-16T15:23:40Z</dcterms:created>
  <dcterms:modified xsi:type="dcterms:W3CDTF">2026-07-16T15:23:55Z</dcterms:modified>
</cp:coreProperties>
</file>