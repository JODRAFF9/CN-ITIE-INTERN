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13_ncr:1_{A9ACA4EC-04BD-421D-98F5-6DEA797DE206}" xr6:coauthVersionLast="47" xr6:coauthVersionMax="47" xr10:uidLastSave="{00000000-0000-0000-0000-000000000000}"/>
  <bookViews>
    <workbookView xWindow="-110" yWindow="-110" windowWidth="19420" windowHeight="10300" firstSheet="24" activeTab="35" xr2:uid="{F2A878BB-1BE0-4534-9D17-C3735D9BEA6D}"/>
  </bookViews>
  <sheets>
    <sheet name="11" sheetId="1" r:id="rId1"/>
    <sheet name="11-1" sheetId="2" r:id="rId2"/>
    <sheet name="11-2" sheetId="3" r:id="rId3"/>
    <sheet name="11-3" sheetId="4" r:id="rId4"/>
    <sheet name="11-4" sheetId="5" r:id="rId5"/>
    <sheet name="11-5" sheetId="6" r:id="rId6"/>
    <sheet name="11-6" sheetId="7" r:id="rId7"/>
    <sheet name="11-7" sheetId="8" r:id="rId8"/>
    <sheet name="11-8" sheetId="9" r:id="rId9"/>
    <sheet name="11-9" sheetId="10" r:id="rId10"/>
    <sheet name="11-10" sheetId="11" r:id="rId11"/>
    <sheet name="11-11" sheetId="12" r:id="rId12"/>
    <sheet name="11-12" sheetId="13" r:id="rId13"/>
    <sheet name="11-13" sheetId="14" r:id="rId14"/>
    <sheet name="11-14" sheetId="15" r:id="rId15"/>
    <sheet name="11-15" sheetId="16" r:id="rId16"/>
    <sheet name="11-16" sheetId="17" r:id="rId17"/>
    <sheet name="11-17" sheetId="18" r:id="rId18"/>
    <sheet name="11-18" sheetId="19" r:id="rId19"/>
    <sheet name="11-19" sheetId="20" r:id="rId20"/>
    <sheet name="11-20" sheetId="21" r:id="rId21"/>
    <sheet name="11-21" sheetId="22" r:id="rId22"/>
    <sheet name="11-22" sheetId="23" r:id="rId23"/>
    <sheet name="11-23" sheetId="24" r:id="rId24"/>
    <sheet name="11-24" sheetId="25" r:id="rId25"/>
    <sheet name="11-25" sheetId="26" r:id="rId26"/>
    <sheet name="11-26" sheetId="27" r:id="rId27"/>
    <sheet name="11-27" sheetId="28" r:id="rId28"/>
    <sheet name="11-28" sheetId="29" r:id="rId29"/>
    <sheet name="11-29" sheetId="30" r:id="rId30"/>
    <sheet name="12" sheetId="31" r:id="rId31"/>
    <sheet name="13" sheetId="32" r:id="rId32"/>
    <sheet name="14" sheetId="33" r:id="rId33"/>
    <sheet name="15" sheetId="34" r:id="rId34"/>
    <sheet name="16" sheetId="35" r:id="rId35"/>
    <sheet name="17" sheetId="36" r:id="rId36"/>
  </sheets>
  <externalReferences>
    <externalReference r:id="rId37"/>
  </externalReferences>
  <definedNames>
    <definedName name="_xlnm._FilterDatabase" localSheetId="1" hidden="1">'11-1'!#REF!</definedName>
    <definedName name="_xlnm._FilterDatabase" localSheetId="10" hidden="1">#REF!</definedName>
    <definedName name="_xlnm._FilterDatabase" localSheetId="11" hidden="1">#REF!</definedName>
    <definedName name="_xlnm._FilterDatabase" localSheetId="13" hidden="1">#REF!</definedName>
    <definedName name="_xlnm._FilterDatabase" localSheetId="15" hidden="1">#REF!</definedName>
    <definedName name="_xlnm._FilterDatabase" localSheetId="17" hidden="1">#REF!</definedName>
    <definedName name="_xlnm._FilterDatabase" localSheetId="18" hidden="1">#REF!</definedName>
    <definedName name="_xlnm._FilterDatabase" localSheetId="2" hidden="1">'11-2'!#REF!</definedName>
    <definedName name="_xlnm._FilterDatabase" localSheetId="20" hidden="1">#REF!</definedName>
    <definedName name="_xlnm._FilterDatabase" localSheetId="21" hidden="1">'11-21'!$A$78:$G$79</definedName>
    <definedName name="_xlnm._FilterDatabase" localSheetId="22" hidden="1">#REF!</definedName>
    <definedName name="_xlnm._FilterDatabase" localSheetId="24" hidden="1">#REF!</definedName>
    <definedName name="_xlnm._FilterDatabase" localSheetId="4" hidden="1">#REF!</definedName>
    <definedName name="_xlnm._FilterDatabase" localSheetId="6" hidden="1">'11-6'!#REF!</definedName>
    <definedName name="_xlnm._FilterDatabase" localSheetId="7" hidden="1">'11-7'!#REF!</definedName>
    <definedName name="_xlnm._FilterDatabase" localSheetId="8" hidden="1">#REF!</definedName>
    <definedName name="_xlnm._FilterDatabase" localSheetId="30" hidden="1">'12'!$A$4:$D$114</definedName>
    <definedName name="_xlnm._FilterDatabase" hidden="1">#REF!</definedName>
    <definedName name="_FilterDatabase1" localSheetId="10" hidden="1">#REF!</definedName>
    <definedName name="_FilterDatabase1" localSheetId="11" hidden="1">#REF!</definedName>
    <definedName name="_FilterDatabase1" localSheetId="13" hidden="1">#REF!</definedName>
    <definedName name="_FilterDatabase1" localSheetId="15" hidden="1">#REF!</definedName>
    <definedName name="_FilterDatabase1" localSheetId="17" hidden="1">#REF!</definedName>
    <definedName name="_FilterDatabase1" localSheetId="18" hidden="1">#REF!</definedName>
    <definedName name="_FilterDatabase1" localSheetId="2" hidden="1">#REF!</definedName>
    <definedName name="_FilterDatabase1" localSheetId="20" hidden="1">#REF!</definedName>
    <definedName name="_FilterDatabase1" localSheetId="22" hidden="1">#REF!</definedName>
    <definedName name="_FilterDatabase1" localSheetId="24" hidden="1">#REF!</definedName>
    <definedName name="_FilterDatabase1" localSheetId="4" hidden="1">#REF!</definedName>
    <definedName name="_FilterDatabase1" localSheetId="6" hidden="1">#REF!</definedName>
    <definedName name="_FilterDatabase1" localSheetId="8" hidden="1">#REF!</definedName>
    <definedName name="_FilterDatabase1" hidden="1">#REF!</definedName>
    <definedName name="az" localSheetId="10">#REF!</definedName>
    <definedName name="az" localSheetId="11">#REF!</definedName>
    <definedName name="az" localSheetId="13">#REF!</definedName>
    <definedName name="az" localSheetId="15">#REF!</definedName>
    <definedName name="az" localSheetId="17">#REF!</definedName>
    <definedName name="az" localSheetId="18">#REF!</definedName>
    <definedName name="az" localSheetId="2">#REF!</definedName>
    <definedName name="az" localSheetId="20">#REF!</definedName>
    <definedName name="az" localSheetId="22">#REF!</definedName>
    <definedName name="az" localSheetId="24">#REF!</definedName>
    <definedName name="az" localSheetId="4">#REF!</definedName>
    <definedName name="az" localSheetId="6">#REF!</definedName>
    <definedName name="az" localSheetId="8">#REF!</definedName>
    <definedName name="az">#REF!</definedName>
    <definedName name="_xlnm.Database" localSheetId="10">#REF!</definedName>
    <definedName name="_xlnm.Database" localSheetId="11">#REF!</definedName>
    <definedName name="_xlnm.Database" localSheetId="13">#REF!</definedName>
    <definedName name="_xlnm.Database" localSheetId="15">#REF!</definedName>
    <definedName name="_xlnm.Database" localSheetId="17">#REF!</definedName>
    <definedName name="_xlnm.Database" localSheetId="18">#REF!</definedName>
    <definedName name="_xlnm.Database" localSheetId="2">#REF!</definedName>
    <definedName name="_xlnm.Database" localSheetId="20">#REF!</definedName>
    <definedName name="_xlnm.Database" localSheetId="24">#REF!</definedName>
    <definedName name="_xlnm.Database" localSheetId="4">#REF!</definedName>
    <definedName name="_xlnm.Database" localSheetId="6">#REF!</definedName>
    <definedName name="_xlnm.Database" localSheetId="8">#REF!</definedName>
    <definedName name="_xlnm.Database">#REF!</definedName>
    <definedName name="BATNA" localSheetId="10">#REF!</definedName>
    <definedName name="BATNA" localSheetId="11">#REF!</definedName>
    <definedName name="BATNA" localSheetId="13">#REF!</definedName>
    <definedName name="BATNA" localSheetId="15">#REF!</definedName>
    <definedName name="BATNA" localSheetId="17">#REF!</definedName>
    <definedName name="BATNA" localSheetId="18">#REF!</definedName>
    <definedName name="BATNA" localSheetId="2">#REF!</definedName>
    <definedName name="BATNA" localSheetId="20">#REF!</definedName>
    <definedName name="BATNA" localSheetId="22">#REF!</definedName>
    <definedName name="BATNA" localSheetId="24">#REF!</definedName>
    <definedName name="BATNA" localSheetId="4">#REF!</definedName>
    <definedName name="BATNA" localSheetId="6">#REF!</definedName>
    <definedName name="BATNA" localSheetId="8">#REF!</definedName>
    <definedName name="BATNA">#REF!</definedName>
    <definedName name="BISKRA" localSheetId="10">#REF!</definedName>
    <definedName name="BISKRA" localSheetId="11">#REF!</definedName>
    <definedName name="BISKRA" localSheetId="13">#REF!</definedName>
    <definedName name="BISKRA" localSheetId="15">#REF!</definedName>
    <definedName name="BISKRA" localSheetId="17">#REF!</definedName>
    <definedName name="BISKRA" localSheetId="18">#REF!</definedName>
    <definedName name="BISKRA" localSheetId="2">#REF!</definedName>
    <definedName name="BISKRA" localSheetId="20">#REF!</definedName>
    <definedName name="BISKRA" localSheetId="22">#REF!</definedName>
    <definedName name="BISKRA" localSheetId="24">#REF!</definedName>
    <definedName name="BISKRA" localSheetId="4">#REF!</definedName>
    <definedName name="BISKRA" localSheetId="6">#REF!</definedName>
    <definedName name="BISKRA" localSheetId="8">#REF!</definedName>
    <definedName name="BISKRA">#REF!</definedName>
    <definedName name="Compadjust">#REF!</definedName>
    <definedName name="DATA5">#REF!</definedName>
    <definedName name="FD" localSheetId="10" hidden="1">#REF!</definedName>
    <definedName name="FD" localSheetId="11" hidden="1">#REF!</definedName>
    <definedName name="FD" localSheetId="13" hidden="1">#REF!</definedName>
    <definedName name="FD" localSheetId="15" hidden="1">#REF!</definedName>
    <definedName name="FD" localSheetId="17" hidden="1">#REF!</definedName>
    <definedName name="FD" localSheetId="18" hidden="1">#REF!</definedName>
    <definedName name="FD" localSheetId="2" hidden="1">#REF!</definedName>
    <definedName name="FD" localSheetId="20" hidden="1">#REF!</definedName>
    <definedName name="FD" localSheetId="22" hidden="1">#REF!</definedName>
    <definedName name="FD" localSheetId="24" hidden="1">#REF!</definedName>
    <definedName name="FD" localSheetId="4" hidden="1">#REF!</definedName>
    <definedName name="FD" localSheetId="6" hidden="1">#REF!</definedName>
    <definedName name="FD" localSheetId="8" hidden="1">#REF!</definedName>
    <definedName name="FD" hidden="1">#REF!</definedName>
    <definedName name="fdb" localSheetId="10" hidden="1">#REF!</definedName>
    <definedName name="fdb" localSheetId="11" hidden="1">#REF!</definedName>
    <definedName name="fdb" localSheetId="13" hidden="1">#REF!</definedName>
    <definedName name="fdb" localSheetId="15" hidden="1">#REF!</definedName>
    <definedName name="fdb" localSheetId="17" hidden="1">#REF!</definedName>
    <definedName name="fdb" localSheetId="18" hidden="1">#REF!</definedName>
    <definedName name="fdb" localSheetId="2" hidden="1">#REF!</definedName>
    <definedName name="fdb" localSheetId="20" hidden="1">#REF!</definedName>
    <definedName name="fdb" localSheetId="22" hidden="1">#REF!</definedName>
    <definedName name="fdb" localSheetId="24" hidden="1">#REF!</definedName>
    <definedName name="fdb" localSheetId="4" hidden="1">#REF!</definedName>
    <definedName name="fdb" localSheetId="6" hidden="1">#REF!</definedName>
    <definedName name="fdb" localSheetId="8" hidden="1">#REF!</definedName>
    <definedName name="fdb" hidden="1">#REF!</definedName>
    <definedName name="FinalDiff">#REF!</definedName>
    <definedName name="Govadjust">#REF!</definedName>
    <definedName name="JIJEL" localSheetId="10">#REF!</definedName>
    <definedName name="JIJEL" localSheetId="11">#REF!</definedName>
    <definedName name="JIJEL" localSheetId="13">#REF!</definedName>
    <definedName name="JIJEL" localSheetId="15">#REF!</definedName>
    <definedName name="JIJEL" localSheetId="17">#REF!</definedName>
    <definedName name="JIJEL" localSheetId="18">#REF!</definedName>
    <definedName name="JIJEL" localSheetId="2">#REF!</definedName>
    <definedName name="JIJEL" localSheetId="20">#REF!</definedName>
    <definedName name="JIJEL" localSheetId="22">#REF!</definedName>
    <definedName name="JIJEL" localSheetId="24">#REF!</definedName>
    <definedName name="JIJEL" localSheetId="4">#REF!</definedName>
    <definedName name="JIJEL" localSheetId="6">#REF!</definedName>
    <definedName name="JIJEL" localSheetId="8">#REF!</definedName>
    <definedName name="JIJEL">#REF!</definedName>
    <definedName name="KHENCHELA" localSheetId="10">#REF!</definedName>
    <definedName name="KHENCHELA" localSheetId="11">#REF!</definedName>
    <definedName name="KHENCHELA" localSheetId="13">#REF!</definedName>
    <definedName name="KHENCHELA" localSheetId="15">#REF!</definedName>
    <definedName name="KHENCHELA" localSheetId="17">#REF!</definedName>
    <definedName name="KHENCHELA" localSheetId="18">#REF!</definedName>
    <definedName name="KHENCHELA" localSheetId="2">#REF!</definedName>
    <definedName name="KHENCHELA" localSheetId="20">#REF!</definedName>
    <definedName name="KHENCHELA" localSheetId="22">#REF!</definedName>
    <definedName name="KHENCHELA" localSheetId="24">#REF!</definedName>
    <definedName name="KHENCHELA" localSheetId="4">#REF!</definedName>
    <definedName name="KHENCHELA" localSheetId="6">#REF!</definedName>
    <definedName name="KHENCHELA" localSheetId="8">#REF!</definedName>
    <definedName name="KHENCHELA">#REF!</definedName>
    <definedName name="MARI">#REF!</definedName>
    <definedName name="MILA" localSheetId="10">#REF!</definedName>
    <definedName name="MILA" localSheetId="11">#REF!</definedName>
    <definedName name="MILA" localSheetId="13">#REF!</definedName>
    <definedName name="MILA" localSheetId="15">#REF!</definedName>
    <definedName name="MILA" localSheetId="17">#REF!</definedName>
    <definedName name="MILA" localSheetId="18">#REF!</definedName>
    <definedName name="MILA" localSheetId="2">#REF!</definedName>
    <definedName name="MILA" localSheetId="20">#REF!</definedName>
    <definedName name="MILA" localSheetId="22">#REF!</definedName>
    <definedName name="MILA" localSheetId="24">#REF!</definedName>
    <definedName name="MILA" localSheetId="4">#REF!</definedName>
    <definedName name="MILA" localSheetId="6">#REF!</definedName>
    <definedName name="MILA" localSheetId="8">#REF!</definedName>
    <definedName name="MILA">#REF!</definedName>
    <definedName name="miseenplace03prjpilotes" localSheetId="10">#REF!</definedName>
    <definedName name="miseenplace03prjpilotes" localSheetId="11">#REF!</definedName>
    <definedName name="miseenplace03prjpilotes" localSheetId="13">#REF!</definedName>
    <definedName name="miseenplace03prjpilotes" localSheetId="15">#REF!</definedName>
    <definedName name="miseenplace03prjpilotes" localSheetId="17">#REF!</definedName>
    <definedName name="miseenplace03prjpilotes" localSheetId="18">#REF!</definedName>
    <definedName name="miseenplace03prjpilotes" localSheetId="2">#REF!</definedName>
    <definedName name="miseenplace03prjpilotes" localSheetId="20">#REF!</definedName>
    <definedName name="miseenplace03prjpilotes" localSheetId="22">#REF!</definedName>
    <definedName name="miseenplace03prjpilotes" localSheetId="24">#REF!</definedName>
    <definedName name="miseenplace03prjpilotes" localSheetId="4">#REF!</definedName>
    <definedName name="miseenplace03prjpilotes" localSheetId="6">#REF!</definedName>
    <definedName name="miseenplace03prjpilotes" localSheetId="8">#REF!</definedName>
    <definedName name="miseenplace03prjpilotes">#REF!</definedName>
    <definedName name="MS" localSheetId="10">#REF!</definedName>
    <definedName name="MS" localSheetId="11">#REF!</definedName>
    <definedName name="MS" localSheetId="13">#REF!</definedName>
    <definedName name="MS" localSheetId="15">#REF!</definedName>
    <definedName name="MS" localSheetId="17">#REF!</definedName>
    <definedName name="MS" localSheetId="18">#REF!</definedName>
    <definedName name="MS" localSheetId="2">#REF!</definedName>
    <definedName name="MS" localSheetId="20">#REF!</definedName>
    <definedName name="MS" localSheetId="22">#REF!</definedName>
    <definedName name="MS" localSheetId="24">#REF!</definedName>
    <definedName name="MS" localSheetId="4">#REF!</definedName>
    <definedName name="MS" localSheetId="6">#REF!</definedName>
    <definedName name="MS" localSheetId="8">#REF!</definedName>
    <definedName name="MS">#REF!</definedName>
    <definedName name="msp" localSheetId="10">#REF!</definedName>
    <definedName name="msp" localSheetId="11">#REF!</definedName>
    <definedName name="msp" localSheetId="13">#REF!</definedName>
    <definedName name="msp" localSheetId="15">#REF!</definedName>
    <definedName name="msp" localSheetId="17">#REF!</definedName>
    <definedName name="msp" localSheetId="18">#REF!</definedName>
    <definedName name="msp" localSheetId="2">#REF!</definedName>
    <definedName name="msp" localSheetId="20">#REF!</definedName>
    <definedName name="msp" localSheetId="22">#REF!</definedName>
    <definedName name="msp" localSheetId="24">#REF!</definedName>
    <definedName name="msp" localSheetId="4">#REF!</definedName>
    <definedName name="msp" localSheetId="6">#REF!</definedName>
    <definedName name="msp" localSheetId="8">#REF!</definedName>
    <definedName name="msp">#REF!</definedName>
    <definedName name="P" localSheetId="10">#REF!</definedName>
    <definedName name="P" localSheetId="11">#REF!</definedName>
    <definedName name="P" localSheetId="13">#REF!</definedName>
    <definedName name="P" localSheetId="15">#REF!</definedName>
    <definedName name="P" localSheetId="17">#REF!</definedName>
    <definedName name="P" localSheetId="18">#REF!</definedName>
    <definedName name="P" localSheetId="2">#REF!</definedName>
    <definedName name="P" localSheetId="20">#REF!</definedName>
    <definedName name="P" localSheetId="22">#REF!</definedName>
    <definedName name="P" localSheetId="24">#REF!</definedName>
    <definedName name="P" localSheetId="4">#REF!</definedName>
    <definedName name="P" localSheetId="6">#REF!</definedName>
    <definedName name="P" localSheetId="8">#REF!</definedName>
    <definedName name="P">#REF!</definedName>
    <definedName name="po" localSheetId="10">#REF!</definedName>
    <definedName name="po" localSheetId="11">#REF!</definedName>
    <definedName name="po" localSheetId="13">#REF!</definedName>
    <definedName name="po" localSheetId="15">#REF!</definedName>
    <definedName name="po" localSheetId="17">#REF!</definedName>
    <definedName name="po" localSheetId="18">#REF!</definedName>
    <definedName name="po" localSheetId="2">#REF!</definedName>
    <definedName name="po" localSheetId="20">#REF!</definedName>
    <definedName name="po" localSheetId="22">#REF!</definedName>
    <definedName name="po" localSheetId="24">#REF!</definedName>
    <definedName name="po" localSheetId="4">#REF!</definedName>
    <definedName name="po" localSheetId="6">#REF!</definedName>
    <definedName name="po" localSheetId="8">#REF!</definedName>
    <definedName name="po">#REF!</definedName>
    <definedName name="POP" localSheetId="10">#REF!</definedName>
    <definedName name="POP" localSheetId="11">#REF!</definedName>
    <definedName name="POP" localSheetId="13">#REF!</definedName>
    <definedName name="POP" localSheetId="15">#REF!</definedName>
    <definedName name="POP" localSheetId="17">#REF!</definedName>
    <definedName name="POP" localSheetId="18">#REF!</definedName>
    <definedName name="POP" localSheetId="2">#REF!</definedName>
    <definedName name="POP" localSheetId="20">#REF!</definedName>
    <definedName name="POP" localSheetId="22">#REF!</definedName>
    <definedName name="POP" localSheetId="24">#REF!</definedName>
    <definedName name="POP" localSheetId="4">#REF!</definedName>
    <definedName name="POP" localSheetId="6">#REF!</definedName>
    <definedName name="POP" localSheetId="8">#REF!</definedName>
    <definedName name="POP">#REF!</definedName>
    <definedName name="RECAP" localSheetId="10">#REF!</definedName>
    <definedName name="RECAP" localSheetId="11">#REF!</definedName>
    <definedName name="RECAP" localSheetId="13">#REF!</definedName>
    <definedName name="RECAP" localSheetId="15">#REF!</definedName>
    <definedName name="RECAP" localSheetId="17">#REF!</definedName>
    <definedName name="RECAP" localSheetId="18">#REF!</definedName>
    <definedName name="RECAP" localSheetId="2">#REF!</definedName>
    <definedName name="RECAP" localSheetId="20">#REF!</definedName>
    <definedName name="RECAP" localSheetId="22">#REF!</definedName>
    <definedName name="RECAP" localSheetId="24">#REF!</definedName>
    <definedName name="RECAP" localSheetId="4">#REF!</definedName>
    <definedName name="RECAP" localSheetId="6">#REF!</definedName>
    <definedName name="RECAP" localSheetId="8">#REF!</definedName>
    <definedName name="RECAP">#REF!</definedName>
    <definedName name="SOUKAHARS" localSheetId="10">#REF!</definedName>
    <definedName name="SOUKAHARS" localSheetId="11">#REF!</definedName>
    <definedName name="SOUKAHARS" localSheetId="13">#REF!</definedName>
    <definedName name="SOUKAHARS" localSheetId="15">#REF!</definedName>
    <definedName name="SOUKAHARS" localSheetId="17">#REF!</definedName>
    <definedName name="SOUKAHARS" localSheetId="18">#REF!</definedName>
    <definedName name="SOUKAHARS" localSheetId="2">#REF!</definedName>
    <definedName name="SOUKAHARS" localSheetId="20">#REF!</definedName>
    <definedName name="SOUKAHARS" localSheetId="22">#REF!</definedName>
    <definedName name="SOUKAHARS" localSheetId="24">#REF!</definedName>
    <definedName name="SOUKAHARS" localSheetId="4">#REF!</definedName>
    <definedName name="SOUKAHARS" localSheetId="6">#REF!</definedName>
    <definedName name="SOUKAHARS" localSheetId="8">#REF!</definedName>
    <definedName name="SOUKAHARS">#REF!</definedName>
    <definedName name="Taxes">#REF!</definedName>
    <definedName name="TRAVAUX01" localSheetId="10">#REF!</definedName>
    <definedName name="TRAVAUX01" localSheetId="11">#REF!</definedName>
    <definedName name="TRAVAUX01" localSheetId="13">#REF!</definedName>
    <definedName name="TRAVAUX01" localSheetId="15">#REF!</definedName>
    <definedName name="TRAVAUX01" localSheetId="17">#REF!</definedName>
    <definedName name="TRAVAUX01" localSheetId="18">#REF!</definedName>
    <definedName name="TRAVAUX01" localSheetId="2">#REF!</definedName>
    <definedName name="TRAVAUX01" localSheetId="20">#REF!</definedName>
    <definedName name="TRAVAUX01" localSheetId="22">#REF!</definedName>
    <definedName name="TRAVAUX01" localSheetId="24">#REF!</definedName>
    <definedName name="TRAVAUX01" localSheetId="4">#REF!</definedName>
    <definedName name="TRAVAUX01" localSheetId="6">#REF!</definedName>
    <definedName name="TRAVAUX01" localSheetId="8">#REF!</definedName>
    <definedName name="TRAVAUX01">#REF!</definedName>
    <definedName name="TRAVAUX07" localSheetId="10">#REF!</definedName>
    <definedName name="TRAVAUX07" localSheetId="11">#REF!</definedName>
    <definedName name="TRAVAUX07" localSheetId="13">#REF!</definedName>
    <definedName name="TRAVAUX07" localSheetId="15">#REF!</definedName>
    <definedName name="TRAVAUX07" localSheetId="17">#REF!</definedName>
    <definedName name="TRAVAUX07" localSheetId="18">#REF!</definedName>
    <definedName name="TRAVAUX07" localSheetId="2">#REF!</definedName>
    <definedName name="TRAVAUX07" localSheetId="20">#REF!</definedName>
    <definedName name="TRAVAUX07" localSheetId="22">#REF!</definedName>
    <definedName name="TRAVAUX07" localSheetId="24">#REF!</definedName>
    <definedName name="TRAVAUX07" localSheetId="4">#REF!</definedName>
    <definedName name="TRAVAUX07" localSheetId="6">#REF!</definedName>
    <definedName name="TRAVAUX07" localSheetId="8">#REF!</definedName>
    <definedName name="TRAVAUX07">#REF!</definedName>
    <definedName name="TRAVAUX08" localSheetId="10">#REF!</definedName>
    <definedName name="TRAVAUX08" localSheetId="11">#REF!</definedName>
    <definedName name="TRAVAUX08" localSheetId="13">#REF!</definedName>
    <definedName name="TRAVAUX08" localSheetId="15">#REF!</definedName>
    <definedName name="TRAVAUX08" localSheetId="17">#REF!</definedName>
    <definedName name="TRAVAUX08" localSheetId="18">#REF!</definedName>
    <definedName name="TRAVAUX08" localSheetId="2">#REF!</definedName>
    <definedName name="TRAVAUX08" localSheetId="20">#REF!</definedName>
    <definedName name="TRAVAUX08" localSheetId="22">#REF!</definedName>
    <definedName name="TRAVAUX08" localSheetId="24">#REF!</definedName>
    <definedName name="TRAVAUX08" localSheetId="4">#REF!</definedName>
    <definedName name="TRAVAUX08" localSheetId="6">#REF!</definedName>
    <definedName name="TRAVAUX08" localSheetId="8">#REF!</definedName>
    <definedName name="TRAVAUX08">#REF!</definedName>
    <definedName name="TRAVAUX10" localSheetId="10">#REF!</definedName>
    <definedName name="TRAVAUX10" localSheetId="11">#REF!</definedName>
    <definedName name="TRAVAUX10" localSheetId="13">#REF!</definedName>
    <definedName name="TRAVAUX10" localSheetId="15">#REF!</definedName>
    <definedName name="TRAVAUX10" localSheetId="17">#REF!</definedName>
    <definedName name="TRAVAUX10" localSheetId="18">#REF!</definedName>
    <definedName name="TRAVAUX10" localSheetId="2">#REF!</definedName>
    <definedName name="TRAVAUX10" localSheetId="20">#REF!</definedName>
    <definedName name="TRAVAUX10" localSheetId="22">#REF!</definedName>
    <definedName name="TRAVAUX10" localSheetId="24">#REF!</definedName>
    <definedName name="TRAVAUX10" localSheetId="4">#REF!</definedName>
    <definedName name="TRAVAUX10" localSheetId="6">#REF!</definedName>
    <definedName name="TRAVAUX10" localSheetId="8">#REF!</definedName>
    <definedName name="TRAVAUX10">#REF!</definedName>
    <definedName name="TRAVAUX11" localSheetId="10">#REF!</definedName>
    <definedName name="TRAVAUX11" localSheetId="11">#REF!</definedName>
    <definedName name="TRAVAUX11" localSheetId="13">#REF!</definedName>
    <definedName name="TRAVAUX11" localSheetId="15">#REF!</definedName>
    <definedName name="TRAVAUX11" localSheetId="17">#REF!</definedName>
    <definedName name="TRAVAUX11" localSheetId="18">#REF!</definedName>
    <definedName name="TRAVAUX11" localSheetId="2">#REF!</definedName>
    <definedName name="TRAVAUX11" localSheetId="20">#REF!</definedName>
    <definedName name="TRAVAUX11" localSheetId="22">#REF!</definedName>
    <definedName name="TRAVAUX11" localSheetId="24">#REF!</definedName>
    <definedName name="TRAVAUX11" localSheetId="4">#REF!</definedName>
    <definedName name="TRAVAUX11" localSheetId="6">#REF!</definedName>
    <definedName name="TRAVAUX11" localSheetId="8">#REF!</definedName>
    <definedName name="TRAVAUX11">#REF!</definedName>
    <definedName name="TRAVAUX12" localSheetId="10">#REF!</definedName>
    <definedName name="TRAVAUX12" localSheetId="11">#REF!</definedName>
    <definedName name="TRAVAUX12" localSheetId="13">#REF!</definedName>
    <definedName name="TRAVAUX12" localSheetId="15">#REF!</definedName>
    <definedName name="TRAVAUX12" localSheetId="17">#REF!</definedName>
    <definedName name="TRAVAUX12" localSheetId="18">#REF!</definedName>
    <definedName name="TRAVAUX12" localSheetId="2">#REF!</definedName>
    <definedName name="TRAVAUX12" localSheetId="20">#REF!</definedName>
    <definedName name="TRAVAUX12" localSheetId="22">#REF!</definedName>
    <definedName name="TRAVAUX12" localSheetId="24">#REF!</definedName>
    <definedName name="TRAVAUX12" localSheetId="4">#REF!</definedName>
    <definedName name="TRAVAUX12" localSheetId="6">#REF!</definedName>
    <definedName name="TRAVAUX12" localSheetId="8">#REF!</definedName>
    <definedName name="TRAVAUX12">#REF!</definedName>
    <definedName name="TRAVAUX13" localSheetId="10">#REF!</definedName>
    <definedName name="TRAVAUX13" localSheetId="11">#REF!</definedName>
    <definedName name="TRAVAUX13" localSheetId="13">#REF!</definedName>
    <definedName name="TRAVAUX13" localSheetId="15">#REF!</definedName>
    <definedName name="TRAVAUX13" localSheetId="17">#REF!</definedName>
    <definedName name="TRAVAUX13" localSheetId="18">#REF!</definedName>
    <definedName name="TRAVAUX13" localSheetId="2">#REF!</definedName>
    <definedName name="TRAVAUX13" localSheetId="20">#REF!</definedName>
    <definedName name="TRAVAUX13" localSheetId="22">#REF!</definedName>
    <definedName name="TRAVAUX13" localSheetId="24">#REF!</definedName>
    <definedName name="TRAVAUX13" localSheetId="4">#REF!</definedName>
    <definedName name="TRAVAUX13" localSheetId="6">#REF!</definedName>
    <definedName name="TRAVAUX13" localSheetId="8">#REF!</definedName>
    <definedName name="TRAVAUX13">#REF!</definedName>
    <definedName name="TRAVAUX14" localSheetId="10">#REF!</definedName>
    <definedName name="TRAVAUX14" localSheetId="11">#REF!</definedName>
    <definedName name="TRAVAUX14" localSheetId="13">#REF!</definedName>
    <definedName name="TRAVAUX14" localSheetId="15">#REF!</definedName>
    <definedName name="TRAVAUX14" localSheetId="17">#REF!</definedName>
    <definedName name="TRAVAUX14" localSheetId="18">#REF!</definedName>
    <definedName name="TRAVAUX14" localSheetId="2">#REF!</definedName>
    <definedName name="TRAVAUX14" localSheetId="20">#REF!</definedName>
    <definedName name="TRAVAUX14" localSheetId="22">#REF!</definedName>
    <definedName name="TRAVAUX14" localSheetId="24">#REF!</definedName>
    <definedName name="TRAVAUX14" localSheetId="4">#REF!</definedName>
    <definedName name="TRAVAUX14" localSheetId="6">#REF!</definedName>
    <definedName name="TRAVAUX14" localSheetId="8">#REF!</definedName>
    <definedName name="TRAVAUX14">#REF!</definedName>
    <definedName name="TRAVAUX15" localSheetId="10">#REF!</definedName>
    <definedName name="TRAVAUX15" localSheetId="11">#REF!</definedName>
    <definedName name="TRAVAUX15" localSheetId="13">#REF!</definedName>
    <definedName name="TRAVAUX15" localSheetId="15">#REF!</definedName>
    <definedName name="TRAVAUX15" localSheetId="17">#REF!</definedName>
    <definedName name="TRAVAUX15" localSheetId="18">#REF!</definedName>
    <definedName name="TRAVAUX15" localSheetId="2">#REF!</definedName>
    <definedName name="TRAVAUX15" localSheetId="20">#REF!</definedName>
    <definedName name="TRAVAUX15" localSheetId="22">#REF!</definedName>
    <definedName name="TRAVAUX15" localSheetId="24">#REF!</definedName>
    <definedName name="TRAVAUX15" localSheetId="4">#REF!</definedName>
    <definedName name="TRAVAUX15" localSheetId="6">#REF!</definedName>
    <definedName name="TRAVAUX15" localSheetId="8">#REF!</definedName>
    <definedName name="TRAVAUX15">#REF!</definedName>
    <definedName name="TRAVAUX20" localSheetId="10">#REF!</definedName>
    <definedName name="TRAVAUX20" localSheetId="11">#REF!</definedName>
    <definedName name="TRAVAUX20" localSheetId="13">#REF!</definedName>
    <definedName name="TRAVAUX20" localSheetId="15">#REF!</definedName>
    <definedName name="TRAVAUX20" localSheetId="17">#REF!</definedName>
    <definedName name="TRAVAUX20" localSheetId="18">#REF!</definedName>
    <definedName name="TRAVAUX20" localSheetId="2">#REF!</definedName>
    <definedName name="TRAVAUX20" localSheetId="20">#REF!</definedName>
    <definedName name="TRAVAUX20" localSheetId="22">#REF!</definedName>
    <definedName name="TRAVAUX20" localSheetId="24">#REF!</definedName>
    <definedName name="TRAVAUX20" localSheetId="4">#REF!</definedName>
    <definedName name="TRAVAUX20" localSheetId="6">#REF!</definedName>
    <definedName name="TRAVAUX20" localSheetId="8">#REF!</definedName>
    <definedName name="TRAVAUX20">#REF!</definedName>
    <definedName name="TRAVAUX21" localSheetId="10">#REF!</definedName>
    <definedName name="TRAVAUX21" localSheetId="11">#REF!</definedName>
    <definedName name="TRAVAUX21" localSheetId="13">#REF!</definedName>
    <definedName name="TRAVAUX21" localSheetId="15">#REF!</definedName>
    <definedName name="TRAVAUX21" localSheetId="17">#REF!</definedName>
    <definedName name="TRAVAUX21" localSheetId="18">#REF!</definedName>
    <definedName name="TRAVAUX21" localSheetId="2">#REF!</definedName>
    <definedName name="TRAVAUX21" localSheetId="20">#REF!</definedName>
    <definedName name="TRAVAUX21" localSheetId="22">#REF!</definedName>
    <definedName name="TRAVAUX21" localSheetId="24">#REF!</definedName>
    <definedName name="TRAVAUX21" localSheetId="4">#REF!</definedName>
    <definedName name="TRAVAUX21" localSheetId="6">#REF!</definedName>
    <definedName name="TRAVAUX21" localSheetId="8">#REF!</definedName>
    <definedName name="TRAVAUX21">#REF!</definedName>
    <definedName name="TRAVAUX22" localSheetId="10">#REF!</definedName>
    <definedName name="TRAVAUX22" localSheetId="11">#REF!</definedName>
    <definedName name="TRAVAUX22" localSheetId="13">#REF!</definedName>
    <definedName name="TRAVAUX22" localSheetId="15">#REF!</definedName>
    <definedName name="TRAVAUX22" localSheetId="17">#REF!</definedName>
    <definedName name="TRAVAUX22" localSheetId="18">#REF!</definedName>
    <definedName name="TRAVAUX22" localSheetId="2">#REF!</definedName>
    <definedName name="TRAVAUX22" localSheetId="20">#REF!</definedName>
    <definedName name="TRAVAUX22" localSheetId="22">#REF!</definedName>
    <definedName name="TRAVAUX22" localSheetId="24">#REF!</definedName>
    <definedName name="TRAVAUX22" localSheetId="4">#REF!</definedName>
    <definedName name="TRAVAUX22" localSheetId="6">#REF!</definedName>
    <definedName name="TRAVAUX22" localSheetId="8">#REF!</definedName>
    <definedName name="TRAVAUX22">#REF!</definedName>
    <definedName name="TRAVAUX25" localSheetId="10">#REF!</definedName>
    <definedName name="TRAVAUX25" localSheetId="11">#REF!</definedName>
    <definedName name="TRAVAUX25" localSheetId="13">#REF!</definedName>
    <definedName name="TRAVAUX25" localSheetId="15">#REF!</definedName>
    <definedName name="TRAVAUX25" localSheetId="17">#REF!</definedName>
    <definedName name="TRAVAUX25" localSheetId="18">#REF!</definedName>
    <definedName name="TRAVAUX25" localSheetId="2">#REF!</definedName>
    <definedName name="TRAVAUX25" localSheetId="20">#REF!</definedName>
    <definedName name="TRAVAUX25" localSheetId="22">#REF!</definedName>
    <definedName name="TRAVAUX25" localSheetId="24">#REF!</definedName>
    <definedName name="TRAVAUX25" localSheetId="4">#REF!</definedName>
    <definedName name="TRAVAUX25" localSheetId="6">#REF!</definedName>
    <definedName name="TRAVAUX25" localSheetId="8">#REF!</definedName>
    <definedName name="TRAVAUX25">#REF!</definedName>
    <definedName name="TRAVAUX27" localSheetId="10">#REF!</definedName>
    <definedName name="TRAVAUX27" localSheetId="11">#REF!</definedName>
    <definedName name="TRAVAUX27" localSheetId="13">#REF!</definedName>
    <definedName name="TRAVAUX27" localSheetId="15">#REF!</definedName>
    <definedName name="TRAVAUX27" localSheetId="17">#REF!</definedName>
    <definedName name="TRAVAUX27" localSheetId="18">#REF!</definedName>
    <definedName name="TRAVAUX27" localSheetId="2">#REF!</definedName>
    <definedName name="TRAVAUX27" localSheetId="20">#REF!</definedName>
    <definedName name="TRAVAUX27" localSheetId="22">#REF!</definedName>
    <definedName name="TRAVAUX27" localSheetId="24">#REF!</definedName>
    <definedName name="TRAVAUX27" localSheetId="4">#REF!</definedName>
    <definedName name="TRAVAUX27" localSheetId="6">#REF!</definedName>
    <definedName name="TRAVAUX27" localSheetId="8">#REF!</definedName>
    <definedName name="TRAVAUX27">#REF!</definedName>
    <definedName name="TRAVAUX28" localSheetId="10">#REF!</definedName>
    <definedName name="TRAVAUX28" localSheetId="11">#REF!</definedName>
    <definedName name="TRAVAUX28" localSheetId="13">#REF!</definedName>
    <definedName name="TRAVAUX28" localSheetId="15">#REF!</definedName>
    <definedName name="TRAVAUX28" localSheetId="17">#REF!</definedName>
    <definedName name="TRAVAUX28" localSheetId="18">#REF!</definedName>
    <definedName name="TRAVAUX28" localSheetId="2">#REF!</definedName>
    <definedName name="TRAVAUX28" localSheetId="20">#REF!</definedName>
    <definedName name="TRAVAUX28" localSheetId="22">#REF!</definedName>
    <definedName name="TRAVAUX28" localSheetId="24">#REF!</definedName>
    <definedName name="TRAVAUX28" localSheetId="4">#REF!</definedName>
    <definedName name="TRAVAUX28" localSheetId="6">#REF!</definedName>
    <definedName name="TRAVAUX28" localSheetId="8">#REF!</definedName>
    <definedName name="TRAVAUX28">#REF!</definedName>
    <definedName name="TRAVAUX29" localSheetId="10">#REF!</definedName>
    <definedName name="TRAVAUX29" localSheetId="11">#REF!</definedName>
    <definedName name="TRAVAUX29" localSheetId="13">#REF!</definedName>
    <definedName name="TRAVAUX29" localSheetId="15">#REF!</definedName>
    <definedName name="TRAVAUX29" localSheetId="17">#REF!</definedName>
    <definedName name="TRAVAUX29" localSheetId="18">#REF!</definedName>
    <definedName name="TRAVAUX29" localSheetId="2">#REF!</definedName>
    <definedName name="TRAVAUX29" localSheetId="20">#REF!</definedName>
    <definedName name="TRAVAUX29" localSheetId="22">#REF!</definedName>
    <definedName name="TRAVAUX29" localSheetId="24">#REF!</definedName>
    <definedName name="TRAVAUX29" localSheetId="4">#REF!</definedName>
    <definedName name="TRAVAUX29" localSheetId="6">#REF!</definedName>
    <definedName name="TRAVAUX29" localSheetId="8">#REF!</definedName>
    <definedName name="TRAVAUX29">#REF!</definedName>
    <definedName name="TRAVAUX31" localSheetId="10">#REF!</definedName>
    <definedName name="TRAVAUX31" localSheetId="11">#REF!</definedName>
    <definedName name="TRAVAUX31" localSheetId="13">#REF!</definedName>
    <definedName name="TRAVAUX31" localSheetId="15">#REF!</definedName>
    <definedName name="TRAVAUX31" localSheetId="17">#REF!</definedName>
    <definedName name="TRAVAUX31" localSheetId="18">#REF!</definedName>
    <definedName name="TRAVAUX31" localSheetId="2">#REF!</definedName>
    <definedName name="TRAVAUX31" localSheetId="20">#REF!</definedName>
    <definedName name="TRAVAUX31" localSheetId="22">#REF!</definedName>
    <definedName name="TRAVAUX31" localSheetId="24">#REF!</definedName>
    <definedName name="TRAVAUX31" localSheetId="4">#REF!</definedName>
    <definedName name="TRAVAUX31" localSheetId="6">#REF!</definedName>
    <definedName name="TRAVAUX31" localSheetId="8">#REF!</definedName>
    <definedName name="TRAVAUX31">#REF!</definedName>
    <definedName name="TRAVAUX32" localSheetId="10">#REF!</definedName>
    <definedName name="TRAVAUX32" localSheetId="11">#REF!</definedName>
    <definedName name="TRAVAUX32" localSheetId="13">#REF!</definedName>
    <definedName name="TRAVAUX32" localSheetId="15">#REF!</definedName>
    <definedName name="TRAVAUX32" localSheetId="17">#REF!</definedName>
    <definedName name="TRAVAUX32" localSheetId="18">#REF!</definedName>
    <definedName name="TRAVAUX32" localSheetId="2">#REF!</definedName>
    <definedName name="TRAVAUX32" localSheetId="20">#REF!</definedName>
    <definedName name="TRAVAUX32" localSheetId="22">#REF!</definedName>
    <definedName name="TRAVAUX32" localSheetId="24">#REF!</definedName>
    <definedName name="TRAVAUX32" localSheetId="4">#REF!</definedName>
    <definedName name="TRAVAUX32" localSheetId="6">#REF!</definedName>
    <definedName name="TRAVAUX32" localSheetId="8">#REF!</definedName>
    <definedName name="TRAVAUX32">#REF!</definedName>
    <definedName name="TRAVAUX33" localSheetId="10">#REF!</definedName>
    <definedName name="TRAVAUX33" localSheetId="11">#REF!</definedName>
    <definedName name="TRAVAUX33" localSheetId="13">#REF!</definedName>
    <definedName name="TRAVAUX33" localSheetId="15">#REF!</definedName>
    <definedName name="TRAVAUX33" localSheetId="17">#REF!</definedName>
    <definedName name="TRAVAUX33" localSheetId="18">#REF!</definedName>
    <definedName name="TRAVAUX33" localSheetId="2">#REF!</definedName>
    <definedName name="TRAVAUX33" localSheetId="20">#REF!</definedName>
    <definedName name="TRAVAUX33" localSheetId="22">#REF!</definedName>
    <definedName name="TRAVAUX33" localSheetId="24">#REF!</definedName>
    <definedName name="TRAVAUX33" localSheetId="4">#REF!</definedName>
    <definedName name="TRAVAUX33" localSheetId="6">#REF!</definedName>
    <definedName name="TRAVAUX33" localSheetId="8">#REF!</definedName>
    <definedName name="TRAVAUX33">#REF!</definedName>
    <definedName name="TRAVAUX34" localSheetId="10">#REF!</definedName>
    <definedName name="TRAVAUX34" localSheetId="11">#REF!</definedName>
    <definedName name="TRAVAUX34" localSheetId="13">#REF!</definedName>
    <definedName name="TRAVAUX34" localSheetId="15">#REF!</definedName>
    <definedName name="TRAVAUX34" localSheetId="17">#REF!</definedName>
    <definedName name="TRAVAUX34" localSheetId="18">#REF!</definedName>
    <definedName name="TRAVAUX34" localSheetId="2">#REF!</definedName>
    <definedName name="TRAVAUX34" localSheetId="20">#REF!</definedName>
    <definedName name="TRAVAUX34" localSheetId="22">#REF!</definedName>
    <definedName name="TRAVAUX34" localSheetId="24">#REF!</definedName>
    <definedName name="TRAVAUX34" localSheetId="4">#REF!</definedName>
    <definedName name="TRAVAUX34" localSheetId="6">#REF!</definedName>
    <definedName name="TRAVAUX34" localSheetId="8">#REF!</definedName>
    <definedName name="TRAVAUX34">#REF!</definedName>
    <definedName name="TRAVAUX35" localSheetId="10">#REF!</definedName>
    <definedName name="TRAVAUX35" localSheetId="11">#REF!</definedName>
    <definedName name="TRAVAUX35" localSheetId="13">#REF!</definedName>
    <definedName name="TRAVAUX35" localSheetId="15">#REF!</definedName>
    <definedName name="TRAVAUX35" localSheetId="17">#REF!</definedName>
    <definedName name="TRAVAUX35" localSheetId="18">#REF!</definedName>
    <definedName name="TRAVAUX35" localSheetId="2">#REF!</definedName>
    <definedName name="TRAVAUX35" localSheetId="20">#REF!</definedName>
    <definedName name="TRAVAUX35" localSheetId="22">#REF!</definedName>
    <definedName name="TRAVAUX35" localSheetId="24">#REF!</definedName>
    <definedName name="TRAVAUX35" localSheetId="4">#REF!</definedName>
    <definedName name="TRAVAUX35" localSheetId="6">#REF!</definedName>
    <definedName name="TRAVAUX35" localSheetId="8">#REF!</definedName>
    <definedName name="TRAVAUX35">#REF!</definedName>
    <definedName name="TRAVAUX36" localSheetId="10">#REF!</definedName>
    <definedName name="TRAVAUX36" localSheetId="11">#REF!</definedName>
    <definedName name="TRAVAUX36" localSheetId="13">#REF!</definedName>
    <definedName name="TRAVAUX36" localSheetId="15">#REF!</definedName>
    <definedName name="TRAVAUX36" localSheetId="17">#REF!</definedName>
    <definedName name="TRAVAUX36" localSheetId="18">#REF!</definedName>
    <definedName name="TRAVAUX36" localSheetId="2">#REF!</definedName>
    <definedName name="TRAVAUX36" localSheetId="20">#REF!</definedName>
    <definedName name="TRAVAUX36" localSheetId="22">#REF!</definedName>
    <definedName name="TRAVAUX36" localSheetId="24">#REF!</definedName>
    <definedName name="TRAVAUX36" localSheetId="4">#REF!</definedName>
    <definedName name="TRAVAUX36" localSheetId="6">#REF!</definedName>
    <definedName name="TRAVAUX36" localSheetId="8">#REF!</definedName>
    <definedName name="TRAVAUX36">#REF!</definedName>
    <definedName name="TRAVAUX38" localSheetId="10">#REF!</definedName>
    <definedName name="TRAVAUX38" localSheetId="11">#REF!</definedName>
    <definedName name="TRAVAUX38" localSheetId="13">#REF!</definedName>
    <definedName name="TRAVAUX38" localSheetId="15">#REF!</definedName>
    <definedName name="TRAVAUX38" localSheetId="17">#REF!</definedName>
    <definedName name="TRAVAUX38" localSheetId="18">#REF!</definedName>
    <definedName name="TRAVAUX38" localSheetId="2">#REF!</definedName>
    <definedName name="TRAVAUX38" localSheetId="20">#REF!</definedName>
    <definedName name="TRAVAUX38" localSheetId="22">#REF!</definedName>
    <definedName name="TRAVAUX38" localSheetId="24">#REF!</definedName>
    <definedName name="TRAVAUX38" localSheetId="4">#REF!</definedName>
    <definedName name="TRAVAUX38" localSheetId="6">#REF!</definedName>
    <definedName name="TRAVAUX38" localSheetId="8">#REF!</definedName>
    <definedName name="TRAVAUX38">#REF!</definedName>
    <definedName name="TRAVAUX39" localSheetId="10">#REF!</definedName>
    <definedName name="TRAVAUX39" localSheetId="11">#REF!</definedName>
    <definedName name="TRAVAUX39" localSheetId="13">#REF!</definedName>
    <definedName name="TRAVAUX39" localSheetId="15">#REF!</definedName>
    <definedName name="TRAVAUX39" localSheetId="17">#REF!</definedName>
    <definedName name="TRAVAUX39" localSheetId="18">#REF!</definedName>
    <definedName name="TRAVAUX39" localSheetId="2">#REF!</definedName>
    <definedName name="TRAVAUX39" localSheetId="20">#REF!</definedName>
    <definedName name="TRAVAUX39" localSheetId="22">#REF!</definedName>
    <definedName name="TRAVAUX39" localSheetId="24">#REF!</definedName>
    <definedName name="TRAVAUX39" localSheetId="4">#REF!</definedName>
    <definedName name="TRAVAUX39" localSheetId="6">#REF!</definedName>
    <definedName name="TRAVAUX39" localSheetId="8">#REF!</definedName>
    <definedName name="TRAVAUX39">#REF!</definedName>
    <definedName name="TRAVAUX40" localSheetId="10">#REF!</definedName>
    <definedName name="TRAVAUX40" localSheetId="11">#REF!</definedName>
    <definedName name="TRAVAUX40" localSheetId="13">#REF!</definedName>
    <definedName name="TRAVAUX40" localSheetId="15">#REF!</definedName>
    <definedName name="TRAVAUX40" localSheetId="17">#REF!</definedName>
    <definedName name="TRAVAUX40" localSheetId="18">#REF!</definedName>
    <definedName name="TRAVAUX40" localSheetId="2">#REF!</definedName>
    <definedName name="TRAVAUX40" localSheetId="20">#REF!</definedName>
    <definedName name="TRAVAUX40" localSheetId="22">#REF!</definedName>
    <definedName name="TRAVAUX40" localSheetId="24">#REF!</definedName>
    <definedName name="TRAVAUX40" localSheetId="4">#REF!</definedName>
    <definedName name="TRAVAUX40" localSheetId="6">#REF!</definedName>
    <definedName name="TRAVAUX40" localSheetId="8">#REF!</definedName>
    <definedName name="TRAVAUX40">#REF!</definedName>
    <definedName name="TRAVAUX41" localSheetId="10">#REF!</definedName>
    <definedName name="TRAVAUX41" localSheetId="11">#REF!</definedName>
    <definedName name="TRAVAUX41" localSheetId="13">#REF!</definedName>
    <definedName name="TRAVAUX41" localSheetId="15">#REF!</definedName>
    <definedName name="TRAVAUX41" localSheetId="17">#REF!</definedName>
    <definedName name="TRAVAUX41" localSheetId="18">#REF!</definedName>
    <definedName name="TRAVAUX41" localSheetId="2">#REF!</definedName>
    <definedName name="TRAVAUX41" localSheetId="20">#REF!</definedName>
    <definedName name="TRAVAUX41" localSheetId="22">#REF!</definedName>
    <definedName name="TRAVAUX41" localSheetId="24">#REF!</definedName>
    <definedName name="TRAVAUX41" localSheetId="4">#REF!</definedName>
    <definedName name="TRAVAUX41" localSheetId="6">#REF!</definedName>
    <definedName name="TRAVAUX41" localSheetId="8">#REF!</definedName>
    <definedName name="TRAVAUX41">#REF!</definedName>
    <definedName name="TRAVAUX42" localSheetId="10">#REF!</definedName>
    <definedName name="TRAVAUX42" localSheetId="11">#REF!</definedName>
    <definedName name="TRAVAUX42" localSheetId="13">#REF!</definedName>
    <definedName name="TRAVAUX42" localSheetId="15">#REF!</definedName>
    <definedName name="TRAVAUX42" localSheetId="17">#REF!</definedName>
    <definedName name="TRAVAUX42" localSheetId="18">#REF!</definedName>
    <definedName name="TRAVAUX42" localSheetId="2">#REF!</definedName>
    <definedName name="TRAVAUX42" localSheetId="20">#REF!</definedName>
    <definedName name="TRAVAUX42" localSheetId="22">#REF!</definedName>
    <definedName name="TRAVAUX42" localSheetId="24">#REF!</definedName>
    <definedName name="TRAVAUX42" localSheetId="4">#REF!</definedName>
    <definedName name="TRAVAUX42" localSheetId="6">#REF!</definedName>
    <definedName name="TRAVAUX42" localSheetId="8">#REF!</definedName>
    <definedName name="TRAVAUX42">#REF!</definedName>
    <definedName name="TRAVAUX43" localSheetId="10">#REF!</definedName>
    <definedName name="TRAVAUX43" localSheetId="11">#REF!</definedName>
    <definedName name="TRAVAUX43" localSheetId="13">#REF!</definedName>
    <definedName name="TRAVAUX43" localSheetId="15">#REF!</definedName>
    <definedName name="TRAVAUX43" localSheetId="17">#REF!</definedName>
    <definedName name="TRAVAUX43" localSheetId="18">#REF!</definedName>
    <definedName name="TRAVAUX43" localSheetId="2">#REF!</definedName>
    <definedName name="TRAVAUX43" localSheetId="20">#REF!</definedName>
    <definedName name="TRAVAUX43" localSheetId="22">#REF!</definedName>
    <definedName name="TRAVAUX43" localSheetId="24">#REF!</definedName>
    <definedName name="TRAVAUX43" localSheetId="4">#REF!</definedName>
    <definedName name="TRAVAUX43" localSheetId="6">#REF!</definedName>
    <definedName name="TRAVAUX43" localSheetId="8">#REF!</definedName>
    <definedName name="TRAVAUX43">#REF!</definedName>
    <definedName name="TRAVAUX44" localSheetId="10">#REF!</definedName>
    <definedName name="TRAVAUX44" localSheetId="11">#REF!</definedName>
    <definedName name="TRAVAUX44" localSheetId="13">#REF!</definedName>
    <definedName name="TRAVAUX44" localSheetId="15">#REF!</definedName>
    <definedName name="TRAVAUX44" localSheetId="17">#REF!</definedName>
    <definedName name="TRAVAUX44" localSheetId="18">#REF!</definedName>
    <definedName name="TRAVAUX44" localSheetId="2">#REF!</definedName>
    <definedName name="TRAVAUX44" localSheetId="20">#REF!</definedName>
    <definedName name="TRAVAUX44" localSheetId="22">#REF!</definedName>
    <definedName name="TRAVAUX44" localSheetId="24">#REF!</definedName>
    <definedName name="TRAVAUX44" localSheetId="4">#REF!</definedName>
    <definedName name="TRAVAUX44" localSheetId="6">#REF!</definedName>
    <definedName name="TRAVAUX44" localSheetId="8">#REF!</definedName>
    <definedName name="TRAVAUX44">#REF!</definedName>
    <definedName name="TRAVAUX45" localSheetId="10">#REF!</definedName>
    <definedName name="TRAVAUX45" localSheetId="11">#REF!</definedName>
    <definedName name="TRAVAUX45" localSheetId="13">#REF!</definedName>
    <definedName name="TRAVAUX45" localSheetId="15">#REF!</definedName>
    <definedName name="TRAVAUX45" localSheetId="17">#REF!</definedName>
    <definedName name="TRAVAUX45" localSheetId="18">#REF!</definedName>
    <definedName name="TRAVAUX45" localSheetId="2">#REF!</definedName>
    <definedName name="TRAVAUX45" localSheetId="20">#REF!</definedName>
    <definedName name="TRAVAUX45" localSheetId="22">#REF!</definedName>
    <definedName name="TRAVAUX45" localSheetId="24">#REF!</definedName>
    <definedName name="TRAVAUX45" localSheetId="4">#REF!</definedName>
    <definedName name="TRAVAUX45" localSheetId="6">#REF!</definedName>
    <definedName name="TRAVAUX45" localSheetId="8">#REF!</definedName>
    <definedName name="TRAVAUX45">#REF!</definedName>
    <definedName name="TRAVAUX47" localSheetId="10">#REF!</definedName>
    <definedName name="TRAVAUX47" localSheetId="11">#REF!</definedName>
    <definedName name="TRAVAUX47" localSheetId="13">#REF!</definedName>
    <definedName name="TRAVAUX47" localSheetId="15">#REF!</definedName>
    <definedName name="TRAVAUX47" localSheetId="17">#REF!</definedName>
    <definedName name="TRAVAUX47" localSheetId="18">#REF!</definedName>
    <definedName name="TRAVAUX47" localSheetId="2">#REF!</definedName>
    <definedName name="TRAVAUX47" localSheetId="20">#REF!</definedName>
    <definedName name="TRAVAUX47" localSheetId="22">#REF!</definedName>
    <definedName name="TRAVAUX47" localSheetId="24">#REF!</definedName>
    <definedName name="TRAVAUX47" localSheetId="4">#REF!</definedName>
    <definedName name="TRAVAUX47" localSheetId="6">#REF!</definedName>
    <definedName name="TRAVAUX47" localSheetId="8">#REF!</definedName>
    <definedName name="TRAVAUX47">#REF!</definedName>
    <definedName name="TRAVAUX48" localSheetId="10">#REF!</definedName>
    <definedName name="TRAVAUX48" localSheetId="11">#REF!</definedName>
    <definedName name="TRAVAUX48" localSheetId="13">#REF!</definedName>
    <definedName name="TRAVAUX48" localSheetId="15">#REF!</definedName>
    <definedName name="TRAVAUX48" localSheetId="17">#REF!</definedName>
    <definedName name="TRAVAUX48" localSheetId="18">#REF!</definedName>
    <definedName name="TRAVAUX48" localSheetId="2">#REF!</definedName>
    <definedName name="TRAVAUX48" localSheetId="20">#REF!</definedName>
    <definedName name="TRAVAUX48" localSheetId="22">#REF!</definedName>
    <definedName name="TRAVAUX48" localSheetId="24">#REF!</definedName>
    <definedName name="TRAVAUX48" localSheetId="4">#REF!</definedName>
    <definedName name="TRAVAUX48" localSheetId="6">#REF!</definedName>
    <definedName name="TRAVAUX48" localSheetId="8">#REF!</definedName>
    <definedName name="TRAVAUX48">#REF!</definedName>
    <definedName name="TRAVAUX49" localSheetId="10">#REF!</definedName>
    <definedName name="TRAVAUX49" localSheetId="11">#REF!</definedName>
    <definedName name="TRAVAUX49" localSheetId="13">#REF!</definedName>
    <definedName name="TRAVAUX49" localSheetId="15">#REF!</definedName>
    <definedName name="TRAVAUX49" localSheetId="17">#REF!</definedName>
    <definedName name="TRAVAUX49" localSheetId="18">#REF!</definedName>
    <definedName name="TRAVAUX49" localSheetId="2">#REF!</definedName>
    <definedName name="TRAVAUX49" localSheetId="20">#REF!</definedName>
    <definedName name="TRAVAUX49" localSheetId="22">#REF!</definedName>
    <definedName name="TRAVAUX49" localSheetId="24">#REF!</definedName>
    <definedName name="TRAVAUX49" localSheetId="4">#REF!</definedName>
    <definedName name="TRAVAUX49" localSheetId="6">#REF!</definedName>
    <definedName name="TRAVAUX49" localSheetId="8">#REF!</definedName>
    <definedName name="TRAVAUX49">#REF!</definedName>
    <definedName name="TRAVAUX50" localSheetId="10">#REF!</definedName>
    <definedName name="TRAVAUX50" localSheetId="11">#REF!</definedName>
    <definedName name="TRAVAUX50" localSheetId="13">#REF!</definedName>
    <definedName name="TRAVAUX50" localSheetId="15">#REF!</definedName>
    <definedName name="TRAVAUX50" localSheetId="17">#REF!</definedName>
    <definedName name="TRAVAUX50" localSheetId="18">#REF!</definedName>
    <definedName name="TRAVAUX50" localSheetId="2">#REF!</definedName>
    <definedName name="TRAVAUX50" localSheetId="20">#REF!</definedName>
    <definedName name="TRAVAUX50" localSheetId="22">#REF!</definedName>
    <definedName name="TRAVAUX50" localSheetId="24">#REF!</definedName>
    <definedName name="TRAVAUX50" localSheetId="4">#REF!</definedName>
    <definedName name="TRAVAUX50" localSheetId="6">#REF!</definedName>
    <definedName name="TRAVAUX50" localSheetId="8">#REF!</definedName>
    <definedName name="TRAVAUX50">#REF!</definedName>
    <definedName name="TRAVAUX51" localSheetId="10">#REF!</definedName>
    <definedName name="TRAVAUX51" localSheetId="11">#REF!</definedName>
    <definedName name="TRAVAUX51" localSheetId="13">#REF!</definedName>
    <definedName name="TRAVAUX51" localSheetId="15">#REF!</definedName>
    <definedName name="TRAVAUX51" localSheetId="17">#REF!</definedName>
    <definedName name="TRAVAUX51" localSheetId="18">#REF!</definedName>
    <definedName name="TRAVAUX51" localSheetId="2">#REF!</definedName>
    <definedName name="TRAVAUX51" localSheetId="20">#REF!</definedName>
    <definedName name="TRAVAUX51" localSheetId="22">#REF!</definedName>
    <definedName name="TRAVAUX51" localSheetId="24">#REF!</definedName>
    <definedName name="TRAVAUX51" localSheetId="4">#REF!</definedName>
    <definedName name="TRAVAUX51" localSheetId="6">#REF!</definedName>
    <definedName name="TRAVAUX51" localSheetId="8">#REF!</definedName>
    <definedName name="TRAVAUX51">#REF!</definedName>
    <definedName name="TRAVAUX53" localSheetId="10">#REF!</definedName>
    <definedName name="TRAVAUX53" localSheetId="11">#REF!</definedName>
    <definedName name="TRAVAUX53" localSheetId="13">#REF!</definedName>
    <definedName name="TRAVAUX53" localSheetId="15">#REF!</definedName>
    <definedName name="TRAVAUX53" localSheetId="17">#REF!</definedName>
    <definedName name="TRAVAUX53" localSheetId="18">#REF!</definedName>
    <definedName name="TRAVAUX53" localSheetId="2">#REF!</definedName>
    <definedName name="TRAVAUX53" localSheetId="20">#REF!</definedName>
    <definedName name="TRAVAUX53" localSheetId="22">#REF!</definedName>
    <definedName name="TRAVAUX53" localSheetId="24">#REF!</definedName>
    <definedName name="TRAVAUX53" localSheetId="4">#REF!</definedName>
    <definedName name="TRAVAUX53" localSheetId="6">#REF!</definedName>
    <definedName name="TRAVAUX53" localSheetId="8">#REF!</definedName>
    <definedName name="TRAVAUX53">#REF!</definedName>
    <definedName name="TRAVAUX58" localSheetId="10">#REF!</definedName>
    <definedName name="TRAVAUX58" localSheetId="11">#REF!</definedName>
    <definedName name="TRAVAUX58" localSheetId="13">#REF!</definedName>
    <definedName name="TRAVAUX58" localSheetId="15">#REF!</definedName>
    <definedName name="TRAVAUX58" localSheetId="17">#REF!</definedName>
    <definedName name="TRAVAUX58" localSheetId="18">#REF!</definedName>
    <definedName name="TRAVAUX58" localSheetId="2">#REF!</definedName>
    <definedName name="TRAVAUX58" localSheetId="20">#REF!</definedName>
    <definedName name="TRAVAUX58" localSheetId="22">#REF!</definedName>
    <definedName name="TRAVAUX58" localSheetId="24">#REF!</definedName>
    <definedName name="TRAVAUX58" localSheetId="4">#REF!</definedName>
    <definedName name="TRAVAUX58" localSheetId="6">#REF!</definedName>
    <definedName name="TRAVAUX58" localSheetId="8">#REF!</definedName>
    <definedName name="TRAVAUX58">#REF!</definedName>
    <definedName name="TRAVAUX59" localSheetId="10">#REF!</definedName>
    <definedName name="TRAVAUX59" localSheetId="11">#REF!</definedName>
    <definedName name="TRAVAUX59" localSheetId="13">#REF!</definedName>
    <definedName name="TRAVAUX59" localSheetId="15">#REF!</definedName>
    <definedName name="TRAVAUX59" localSheetId="17">#REF!</definedName>
    <definedName name="TRAVAUX59" localSheetId="18">#REF!</definedName>
    <definedName name="TRAVAUX59" localSheetId="2">#REF!</definedName>
    <definedName name="TRAVAUX59" localSheetId="20">#REF!</definedName>
    <definedName name="TRAVAUX59" localSheetId="22">#REF!</definedName>
    <definedName name="TRAVAUX59" localSheetId="24">#REF!</definedName>
    <definedName name="TRAVAUX59" localSheetId="4">#REF!</definedName>
    <definedName name="TRAVAUX59" localSheetId="6">#REF!</definedName>
    <definedName name="TRAVAUX59" localSheetId="8">#REF!</definedName>
    <definedName name="TRAVAUX59">#REF!</definedName>
    <definedName name="TRAVAUX67" localSheetId="10">#REF!</definedName>
    <definedName name="TRAVAUX67" localSheetId="11">#REF!</definedName>
    <definedName name="TRAVAUX67" localSheetId="13">#REF!</definedName>
    <definedName name="TRAVAUX67" localSheetId="15">#REF!</definedName>
    <definedName name="TRAVAUX67" localSheetId="17">#REF!</definedName>
    <definedName name="TRAVAUX67" localSheetId="18">#REF!</definedName>
    <definedName name="TRAVAUX67" localSheetId="2">#REF!</definedName>
    <definedName name="TRAVAUX67" localSheetId="20">#REF!</definedName>
    <definedName name="TRAVAUX67" localSheetId="22">#REF!</definedName>
    <definedName name="TRAVAUX67" localSheetId="24">#REF!</definedName>
    <definedName name="TRAVAUX67" localSheetId="4">#REF!</definedName>
    <definedName name="TRAVAUX67" localSheetId="6">#REF!</definedName>
    <definedName name="TRAVAUX67" localSheetId="8">#REF!</definedName>
    <definedName name="TRAVAUX67">#REF!</definedName>
    <definedName name="ZI" localSheetId="10">#REF!</definedName>
    <definedName name="ZI" localSheetId="11">#REF!</definedName>
    <definedName name="ZI" localSheetId="13">#REF!</definedName>
    <definedName name="ZI" localSheetId="15">#REF!</definedName>
    <definedName name="ZI" localSheetId="17">#REF!</definedName>
    <definedName name="ZI" localSheetId="18">#REF!</definedName>
    <definedName name="ZI" localSheetId="2">#REF!</definedName>
    <definedName name="ZI" localSheetId="20">#REF!</definedName>
    <definedName name="ZI" localSheetId="22">#REF!</definedName>
    <definedName name="ZI" localSheetId="24">#REF!</definedName>
    <definedName name="ZI" localSheetId="4">#REF!</definedName>
    <definedName name="ZI" localSheetId="6">#REF!</definedName>
    <definedName name="ZI" localSheetId="8">#REF!</definedName>
    <definedName name="ZI">#REF!</definedName>
    <definedName name="_xlnm.Print_Area" localSheetId="10">#REF!</definedName>
    <definedName name="_xlnm.Print_Area" localSheetId="11">#REF!</definedName>
    <definedName name="_xlnm.Print_Area" localSheetId="13">#REF!</definedName>
    <definedName name="_xlnm.Print_Area" localSheetId="15">#REF!</definedName>
    <definedName name="_xlnm.Print_Area" localSheetId="17">#REF!</definedName>
    <definedName name="_xlnm.Print_Area" localSheetId="18">#REF!</definedName>
    <definedName name="_xlnm.Print_Area" localSheetId="2">#REF!</definedName>
    <definedName name="_xlnm.Print_Area" localSheetId="20">#REF!</definedName>
    <definedName name="_xlnm.Print_Area" localSheetId="22">#REF!</definedName>
    <definedName name="_xlnm.Print_Area" localSheetId="24">#REF!</definedName>
    <definedName name="_xlnm.Print_Area" localSheetId="4">#REF!</definedName>
    <definedName name="_xlnm.Print_Area" localSheetId="6">#REF!</definedName>
    <definedName name="_xlnm.Print_Area" localSheetId="8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34" l="1"/>
  <c r="D159" i="33"/>
  <c r="D40" i="32"/>
  <c r="D124" i="31"/>
</calcChain>
</file>

<file path=xl/sharedStrings.xml><?xml version="1.0" encoding="utf-8"?>
<sst xmlns="http://schemas.openxmlformats.org/spreadsheetml/2006/main" count="4760" uniqueCount="323">
  <si>
    <t>Sommaire</t>
  </si>
  <si>
    <t>Annexe 11 – Fiche de conciliation par société</t>
  </si>
  <si>
    <t>Annexe 11-1</t>
  </si>
  <si>
    <t>La Société des Mines de Fer du Sénégal Oriental (MIFERSO)</t>
  </si>
  <si>
    <t>Annexe 11-2</t>
  </si>
  <si>
    <t>Société de Commercialisation du Ciment (SOCOCIM)</t>
  </si>
  <si>
    <t>Annexe 11-3</t>
  </si>
  <si>
    <t>Sabodala Gold Operations (SGO)</t>
  </si>
  <si>
    <t>Annexe 11-4</t>
  </si>
  <si>
    <t>Ciments du Sahel (CDS)</t>
  </si>
  <si>
    <t>Annexe 11-5</t>
  </si>
  <si>
    <t>Grande Côte Opérations (GCO)</t>
  </si>
  <si>
    <t>Annexe 11-6</t>
  </si>
  <si>
    <t>Société Sénégalaise des Phosphates de Thiès (SSPT)</t>
  </si>
  <si>
    <t>Annexe 11-7</t>
  </si>
  <si>
    <t>Industries Chimiques du Sénégal (ICS)</t>
  </si>
  <si>
    <t>Annexe 11-8</t>
  </si>
  <si>
    <t>Dangote Industries Sénégal SA (DANGOTE)</t>
  </si>
  <si>
    <t>Annexe 11-9</t>
  </si>
  <si>
    <t>Petowal Mining Company (PMC) SA</t>
  </si>
  <si>
    <t>Annexe 11-10</t>
  </si>
  <si>
    <t>Société Minière de la Vallée du fleuve Sénégal (SOMIVA)</t>
  </si>
  <si>
    <t>Annexe 11-11</t>
  </si>
  <si>
    <t>SORED Mines</t>
  </si>
  <si>
    <t>Annexe 11-12</t>
  </si>
  <si>
    <t>Iamgold BOTO</t>
  </si>
  <si>
    <t>Annexe 11-13</t>
  </si>
  <si>
    <t>G-PHOS SA</t>
  </si>
  <si>
    <t>Annexe 11-14</t>
  </si>
  <si>
    <t>Baobab Mining and Chemical Corp SA</t>
  </si>
  <si>
    <t>Annexe 11-15</t>
  </si>
  <si>
    <t>Agem Sénégal Exploration SUARL (AGEM)</t>
  </si>
  <si>
    <t>Annexe 11-16</t>
  </si>
  <si>
    <t>Sabodala Mining Company (SMC)</t>
  </si>
  <si>
    <t>Annexe 11-17</t>
  </si>
  <si>
    <t>Barrick Gold</t>
  </si>
  <si>
    <t>Annexe 11-18</t>
  </si>
  <si>
    <t>Sephos Senegal SA (SEPHOS)</t>
  </si>
  <si>
    <t>Annexe 11-19</t>
  </si>
  <si>
    <t>African Investment Group SA (AIG)</t>
  </si>
  <si>
    <t>Annexe 11-20</t>
  </si>
  <si>
    <t>Compagnie Générale d'Exploitation de Carrière (COGECA)</t>
  </si>
  <si>
    <t>Annexe 11-21</t>
  </si>
  <si>
    <t>Gécamines (GECAMINES)</t>
  </si>
  <si>
    <t>Annexe 11-22</t>
  </si>
  <si>
    <t>Talix Mines</t>
  </si>
  <si>
    <t>Annexe 11-23</t>
  </si>
  <si>
    <t>Société des Pétroles du Sénégal (PETROSEN)</t>
  </si>
  <si>
    <t>Annexe 11-24</t>
  </si>
  <si>
    <t>Fortesa International Senegal</t>
  </si>
  <si>
    <t>Annexe 11-25</t>
  </si>
  <si>
    <t xml:space="preserve">Kosmos Energy Senegal </t>
  </si>
  <si>
    <t>Annexe 11-26</t>
  </si>
  <si>
    <t xml:space="preserve">Oranto Petroleum </t>
  </si>
  <si>
    <t>Annexe 11-27</t>
  </si>
  <si>
    <t xml:space="preserve">Total E&amp;P Sénégal </t>
  </si>
  <si>
    <t>Annexe 11-28</t>
  </si>
  <si>
    <t>BP Sénégal Investments Limited</t>
  </si>
  <si>
    <t>Annexe 11-29</t>
  </si>
  <si>
    <t xml:space="preserve">Woodside Energy Senegal </t>
  </si>
  <si>
    <t>Nom de la société</t>
  </si>
  <si>
    <t>0023896 2G3</t>
  </si>
  <si>
    <t>Année</t>
  </si>
  <si>
    <t xml:space="preserve">Cours </t>
  </si>
  <si>
    <t>N°</t>
  </si>
  <si>
    <t>Nomenclature des flux</t>
  </si>
  <si>
    <t>Sociétés</t>
  </si>
  <si>
    <t>Gouvernement</t>
  </si>
  <si>
    <t>Différence Finale</t>
  </si>
  <si>
    <t>Initial</t>
  </si>
  <si>
    <t>Ajustements</t>
  </si>
  <si>
    <t>Final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</si>
  <si>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</si>
  <si>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</si>
  <si>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</si>
  <si>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</si>
  <si>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</si>
  <si>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 xml:space="preserve">Redevance minière </t>
  </si>
  <si>
    <t>Appui institutionnel</t>
  </si>
  <si>
    <t>Droits d'entrée fixes</t>
  </si>
  <si>
    <t>Bonus (DMG)</t>
  </si>
  <si>
    <t>Redevance superficiaire</t>
  </si>
  <si>
    <t>PETROSEN</t>
  </si>
  <si>
    <t>Bonus (PETROSEN)</t>
  </si>
  <si>
    <t xml:space="preserve">Appui à la formation </t>
  </si>
  <si>
    <t>Appui à la promotion de la recherche et de l'exploitation</t>
  </si>
  <si>
    <t>Appui à l'équipement</t>
  </si>
  <si>
    <t>Revenus issus de la commercialisation de la Part de la production de l'État P</t>
  </si>
  <si>
    <t xml:space="preserve">Loyer superficiaire </t>
  </si>
  <si>
    <t>Pénalités versées à PETROSEN</t>
  </si>
  <si>
    <t>Redevance</t>
  </si>
  <si>
    <t>Achat de données sismiques</t>
  </si>
  <si>
    <t>DGCPT</t>
  </si>
  <si>
    <t xml:space="preserve">Revenus issus de la commercialisation de la Part de la production de l'État 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</si>
  <si>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</si>
  <si>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</si>
  <si>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</si>
  <si>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</si>
  <si>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</si>
  <si>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</si>
  <si>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</si>
  <si>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</si>
  <si>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</si>
  <si>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</si>
  <si>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</si>
  <si>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</si>
  <si>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</si>
  <si>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</si>
  <si>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</si>
  <si>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</si>
  <si>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</si>
  <si>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</si>
  <si>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</si>
  <si>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</si>
  <si>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</si>
  <si>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</si>
  <si>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</si>
  <si>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</si>
  <si>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</si>
  <si>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Taxe sur le ciment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</si>
  <si>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</si>
  <si>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</si>
  <si>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</si>
  <si>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</si>
  <si>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</si>
  <si>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</si>
  <si>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</si>
  <si>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</si>
  <si>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</si>
  <si>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</si>
  <si>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DEEC</t>
  </si>
  <si>
    <t>Taxe superficiaire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</si>
  <si>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</si>
  <si>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</si>
  <si>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</si>
  <si>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</si>
  <si>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</si>
  <si>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</si>
  <si>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</si>
  <si>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</si>
  <si>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</si>
  <si>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CDC</t>
  </si>
  <si>
    <t xml:space="preserve">Garanties données par les entreprises extractives </t>
  </si>
  <si>
    <t>CNSCL</t>
  </si>
  <si>
    <t>Paiements effectués aux fournisseurs locaux et étrangers</t>
  </si>
  <si>
    <t>Autres</t>
  </si>
  <si>
    <t>Autres flux de paiements significatifs (&gt; 25 millions de  FCFA) (reconciliables)</t>
  </si>
  <si>
    <t>0016627 2G3</t>
  </si>
  <si>
    <t>2850023 2G3</t>
  </si>
  <si>
    <t>0325995 2G3</t>
  </si>
  <si>
    <t>2849258 2G3</t>
  </si>
  <si>
    <t>0028797 2G3</t>
  </si>
  <si>
    <t>0022955 2G3</t>
  </si>
  <si>
    <t>2707208 2G3</t>
  </si>
  <si>
    <t>005844700</t>
  </si>
  <si>
    <t>4475142 2G3</t>
  </si>
  <si>
    <t>004716033</t>
  </si>
  <si>
    <t>4151750 2Y2</t>
  </si>
  <si>
    <t>2464410 0G2</t>
  </si>
  <si>
    <t>006378732 G2</t>
  </si>
  <si>
    <t>4013041 2G3</t>
  </si>
  <si>
    <t>4507995 2G3</t>
  </si>
  <si>
    <t>2292168 2G3</t>
  </si>
  <si>
    <t>0224498 2G3</t>
  </si>
  <si>
    <t>0415770 2G3</t>
  </si>
  <si>
    <t xml:space="preserve"> 005251822 2G2 </t>
  </si>
  <si>
    <t xml:space="preserve">006420509 2A2 </t>
  </si>
  <si>
    <t>Annexe 12 –  Détail des revenus budgétaires par société extractive</t>
  </si>
  <si>
    <t>Périmètre</t>
  </si>
  <si>
    <t>Société</t>
  </si>
  <si>
    <t>Secteur</t>
  </si>
  <si>
    <t>Montant en FCFA</t>
  </si>
  <si>
    <t>Secteur Minier</t>
  </si>
  <si>
    <t>Secteur des hydrocarbures</t>
  </si>
  <si>
    <t>Hors périmètre</t>
  </si>
  <si>
    <t>CRBC</t>
  </si>
  <si>
    <t>CSE GRANULAT</t>
  </si>
  <si>
    <t>Sociétés hors périmètre nécessitant une déclaration unilatérale</t>
  </si>
  <si>
    <t>GRAVITA SENEGAL SAU</t>
  </si>
  <si>
    <t>GLOBAL AFRICINVEST - SA</t>
  </si>
  <si>
    <t>AFRICAN STAR RESOURCES SARL</t>
  </si>
  <si>
    <t>Compagnie Sah,lienne d'Entreprise (100%)</t>
  </si>
  <si>
    <t>Randgold Ressources LTD</t>
  </si>
  <si>
    <t>AFRIGOLD SARL</t>
  </si>
  <si>
    <t>COMPAGNIE DES PRODUITS CHIMIQUES ET MATERIAUX</t>
  </si>
  <si>
    <t>SENEGAL MINES</t>
  </si>
  <si>
    <t>Bosfor SARL</t>
  </si>
  <si>
    <t>SWAMI MINES</t>
  </si>
  <si>
    <t>CSE GRANULATS</t>
  </si>
  <si>
    <t>TANOR GRANULAT</t>
  </si>
  <si>
    <t>AREZKI S.A</t>
  </si>
  <si>
    <t>MAKABINGUI GOLD OPERATION SA</t>
  </si>
  <si>
    <t>SOCIETE DE CONCASSAGE ET DE BETON SARL</t>
  </si>
  <si>
    <t>Serigne salioun mbacke</t>
  </si>
  <si>
    <t>S DOM HOLDING GOLD SARL</t>
  </si>
  <si>
    <t>ENTR MAPATHE NDIOUCK</t>
  </si>
  <si>
    <t>SINTRADE SA</t>
  </si>
  <si>
    <t>DIVERS</t>
  </si>
  <si>
    <t>NOGA MINE SARL</t>
  </si>
  <si>
    <t>Société Cilage Mine SARL</t>
  </si>
  <si>
    <t>KANEL RESOURCES -SARL</t>
  </si>
  <si>
    <t>ATIC</t>
  </si>
  <si>
    <t>TRANSPORT AMADOU DIEYE</t>
  </si>
  <si>
    <t>DIENG &amp; CO ENGINEERING - SAS</t>
  </si>
  <si>
    <t>XINJIN ZIRCONIUM INDUSTRY</t>
  </si>
  <si>
    <t>Mandinga Ressource</t>
  </si>
  <si>
    <t>AFRICAN STAR</t>
  </si>
  <si>
    <t>EIFAGE SN</t>
  </si>
  <si>
    <t>AFRICAN PETROLEUM SENEGAL LIMITED -SAU</t>
  </si>
  <si>
    <t>NEGOCE FIABLE SENEGAL NEFIS</t>
  </si>
  <si>
    <t>SALLA NIANG SARL</t>
  </si>
  <si>
    <t>CARRIERE ET SABLE</t>
  </si>
  <si>
    <t>EIFFAGE</t>
  </si>
  <si>
    <t>2SBCI</t>
  </si>
  <si>
    <t>SDT ENERGY TECHNOLOGY SARL</t>
  </si>
  <si>
    <t>GEO EXPLOIT</t>
  </si>
  <si>
    <t>Vaprom SA</t>
  </si>
  <si>
    <t>ALIOU SOUARE</t>
  </si>
  <si>
    <t>G.H. MINING SARL</t>
  </si>
  <si>
    <t>GIE KEDOUGOU BISNESS</t>
  </si>
  <si>
    <t>AFTECO</t>
  </si>
  <si>
    <t>ENTREPRISE CCBA SUARL</t>
  </si>
  <si>
    <t>BOYA GOLD</t>
  </si>
  <si>
    <t>COTRAC</t>
  </si>
  <si>
    <t>ENT GENIE CIVIL CONCASSAGE basalte du ndiambour (EGCCBN)</t>
  </si>
  <si>
    <t>IBRAHIMA BA</t>
  </si>
  <si>
    <t>DIYUAN</t>
  </si>
  <si>
    <t>ALBINA SN</t>
  </si>
  <si>
    <t>ISLE WORLDWIDE - SA</t>
  </si>
  <si>
    <t>TOTAL ENERGIES MARK SEN</t>
  </si>
  <si>
    <t>COMPLEXE SERIGNE SALIOU MBACKE SARL</t>
  </si>
  <si>
    <t>SENEGINDIA</t>
  </si>
  <si>
    <t>Société sénégalaise de promotion immobilière</t>
  </si>
  <si>
    <t>ISLE GRANULATES &amp; SERVICES SA       HANN</t>
  </si>
  <si>
    <t>ENERGY AND MINING CORPORATION</t>
  </si>
  <si>
    <t>GADD BISSIK</t>
  </si>
  <si>
    <t>NEW ENERGY INVESTMMENT</t>
  </si>
  <si>
    <t>ENT AICHA</t>
  </si>
  <si>
    <t>SA BOYA       DAKAR</t>
  </si>
  <si>
    <t>BAMTAARE COMPANY</t>
  </si>
  <si>
    <t>SENEGAL MINERAL RESOURCES SA</t>
  </si>
  <si>
    <t>WORLDWIDE SA ISLE       HANN</t>
  </si>
  <si>
    <t>AGRO SENEGAL EXPLOIT SARL</t>
  </si>
  <si>
    <t>CARAHMANE OUSMANE NDIAYE</t>
  </si>
  <si>
    <t>INSTITUT GEOSCIENCES DE DAKAR</t>
  </si>
  <si>
    <t>Massawa Jersey Limited</t>
  </si>
  <si>
    <t>REGISSEUR</t>
  </si>
  <si>
    <t>OUSMANE SOW</t>
  </si>
  <si>
    <t>SYPROM SA</t>
  </si>
  <si>
    <t>DIAPORA TRADING</t>
  </si>
  <si>
    <t>LA SOCIETE GO GROUPE</t>
  </si>
  <si>
    <t>MANDINGA RESOURCES - SARL</t>
  </si>
  <si>
    <t>ENGINEERING SAS DIENG &amp; CO QRT    HLM V  DAKAR</t>
  </si>
  <si>
    <t>ENT GENIE CIVIL CONCASSAGE basalte du ndiambour</t>
  </si>
  <si>
    <t>ENT NDIGUEL FALL</t>
  </si>
  <si>
    <t>MBF PROPERTIES -SA</t>
  </si>
  <si>
    <t>GCS</t>
  </si>
  <si>
    <t>CAPRICORNE SENEGAL LIMITED SUCCURSALE</t>
  </si>
  <si>
    <t>LA SOCIETE SO.SE.TER</t>
  </si>
  <si>
    <t>KBC</t>
  </si>
  <si>
    <t>ENT OUSMANE SOW</t>
  </si>
  <si>
    <t>SIM</t>
  </si>
  <si>
    <t>TRIYANGS INTRNATIONAL MINING GROUP - SA</t>
  </si>
  <si>
    <t>PETRODIS</t>
  </si>
  <si>
    <t>GIE NGAAY DJITE</t>
  </si>
  <si>
    <t>SOCIETE SENEGALAISE DE NEGOCE INTERNATIONAL SARL</t>
  </si>
  <si>
    <t>GIE NGAAYE DJITE</t>
  </si>
  <si>
    <t>GIE BOOK JOM ANDE LIGUEY MEKHEE</t>
  </si>
  <si>
    <t>COMPTOIR COMMERCIAL DAOUDA DIA -SUARL</t>
  </si>
  <si>
    <t>Annexe 13 –  Détail des revenus budgétaires par flux de paiement</t>
  </si>
  <si>
    <t>Flux</t>
  </si>
  <si>
    <t>Régie</t>
  </si>
  <si>
    <t>Montat</t>
  </si>
  <si>
    <t>DGM</t>
  </si>
  <si>
    <t>Frais de bornage</t>
  </si>
  <si>
    <t>Autres flux de paiements</t>
  </si>
  <si>
    <t>Taxe sur établissements classés</t>
  </si>
  <si>
    <t>Taxe publicitaire</t>
  </si>
  <si>
    <t>Taxe d'extraction</t>
  </si>
  <si>
    <t>Total Général</t>
  </si>
  <si>
    <t>Annexe 14 –  Détail du paiement global du secteur extractif</t>
  </si>
  <si>
    <t>BOYA SA</t>
  </si>
  <si>
    <t>SENEGAL MINES S.A</t>
  </si>
  <si>
    <t>FAMY SENEGAL THIES - SUARL</t>
  </si>
  <si>
    <t>GLOBAL AFRICINVEST (GAI)</t>
  </si>
  <si>
    <t>GLOBAL IMMO SENEGAL SARL</t>
  </si>
  <si>
    <t>TRANSPORTS AHMED DJOUMA GAZAL ET FILS</t>
  </si>
  <si>
    <t>FAMY SENEGAL SUARL</t>
  </si>
  <si>
    <t>ARC EN CIEL-S.A.</t>
  </si>
  <si>
    <t>P R O C H I M A T</t>
  </si>
  <si>
    <t>AFRICAN STAR RESSOURCES SARL</t>
  </si>
  <si>
    <t>MINING GROUP - SA TRIYANGS INT QRT    BLD MARTIN LUTHER KING FANN MERMOZ  DAKAR</t>
  </si>
  <si>
    <t>ENTR MAPATHE  NDIOUCK</t>
  </si>
  <si>
    <t>ROYAL SENEGAL MINES  ET  EQUIPEM</t>
  </si>
  <si>
    <t>ALBINA SENEGAL COMMERCE GENERAL SURL</t>
  </si>
  <si>
    <t>HARMONY GROUP SUARL</t>
  </si>
  <si>
    <t>GRAVITA SENEGAL S.A.U</t>
  </si>
  <si>
    <t>GAZAL CARRIERES SARL</t>
  </si>
  <si>
    <t>SOCIETE INDUSTRIELLE ET COMMERCIALE  DE L'AUTOMOBILE DU SENEGAL (SICAS)</t>
  </si>
  <si>
    <t>SNEPAC INTERNATIONAL SARL</t>
  </si>
  <si>
    <t>GEOMIN</t>
  </si>
  <si>
    <t>VAPROM AFRICA SA</t>
  </si>
  <si>
    <t>SOCAM-SUARL</t>
  </si>
  <si>
    <t>KANSALA RESOURCES S.A</t>
  </si>
  <si>
    <t>DIENG &amp; CO ENGINEERING SAS</t>
  </si>
  <si>
    <t>MINEREX SC CABINET MAYORO W</t>
  </si>
  <si>
    <t>C W E SENEGAL SUARL (MBOUR)</t>
  </si>
  <si>
    <t>SWAM MINES</t>
  </si>
  <si>
    <t>ENTREPRISE MAMADOU DIOP - E.M.D.</t>
  </si>
  <si>
    <t>MBF PROPERTIES</t>
  </si>
  <si>
    <t>STE INDUSTRIELLE ET MINIERE</t>
  </si>
  <si>
    <t>I.M.C. SARL     SICAP  DAKAR</t>
  </si>
  <si>
    <t>MRL International Industries SARL</t>
  </si>
  <si>
    <t>Annexe 15 –  Détail des paiements des entreprises par flux de paiement</t>
  </si>
  <si>
    <t>Paiements environnementaux</t>
  </si>
  <si>
    <t>Paiements sociaux volontaires</t>
  </si>
  <si>
    <t>Paiements sociaux obligatoires</t>
  </si>
  <si>
    <t>Annexe 16 – Détail de la déclaration Unilatérale de l’Etat</t>
  </si>
  <si>
    <t>Annexe 17 – Formulaire de déclaration 2023</t>
  </si>
  <si>
    <t>Payé à
/reçu par</t>
  </si>
  <si>
    <t>Montant
/Volume</t>
  </si>
  <si>
    <t>Montant</t>
  </si>
  <si>
    <t>Tous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</si>
</sst>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00\ _€_-;\-* #,##0.000\ _€_-;_-* &quot;-&quot;??\ _€_-;_-@_-"/>
    <numFmt numFmtId="167" formatCode="#,##0_);\(&quot;&quot;#,##0\);_-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 Light"/>
      <family val="2"/>
      <scheme val="major"/>
    </font>
    <font>
      <u/>
      <sz val="9"/>
      <color rgb="FF444444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u/>
      <sz val="9"/>
      <color theme="1"/>
      <name val="Calibri Light"/>
      <family val="2"/>
      <scheme val="major"/>
    </font>
    <font>
      <sz val="10"/>
      <name val="Arial"/>
      <family val="2"/>
    </font>
    <font>
      <sz val="8"/>
      <name val="Trebuchet MS"/>
      <family val="2"/>
    </font>
    <font>
      <b/>
      <sz val="8"/>
      <name val="Trebuchet MS"/>
      <family val="2"/>
    </font>
    <font>
      <b/>
      <sz val="8"/>
      <color theme="0"/>
      <name val="Trebuchet MS"/>
      <family val="2"/>
    </font>
    <font>
      <b/>
      <sz val="8"/>
      <color rgb="FFFFFFFF"/>
      <name val="Trebuchet MS"/>
      <family val="2"/>
    </font>
    <font>
      <sz val="10"/>
      <color theme="1"/>
      <name val="Arial"/>
      <family val="2"/>
    </font>
    <font>
      <sz val="8"/>
      <color theme="0"/>
      <name val="Trebuchet MS"/>
      <family val="2"/>
    </font>
    <font>
      <u/>
      <sz val="11"/>
      <color rgb="FF444444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0"/>
      <name val="Arial"/>
      <family val="2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14"/>
      <color rgb="FF444444"/>
      <name val="Calibri Light"/>
      <family val="2"/>
      <scheme val="major"/>
    </font>
    <font>
      <sz val="10"/>
      <name val="Kohinoor Devanagari"/>
      <family val="2"/>
    </font>
    <font>
      <b/>
      <sz val="10"/>
      <name val="Kohinoor Devanagari"/>
      <family val="2"/>
    </font>
    <font>
      <b/>
      <sz val="10"/>
      <color theme="0"/>
      <name val="Kohinoor Devanagari"/>
      <family val="2"/>
    </font>
    <font>
      <sz val="10"/>
      <color theme="0"/>
      <name val="Kohinoor Devanagari"/>
      <family val="2"/>
    </font>
  </fonts>
  <fills count="10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rgb="FF22847C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8F8B"/>
        <bgColor indexed="64"/>
      </patternFill>
    </fill>
    <fill>
      <patternFill patternType="solid">
        <fgColor rgb="FF2A9E9B"/>
        <bgColor indexed="64"/>
      </patternFill>
    </fill>
    <fill>
      <patternFill patternType="solid">
        <fgColor theme="5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rgb="FFC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13" fillId="0" borderId="0"/>
  </cellStyleXfs>
  <cellXfs count="104">
    <xf numFmtId="0" fontId="0" fillId="0" borderId="0" xfId="0"/>
    <xf numFmtId="0" fontId="3" fillId="0" borderId="0" xfId="2" applyFont="1" applyAlignment="1"/>
    <xf numFmtId="0" fontId="4" fillId="0" borderId="0" xfId="2" applyFont="1" applyAlignment="1"/>
    <xf numFmtId="165" fontId="5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2" applyFont="1" applyAlignment="1">
      <alignment vertical="center"/>
    </xf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wrapText="1"/>
    </xf>
    <xf numFmtId="0" fontId="9" fillId="0" borderId="0" xfId="3" applyFont="1" applyAlignment="1">
      <alignment vertical="center"/>
    </xf>
    <xf numFmtId="0" fontId="10" fillId="0" borderId="0" xfId="3" applyFont="1" applyAlignment="1">
      <alignment horizontal="left" vertical="center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vertical="center" wrapText="1"/>
    </xf>
    <xf numFmtId="166" fontId="9" fillId="0" borderId="0" xfId="4" applyNumberFormat="1" applyFont="1" applyAlignment="1">
      <alignment vertical="center"/>
    </xf>
    <xf numFmtId="0" fontId="11" fillId="2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left" vertical="center" wrapText="1"/>
    </xf>
    <xf numFmtId="0" fontId="12" fillId="2" borderId="1" xfId="3" applyFont="1" applyFill="1" applyBorder="1" applyAlignment="1">
      <alignment horizontal="center" vertical="center" wrapText="1"/>
    </xf>
    <xf numFmtId="0" fontId="12" fillId="2" borderId="0" xfId="3" applyFont="1" applyFill="1" applyAlignment="1">
      <alignment horizontal="center" vertical="center" wrapText="1"/>
    </xf>
    <xf numFmtId="0" fontId="12" fillId="2" borderId="0" xfId="3" applyFont="1" applyFill="1" applyAlignment="1">
      <alignment horizontal="center" vertical="center" wrapText="1"/>
    </xf>
    <xf numFmtId="0" fontId="11" fillId="3" borderId="0" xfId="3" applyFont="1" applyFill="1" applyAlignment="1">
      <alignment horizontal="left" vertical="center"/>
    </xf>
    <xf numFmtId="0" fontId="11" fillId="3" borderId="0" xfId="3" applyFont="1" applyFill="1" applyAlignment="1">
      <alignment horizontal="left" vertical="center" wrapText="1"/>
    </xf>
    <xf numFmtId="167" fontId="12" fillId="3" borderId="0" xfId="3" applyNumberFormat="1" applyFont="1" applyFill="1" applyAlignment="1">
      <alignment horizontal="center" vertical="center" wrapText="1"/>
    </xf>
    <xf numFmtId="0" fontId="9" fillId="4" borderId="0" xfId="3" applyFont="1" applyFill="1" applyAlignment="1">
      <alignment horizontal="center" vertical="center"/>
    </xf>
    <xf numFmtId="0" fontId="9" fillId="4" borderId="0" xfId="3" applyFont="1" applyFill="1" applyAlignment="1">
      <alignment horizontal="left" vertical="center"/>
    </xf>
    <xf numFmtId="167" fontId="9" fillId="4" borderId="0" xfId="5" applyNumberFormat="1" applyFont="1" applyFill="1" applyAlignment="1">
      <alignment vertical="center"/>
    </xf>
    <xf numFmtId="0" fontId="9" fillId="0" borderId="0" xfId="3" applyFont="1" applyAlignment="1">
      <alignment horizontal="left" vertical="center"/>
    </xf>
    <xf numFmtId="167" fontId="9" fillId="0" borderId="0" xfId="5" applyNumberFormat="1" applyFont="1" applyAlignment="1">
      <alignment vertical="center"/>
    </xf>
    <xf numFmtId="0" fontId="10" fillId="5" borderId="0" xfId="3" applyFont="1" applyFill="1" applyAlignment="1">
      <alignment vertical="center"/>
    </xf>
    <xf numFmtId="0" fontId="10" fillId="5" borderId="0" xfId="3" applyFont="1" applyFill="1" applyAlignment="1">
      <alignment vertical="center" wrapText="1"/>
    </xf>
    <xf numFmtId="165" fontId="10" fillId="5" borderId="0" xfId="4" applyNumberFormat="1" applyFont="1" applyFill="1" applyAlignment="1">
      <alignment vertical="center" wrapText="1"/>
    </xf>
    <xf numFmtId="0" fontId="14" fillId="0" borderId="0" xfId="3" applyFont="1" applyAlignment="1">
      <alignment horizontal="center" vertical="center"/>
    </xf>
    <xf numFmtId="165" fontId="9" fillId="4" borderId="0" xfId="4" applyNumberFormat="1" applyFont="1" applyFill="1" applyAlignment="1">
      <alignment horizontal="left" vertical="center"/>
    </xf>
    <xf numFmtId="165" fontId="9" fillId="0" borderId="0" xfId="4" applyNumberFormat="1" applyFont="1" applyAlignment="1">
      <alignment horizontal="left" vertical="center"/>
    </xf>
    <xf numFmtId="0" fontId="9" fillId="6" borderId="0" xfId="3" applyFont="1" applyFill="1" applyAlignment="1">
      <alignment vertical="center"/>
    </xf>
    <xf numFmtId="0" fontId="9" fillId="0" borderId="0" xfId="3" applyFont="1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49" fontId="10" fillId="0" borderId="0" xfId="3" applyNumberFormat="1" applyFont="1" applyAlignment="1">
      <alignment horizontal="left" vertical="center" wrapText="1"/>
    </xf>
    <xf numFmtId="0" fontId="15" fillId="0" borderId="0" xfId="2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165" fontId="19" fillId="2" borderId="3" xfId="4" applyNumberFormat="1" applyFont="1" applyFill="1" applyBorder="1" applyAlignment="1">
      <alignment horizontal="center" vertical="center"/>
    </xf>
    <xf numFmtId="0" fontId="0" fillId="4" borderId="0" xfId="0" applyFill="1"/>
    <xf numFmtId="165" fontId="0" fillId="4" borderId="0" xfId="4" applyNumberFormat="1" applyFont="1" applyFill="1"/>
    <xf numFmtId="0" fontId="0" fillId="6" borderId="0" xfId="0" applyFill="1"/>
    <xf numFmtId="165" fontId="0" fillId="6" borderId="0" xfId="4" applyNumberFormat="1" applyFont="1" applyFill="1"/>
    <xf numFmtId="0" fontId="20" fillId="7" borderId="0" xfId="0" applyFont="1" applyFill="1"/>
    <xf numFmtId="165" fontId="20" fillId="7" borderId="0" xfId="4" applyNumberFormat="1" applyFont="1" applyFill="1"/>
    <xf numFmtId="0" fontId="21" fillId="4" borderId="0" xfId="0" applyFont="1" applyFill="1"/>
    <xf numFmtId="165" fontId="21" fillId="4" borderId="0" xfId="4" applyNumberFormat="1" applyFont="1" applyFill="1"/>
    <xf numFmtId="0" fontId="21" fillId="6" borderId="0" xfId="0" applyFont="1" applyFill="1"/>
    <xf numFmtId="165" fontId="21" fillId="6" borderId="0" xfId="4" applyNumberFormat="1" applyFont="1" applyFill="1"/>
    <xf numFmtId="0" fontId="22" fillId="8" borderId="4" xfId="0" applyFont="1" applyFill="1" applyBorder="1" applyAlignment="1">
      <alignment horizontal="center" vertical="center"/>
    </xf>
    <xf numFmtId="165" fontId="22" fillId="8" borderId="4" xfId="0" applyNumberFormat="1" applyFont="1" applyFill="1" applyBorder="1" applyAlignment="1">
      <alignment vertical="center"/>
    </xf>
    <xf numFmtId="0" fontId="16" fillId="0" borderId="0" xfId="0" applyFont="1"/>
    <xf numFmtId="0" fontId="23" fillId="0" borderId="0" xfId="0" applyFont="1"/>
    <xf numFmtId="0" fontId="21" fillId="4" borderId="0" xfId="0" applyFont="1" applyFill="1" applyAlignment="1">
      <alignment vertical="center"/>
    </xf>
    <xf numFmtId="165" fontId="21" fillId="4" borderId="0" xfId="4" applyNumberFormat="1" applyFont="1" applyFill="1" applyAlignment="1">
      <alignment vertical="center"/>
    </xf>
    <xf numFmtId="0" fontId="21" fillId="6" borderId="0" xfId="0" applyFont="1" applyFill="1" applyAlignment="1">
      <alignment vertical="center"/>
    </xf>
    <xf numFmtId="165" fontId="21" fillId="6" borderId="0" xfId="4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/>
    <xf numFmtId="165" fontId="16" fillId="0" borderId="0" xfId="1" applyNumberFormat="1" applyFont="1" applyAlignment="1">
      <alignment vertical="center"/>
    </xf>
    <xf numFmtId="165" fontId="18" fillId="0" borderId="0" xfId="1" applyNumberFormat="1" applyFont="1" applyAlignment="1">
      <alignment vertical="center"/>
    </xf>
    <xf numFmtId="0" fontId="19" fillId="2" borderId="3" xfId="0" applyFont="1" applyFill="1" applyBorder="1" applyAlignment="1">
      <alignment horizontal="center" vertical="center"/>
    </xf>
    <xf numFmtId="165" fontId="19" fillId="2" borderId="3" xfId="1" applyNumberFormat="1" applyFont="1" applyFill="1" applyBorder="1" applyAlignment="1">
      <alignment horizontal="center" vertical="center"/>
    </xf>
    <xf numFmtId="165" fontId="21" fillId="4" borderId="0" xfId="1" applyNumberFormat="1" applyFont="1" applyFill="1" applyAlignment="1">
      <alignment vertical="center"/>
    </xf>
    <xf numFmtId="165" fontId="21" fillId="6" borderId="0" xfId="1" applyNumberFormat="1" applyFont="1" applyFill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left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left" vertical="center"/>
    </xf>
    <xf numFmtId="0" fontId="25" fillId="4" borderId="8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/>
    </xf>
    <xf numFmtId="0" fontId="25" fillId="4" borderId="12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0" fontId="25" fillId="4" borderId="13" xfId="0" applyFont="1" applyFill="1" applyBorder="1" applyAlignment="1">
      <alignment horizontal="left" vertical="center"/>
    </xf>
    <xf numFmtId="0" fontId="25" fillId="4" borderId="9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left" vertical="center"/>
    </xf>
    <xf numFmtId="0" fontId="25" fillId="4" borderId="11" xfId="0" applyFont="1" applyFill="1" applyBorder="1" applyAlignment="1">
      <alignment horizontal="left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6" borderId="0" xfId="0" applyFont="1" applyFill="1" applyAlignment="1">
      <alignment vertical="center"/>
    </xf>
    <xf numFmtId="0" fontId="25" fillId="4" borderId="1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left" vertical="center"/>
    </xf>
    <xf numFmtId="0" fontId="25" fillId="4" borderId="15" xfId="0" applyFont="1" applyFill="1" applyBorder="1" applyAlignment="1">
      <alignment horizontal="left" vertical="center"/>
    </xf>
    <xf numFmtId="0" fontId="25" fillId="0" borderId="14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25" fillId="0" borderId="0" xfId="0" applyFont="1" applyAlignment="1">
      <alignment vertical="center" wrapText="1"/>
    </xf>
  </cellXfs>
  <cellStyles count="6">
    <cellStyle name="Lien hypertexte" xfId="2" builtinId="8"/>
    <cellStyle name="Milliers" xfId="1" builtinId="3"/>
    <cellStyle name="Milliers 414" xfId="4" xr:uid="{42D45F29-0592-4A3F-A3A9-777A03990C78}"/>
    <cellStyle name="Normal" xfId="0" builtinId="0"/>
    <cellStyle name="Normal 2 5" xfId="3" xr:uid="{B640282F-974A-43C7-82E3-14ED6E308E5B}"/>
    <cellStyle name="Normal 5 2" xfId="5" xr:uid="{3B4274E1-CC65-4BC0-8165-04BB5411C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3\02-Annexe-Rapport-ITIE-2023_annexe-34-mise-a-jour.xlsx" TargetMode="External"/><Relationship Id="rId1" Type="http://schemas.openxmlformats.org/officeDocument/2006/relationships/externalLinkPath" Target="/Users/Bmd/Documents/ISE/Cours/ISE3/Stage%20ITIE/rapports/2023/02-Annexe-Rapport-ITIE-2023_annexe-34-mise-a-jo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1-1"/>
      <sheetName val="11-2"/>
      <sheetName val="11-3"/>
      <sheetName val="11-4"/>
      <sheetName val="11-5"/>
      <sheetName val="11-6"/>
      <sheetName val="11-7"/>
      <sheetName val="11-8"/>
      <sheetName val="11-9"/>
      <sheetName val="11-10"/>
      <sheetName val="11-11"/>
      <sheetName val="11-12"/>
      <sheetName val="11-13"/>
      <sheetName val="11-14"/>
      <sheetName val="11-15"/>
      <sheetName val="11-16"/>
      <sheetName val="11-17"/>
      <sheetName val="11-18"/>
      <sheetName val="11-19"/>
      <sheetName val="11-20"/>
      <sheetName val="11-21"/>
      <sheetName val="11-22"/>
      <sheetName val="11-23"/>
      <sheetName val="11-24"/>
      <sheetName val="11-25"/>
      <sheetName val="11-26"/>
      <sheetName val="11-27"/>
      <sheetName val="11-28"/>
      <sheetName val="11-29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A672-A866-4100-8B6B-50C4D9829F32}">
  <dimension ref="A1:F32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6.90625" style="4" customWidth="1"/>
    <col min="2" max="2" width="20" style="4" customWidth="1"/>
    <col min="3" max="3" width="73.08984375" style="4" bestFit="1" customWidth="1"/>
    <col min="4" max="6" width="18" style="3" bestFit="1" customWidth="1"/>
    <col min="7" max="16384" width="12.36328125" style="4"/>
  </cols>
  <sheetData>
    <row r="1" spans="1:3" ht="14.5">
      <c r="A1" s="1" t="s">
        <v>0</v>
      </c>
      <c r="B1" s="2"/>
      <c r="C1" s="2"/>
    </row>
    <row r="2" spans="1:3" ht="14.5">
      <c r="B2" s="5" t="s">
        <v>1</v>
      </c>
    </row>
    <row r="4" spans="1:3">
      <c r="B4" s="6" t="s">
        <v>2</v>
      </c>
      <c r="C4" s="4" t="s">
        <v>3</v>
      </c>
    </row>
    <row r="5" spans="1:3">
      <c r="B5" s="6" t="s">
        <v>4</v>
      </c>
      <c r="C5" s="4" t="s">
        <v>5</v>
      </c>
    </row>
    <row r="6" spans="1:3">
      <c r="B6" s="6" t="s">
        <v>6</v>
      </c>
      <c r="C6" s="4" t="s">
        <v>7</v>
      </c>
    </row>
    <row r="7" spans="1:3">
      <c r="B7" s="6" t="s">
        <v>8</v>
      </c>
      <c r="C7" s="4" t="s">
        <v>9</v>
      </c>
    </row>
    <row r="8" spans="1:3">
      <c r="B8" s="6" t="s">
        <v>10</v>
      </c>
      <c r="C8" s="4" t="s">
        <v>11</v>
      </c>
    </row>
    <row r="9" spans="1:3">
      <c r="B9" s="6" t="s">
        <v>12</v>
      </c>
      <c r="C9" s="4" t="s">
        <v>13</v>
      </c>
    </row>
    <row r="10" spans="1:3">
      <c r="B10" s="6" t="s">
        <v>14</v>
      </c>
      <c r="C10" s="4" t="s">
        <v>15</v>
      </c>
    </row>
    <row r="11" spans="1:3">
      <c r="B11" s="6" t="s">
        <v>16</v>
      </c>
      <c r="C11" s="4" t="s">
        <v>17</v>
      </c>
    </row>
    <row r="12" spans="1:3">
      <c r="B12" s="6" t="s">
        <v>18</v>
      </c>
      <c r="C12" s="4" t="s">
        <v>19</v>
      </c>
    </row>
    <row r="13" spans="1:3">
      <c r="B13" s="6" t="s">
        <v>20</v>
      </c>
      <c r="C13" s="4" t="s">
        <v>21</v>
      </c>
    </row>
    <row r="14" spans="1:3">
      <c r="B14" s="6" t="s">
        <v>22</v>
      </c>
      <c r="C14" s="4" t="s">
        <v>23</v>
      </c>
    </row>
    <row r="15" spans="1:3">
      <c r="B15" s="6" t="s">
        <v>24</v>
      </c>
      <c r="C15" s="4" t="s">
        <v>25</v>
      </c>
    </row>
    <row r="16" spans="1:3">
      <c r="B16" s="6" t="s">
        <v>26</v>
      </c>
      <c r="C16" s="4" t="s">
        <v>27</v>
      </c>
    </row>
    <row r="17" spans="2:3">
      <c r="B17" s="6" t="s">
        <v>28</v>
      </c>
      <c r="C17" s="4" t="s">
        <v>29</v>
      </c>
    </row>
    <row r="18" spans="2:3">
      <c r="B18" s="6" t="s">
        <v>30</v>
      </c>
      <c r="C18" s="4" t="s">
        <v>31</v>
      </c>
    </row>
    <row r="19" spans="2:3">
      <c r="B19" s="6" t="s">
        <v>32</v>
      </c>
      <c r="C19" s="4" t="s">
        <v>33</v>
      </c>
    </row>
    <row r="20" spans="2:3">
      <c r="B20" s="6" t="s">
        <v>34</v>
      </c>
      <c r="C20" s="4" t="s">
        <v>35</v>
      </c>
    </row>
    <row r="21" spans="2:3">
      <c r="B21" s="6" t="s">
        <v>36</v>
      </c>
      <c r="C21" s="4" t="s">
        <v>37</v>
      </c>
    </row>
    <row r="22" spans="2:3">
      <c r="B22" s="6" t="s">
        <v>38</v>
      </c>
      <c r="C22" s="4" t="s">
        <v>39</v>
      </c>
    </row>
    <row r="23" spans="2:3">
      <c r="B23" s="6" t="s">
        <v>40</v>
      </c>
      <c r="C23" s="4" t="s">
        <v>41</v>
      </c>
    </row>
    <row r="24" spans="2:3">
      <c r="B24" s="6" t="s">
        <v>42</v>
      </c>
      <c r="C24" s="4" t="s">
        <v>43</v>
      </c>
    </row>
    <row r="25" spans="2:3">
      <c r="B25" s="6" t="s">
        <v>44</v>
      </c>
      <c r="C25" s="4" t="s">
        <v>45</v>
      </c>
    </row>
    <row r="26" spans="2:3">
      <c r="B26" s="6" t="s">
        <v>46</v>
      </c>
      <c r="C26" s="4" t="s">
        <v>47</v>
      </c>
    </row>
    <row r="27" spans="2:3">
      <c r="B27" s="6" t="s">
        <v>48</v>
      </c>
      <c r="C27" s="4" t="s">
        <v>49</v>
      </c>
    </row>
    <row r="28" spans="2:3">
      <c r="B28" s="6" t="s">
        <v>50</v>
      </c>
      <c r="C28" s="4" t="s">
        <v>51</v>
      </c>
    </row>
    <row r="29" spans="2:3">
      <c r="B29" s="6" t="s">
        <v>52</v>
      </c>
      <c r="C29" s="4" t="s">
        <v>53</v>
      </c>
    </row>
    <row r="30" spans="2:3">
      <c r="B30" s="6" t="s">
        <v>54</v>
      </c>
      <c r="C30" s="4" t="s">
        <v>55</v>
      </c>
    </row>
    <row r="31" spans="2:3">
      <c r="B31" s="6" t="s">
        <v>56</v>
      </c>
      <c r="C31" s="4" t="s">
        <v>57</v>
      </c>
    </row>
    <row r="32" spans="2:3">
      <c r="B32" s="6" t="s">
        <v>58</v>
      </c>
      <c r="C32" s="4" t="s">
        <v>59</v>
      </c>
    </row>
  </sheetData>
  <hyperlinks>
    <hyperlink ref="A1:C1" location="Sommaire!A1" display="Sommaire!A1" xr:uid="{1E97FA09-7AA9-43A7-96CA-52A472A52068}"/>
    <hyperlink ref="B4" location="'11-1'!A1" display="Annexe 11-1" xr:uid="{F092AD88-029B-4F6E-8F1F-B999F4ED63F5}"/>
    <hyperlink ref="B5" location="'11-2'!A1" display="Annexe 11-2" xr:uid="{C835AF51-2137-4097-8B9C-0CFCD5760122}"/>
    <hyperlink ref="B6" location="'11-3'!A1" display="Annexe 11-3" xr:uid="{FDB56269-58E8-4D4D-944B-9A49ABFCE1FE}"/>
    <hyperlink ref="B7" location="'11-4'!A1" display="Annexe 11-4" xr:uid="{D64AA333-A2CF-4B87-AB1A-D27012F93809}"/>
    <hyperlink ref="B8" location="'11-5'!A1" display="Annexe 11-5" xr:uid="{6C69AE77-A34B-4AFA-BE48-8F4F06F11397}"/>
    <hyperlink ref="B9" location="'11-6'!A1" display="Annexe 11-6" xr:uid="{1943F63C-1ED3-4E7C-AB9B-E37A10D4057F}"/>
    <hyperlink ref="B10" location="'11-7'!A1" display="Annexe 11-7" xr:uid="{508BAE51-7976-4372-A0D6-ECAF49AF4DD4}"/>
    <hyperlink ref="B11" location="'11-8'!A1" display="Annexe 11-8" xr:uid="{80B3BF06-4127-4B43-BAE3-869DCC3131F7}"/>
    <hyperlink ref="B12" location="'11-9'!A1" display="Annexe 11-9" xr:uid="{C08ABA74-DF07-47DD-BD87-81E584D1A154}"/>
    <hyperlink ref="B13" location="'11-10'!A1" display="Annexe 11-10" xr:uid="{0F9CCD7E-F86D-49EB-A8DC-D47216FBFBED}"/>
    <hyperlink ref="B14" location="'11-11'!A1" display="Annexe 11-11" xr:uid="{4E7942DB-0634-4DE1-99E9-29ECF3B16CB4}"/>
    <hyperlink ref="B15" location="'11-12'!A1" display="Annexe 11-12" xr:uid="{8A008F5D-C1F6-444E-84A7-06A8F6A89697}"/>
    <hyperlink ref="B16" location="'11-13'!A1" display="Annexe 11-13" xr:uid="{E70D15DB-B68B-475A-A483-CF47A929EB46}"/>
    <hyperlink ref="B17" location="'11-14'!A1" display="Annexe 11-14" xr:uid="{79DAE5D6-14B3-47BF-A651-DE97649AB469}"/>
    <hyperlink ref="B18" location="'11-15'!A1" display="Annexe 11-15" xr:uid="{42EDAA31-CECB-4A35-BBB7-9B4B195F16D7}"/>
    <hyperlink ref="B19" location="'11-16'!A1" display="Annexe 11-16" xr:uid="{93FDF7F8-9B11-4F70-8560-C0A86F051B4E}"/>
    <hyperlink ref="B20" location="'11-17'!A1" display="Annexe 11-17" xr:uid="{9E536175-852D-468A-9E28-8802765B48E0}"/>
    <hyperlink ref="B21" location="'11-18'!A1" display="Annexe 11-18" xr:uid="{D7334C96-E084-4FBD-9097-6BB665CAA612}"/>
    <hyperlink ref="B22" location="'11-19'!A1" display="Annexe 11-19" xr:uid="{59C47DC8-016D-48A7-8F83-A7C450CC4F73}"/>
    <hyperlink ref="B23" location="'11-20'!A1" display="Annexe 11-20" xr:uid="{F0547C3F-7F89-4E46-BE54-A9091FC01AFB}"/>
    <hyperlink ref="B24" location="'11-21'!A1" display="Annexe 11-21" xr:uid="{72DD9E18-0C2C-4C30-8AC3-E851B2CA4604}"/>
    <hyperlink ref="B25" location="'11-22'!A1" display="Annexe 11-22" xr:uid="{90DF1E7A-5960-4509-BBE1-E4FB467DECF9}"/>
    <hyperlink ref="B26" location="'11-23'!A1" display="Annexe 11-23" xr:uid="{BD6A100E-06C6-4760-A4E3-BEA63C39D457}"/>
    <hyperlink ref="B27" location="'11-24'!A1" display="Annexe 11-24" xr:uid="{13756D0F-43B0-4140-8E27-FF5270F6192D}"/>
    <hyperlink ref="B28" location="'11-25'!A1" display="Annexe 11-25" xr:uid="{EBD01417-91C3-4AF4-B8EE-57F1B1A88D55}"/>
    <hyperlink ref="B29" location="'11-26'!A1" display="Annexe 11-26" xr:uid="{C34E32E2-6A96-490B-B112-D25962DCE0E8}"/>
    <hyperlink ref="B30" location="'11-27'!A1" display="Annexe 11-27" xr:uid="{8C2771AE-0BA7-4CBA-8B34-4795A3C85DA1}"/>
    <hyperlink ref="B31" location="'11-28'!A1" display="Annexe 11-28" xr:uid="{8EC190F6-9786-4F9B-B938-C59BD5453EF9}"/>
    <hyperlink ref="B32" location="'11-29'!A1" display="Annexe 11-29" xr:uid="{7052F9BF-D6E4-4507-8FCF-090C4AC32C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8742-7508-4223-AC47-8472BEBCC120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7.81640625" style="10" bestFit="1" customWidth="1"/>
    <col min="6" max="6" width="11.08984375" style="8" bestFit="1" customWidth="1"/>
    <col min="7" max="7" width="11.6328125" style="10" customWidth="1"/>
    <col min="8" max="8" width="0.7265625" style="10" customWidth="1"/>
    <col min="9" max="9" width="11.6328125" style="10" bestFit="1" customWidth="1"/>
    <col min="10" max="10" width="11.08984375" style="10" bestFit="1" customWidth="1"/>
    <col min="11" max="11" width="11.63281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3</v>
      </c>
      <c r="F1" s="11" t="s">
        <v>61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15119056</v>
      </c>
      <c r="F8" s="22">
        <v>5000000</v>
      </c>
      <c r="G8" s="22">
        <v>20119056</v>
      </c>
      <c r="I8" s="22">
        <v>29437106</v>
      </c>
      <c r="J8" s="22">
        <v>0</v>
      </c>
      <c r="K8" s="22">
        <v>29437106</v>
      </c>
      <c r="M8" s="22">
        <v>-9318050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0</v>
      </c>
      <c r="F36" s="30">
        <v>5000000</v>
      </c>
      <c r="G36" s="30">
        <v>5000000</v>
      </c>
      <c r="I36" s="30">
        <v>27327383</v>
      </c>
      <c r="J36" s="30">
        <v>0</v>
      </c>
      <c r="K36" s="30">
        <v>27327383</v>
      </c>
      <c r="M36" s="30">
        <v>-22327383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5000000</v>
      </c>
      <c r="G38" s="33">
        <v>5000000</v>
      </c>
      <c r="I38" s="33">
        <v>27041065</v>
      </c>
      <c r="J38" s="33">
        <v>0</v>
      </c>
      <c r="K38" s="33">
        <v>27041065</v>
      </c>
      <c r="M38" s="33">
        <v>-22041065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>
        <v>286318</v>
      </c>
      <c r="J44" s="33">
        <v>0</v>
      </c>
      <c r="K44" s="33">
        <v>286318</v>
      </c>
      <c r="M44" s="33">
        <v>-286318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15119056</v>
      </c>
      <c r="F72" s="30">
        <v>0</v>
      </c>
      <c r="G72" s="30">
        <v>15119056</v>
      </c>
      <c r="I72" s="30">
        <v>2109723</v>
      </c>
      <c r="J72" s="30">
        <v>0</v>
      </c>
      <c r="K72" s="30">
        <v>2109723</v>
      </c>
      <c r="M72" s="30">
        <v>13009333</v>
      </c>
    </row>
    <row r="73" spans="1:13">
      <c r="A73" s="31">
        <v>58</v>
      </c>
      <c r="B73" s="8">
        <v>58</v>
      </c>
      <c r="C73" s="26" t="s">
        <v>140</v>
      </c>
      <c r="E73" s="33">
        <v>15119056</v>
      </c>
      <c r="F73" s="33">
        <v>0</v>
      </c>
      <c r="G73" s="33">
        <v>15119056</v>
      </c>
      <c r="I73" s="33">
        <v>2109723</v>
      </c>
      <c r="J73" s="33">
        <v>0</v>
      </c>
      <c r="K73" s="33">
        <v>2109723</v>
      </c>
      <c r="M73" s="33">
        <v>13009333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322096A3-E6DD-43CF-9045-48C15DE87567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36FB-F623-411C-8025-9B298F6EDEFF}">
  <dimension ref="A1:M79"/>
  <sheetViews>
    <sheetView showGridLines="0" zoomScale="63" zoomScaleNormal="63" zoomScaleSheetLayoutView="100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5.81640625" style="10" bestFit="1" customWidth="1"/>
    <col min="6" max="6" width="12.54296875" style="8" bestFit="1" customWidth="1"/>
    <col min="7" max="7" width="14.90625" style="10" bestFit="1" customWidth="1"/>
    <col min="8" max="8" width="0.7265625" style="10" customWidth="1"/>
    <col min="9" max="9" width="14.90625" style="10" bestFit="1" customWidth="1"/>
    <col min="10" max="10" width="14" style="10" bestFit="1" customWidth="1"/>
    <col min="11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5</v>
      </c>
      <c r="F1" s="11" t="s">
        <v>147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47658514460</v>
      </c>
      <c r="F8" s="22">
        <v>-349152006</v>
      </c>
      <c r="G8" s="22">
        <v>47309362454</v>
      </c>
      <c r="I8" s="22">
        <v>41549608158</v>
      </c>
      <c r="J8" s="22">
        <v>4640736545</v>
      </c>
      <c r="K8" s="22">
        <v>46190344703</v>
      </c>
      <c r="M8" s="22">
        <v>1119017751</v>
      </c>
    </row>
    <row r="9" spans="1:13">
      <c r="B9" s="28"/>
      <c r="C9" s="29" t="s">
        <v>76</v>
      </c>
      <c r="E9" s="30">
        <v>62669847</v>
      </c>
      <c r="F9" s="30">
        <v>0</v>
      </c>
      <c r="G9" s="30">
        <v>62669847</v>
      </c>
      <c r="I9" s="30">
        <v>0</v>
      </c>
      <c r="J9" s="30">
        <v>62669847</v>
      </c>
      <c r="K9" s="30">
        <v>62669847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13687877</v>
      </c>
      <c r="F10" s="32">
        <v>0</v>
      </c>
      <c r="G10" s="32">
        <v>13687877</v>
      </c>
      <c r="I10" s="32"/>
      <c r="J10" s="32">
        <v>13687877</v>
      </c>
      <c r="K10" s="32">
        <v>13687877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>
        <v>7500000</v>
      </c>
      <c r="F12" s="32">
        <v>0</v>
      </c>
      <c r="G12" s="32">
        <v>7500000</v>
      </c>
      <c r="I12" s="32"/>
      <c r="J12" s="32">
        <v>7500000</v>
      </c>
      <c r="K12" s="32">
        <v>7500000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41481970</v>
      </c>
      <c r="F14" s="32">
        <v>0</v>
      </c>
      <c r="G14" s="32">
        <v>41481970</v>
      </c>
      <c r="I14" s="32"/>
      <c r="J14" s="32">
        <v>41481970</v>
      </c>
      <c r="K14" s="32">
        <v>41481970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1572500000</v>
      </c>
      <c r="F25" s="30">
        <v>-2500000</v>
      </c>
      <c r="G25" s="30">
        <v>1570000000</v>
      </c>
      <c r="I25" s="30">
        <v>1550000000</v>
      </c>
      <c r="J25" s="30">
        <v>0</v>
      </c>
      <c r="K25" s="30">
        <v>1550000000</v>
      </c>
      <c r="M25" s="30">
        <v>20000000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>
        <v>22500000</v>
      </c>
      <c r="F30" s="32">
        <v>-2500000</v>
      </c>
      <c r="G30" s="32">
        <v>20000000</v>
      </c>
      <c r="I30" s="32"/>
      <c r="J30" s="32">
        <v>0</v>
      </c>
      <c r="K30" s="32">
        <v>0</v>
      </c>
      <c r="M30" s="32">
        <v>20000000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>
        <v>1550000000</v>
      </c>
      <c r="F35" s="33">
        <v>0</v>
      </c>
      <c r="G35" s="33">
        <v>1550000000</v>
      </c>
      <c r="I35" s="33">
        <v>1550000000</v>
      </c>
      <c r="J35" s="33">
        <v>0</v>
      </c>
      <c r="K35" s="33">
        <v>1550000000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39706513977</v>
      </c>
      <c r="F36" s="30">
        <v>0</v>
      </c>
      <c r="G36" s="30">
        <v>39706513977</v>
      </c>
      <c r="I36" s="30">
        <v>34962594076</v>
      </c>
      <c r="J36" s="30">
        <v>4568666298</v>
      </c>
      <c r="K36" s="30">
        <v>39531260374</v>
      </c>
      <c r="M36" s="30">
        <v>175253603</v>
      </c>
    </row>
    <row r="37" spans="1:13">
      <c r="A37" s="31">
        <v>27</v>
      </c>
      <c r="B37" s="23">
        <v>27</v>
      </c>
      <c r="C37" s="24" t="s">
        <v>104</v>
      </c>
      <c r="E37" s="32">
        <v>22076752300</v>
      </c>
      <c r="F37" s="32">
        <v>0</v>
      </c>
      <c r="G37" s="32">
        <v>22076752300</v>
      </c>
      <c r="I37" s="32">
        <v>17508086002</v>
      </c>
      <c r="J37" s="32">
        <v>4568666298</v>
      </c>
      <c r="K37" s="32">
        <v>22076752300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2235319034</v>
      </c>
      <c r="F38" s="33">
        <v>0</v>
      </c>
      <c r="G38" s="33">
        <v>2235319034</v>
      </c>
      <c r="I38" s="33">
        <v>2235319034</v>
      </c>
      <c r="J38" s="33">
        <v>0</v>
      </c>
      <c r="K38" s="33">
        <v>2235319034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67424050</v>
      </c>
      <c r="F44" s="33">
        <v>0</v>
      </c>
      <c r="G44" s="33">
        <v>67424050</v>
      </c>
      <c r="I44" s="33">
        <v>67424050</v>
      </c>
      <c r="J44" s="33">
        <v>0</v>
      </c>
      <c r="K44" s="33">
        <v>67424050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>
        <v>175253603</v>
      </c>
      <c r="F45" s="32">
        <v>0</v>
      </c>
      <c r="G45" s="32">
        <v>175253603</v>
      </c>
      <c r="I45" s="32"/>
      <c r="J45" s="32">
        <v>0</v>
      </c>
      <c r="K45" s="32">
        <v>0</v>
      </c>
      <c r="M45" s="32">
        <v>175253603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>
        <v>9091058994</v>
      </c>
      <c r="F50" s="33">
        <v>0</v>
      </c>
      <c r="G50" s="33">
        <v>9091058994</v>
      </c>
      <c r="I50" s="33">
        <v>9091058994</v>
      </c>
      <c r="J50" s="33">
        <v>0</v>
      </c>
      <c r="K50" s="33">
        <v>9091058994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>
        <v>6060705996</v>
      </c>
      <c r="F52" s="33">
        <v>0</v>
      </c>
      <c r="G52" s="33">
        <v>6060705996</v>
      </c>
      <c r="I52" s="33">
        <v>6060705996</v>
      </c>
      <c r="J52" s="33">
        <v>0</v>
      </c>
      <c r="K52" s="33">
        <v>6060705996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5868987721</v>
      </c>
      <c r="F53" s="30">
        <v>-346652006</v>
      </c>
      <c r="G53" s="30">
        <v>5522335715</v>
      </c>
      <c r="I53" s="30">
        <v>4591839202</v>
      </c>
      <c r="J53" s="30">
        <v>0</v>
      </c>
      <c r="K53" s="30">
        <v>4591839202</v>
      </c>
      <c r="M53" s="30">
        <v>930496513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2443704430</v>
      </c>
      <c r="J54" s="32">
        <v>0</v>
      </c>
      <c r="K54" s="32">
        <v>2443704430</v>
      </c>
      <c r="M54" s="32">
        <v>-2443704430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211690571</v>
      </c>
      <c r="J55" s="33">
        <v>0</v>
      </c>
      <c r="K55" s="33">
        <v>211690571</v>
      </c>
      <c r="M55" s="33">
        <v>-211690571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264613205</v>
      </c>
      <c r="J56" s="32">
        <v>0</v>
      </c>
      <c r="K56" s="32">
        <v>264613205</v>
      </c>
      <c r="M56" s="32">
        <v>-264613205</v>
      </c>
    </row>
    <row r="57" spans="1:13">
      <c r="A57" s="31"/>
      <c r="B57" s="8">
        <v>46</v>
      </c>
      <c r="C57" s="26" t="s">
        <v>124</v>
      </c>
      <c r="E57" s="33">
        <v>5868987721</v>
      </c>
      <c r="F57" s="33">
        <v>-346652006</v>
      </c>
      <c r="G57" s="33">
        <v>5522335715</v>
      </c>
      <c r="I57" s="33">
        <v>1248574846</v>
      </c>
      <c r="J57" s="33">
        <v>0</v>
      </c>
      <c r="K57" s="33">
        <v>1248574846</v>
      </c>
      <c r="M57" s="33">
        <v>4273760869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132306595</v>
      </c>
      <c r="J58" s="32">
        <v>0</v>
      </c>
      <c r="K58" s="32">
        <v>132306595</v>
      </c>
      <c r="M58" s="32">
        <v>-132306595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48677357</v>
      </c>
      <c r="J59" s="33">
        <v>0</v>
      </c>
      <c r="K59" s="33">
        <v>48677357</v>
      </c>
      <c r="M59" s="33">
        <v>-48677357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242272198</v>
      </c>
      <c r="J61" s="33">
        <v>0</v>
      </c>
      <c r="K61" s="33">
        <v>242272198</v>
      </c>
      <c r="M61" s="33">
        <v>-242272198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9413652</v>
      </c>
      <c r="F63" s="30">
        <v>0</v>
      </c>
      <c r="G63" s="30">
        <v>9413652</v>
      </c>
      <c r="I63" s="30">
        <v>9413650</v>
      </c>
      <c r="J63" s="30">
        <v>0</v>
      </c>
      <c r="K63" s="30">
        <v>9413650</v>
      </c>
      <c r="M63" s="30">
        <v>2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9413652</v>
      </c>
      <c r="G64" s="33">
        <v>9413652</v>
      </c>
      <c r="I64" s="33">
        <v>9413650</v>
      </c>
      <c r="J64" s="33">
        <v>0</v>
      </c>
      <c r="K64" s="33">
        <v>9413650</v>
      </c>
      <c r="M64" s="33">
        <v>2</v>
      </c>
    </row>
    <row r="65" spans="1:13">
      <c r="A65" s="31">
        <v>53</v>
      </c>
      <c r="B65" s="23">
        <v>53</v>
      </c>
      <c r="C65" s="24" t="s">
        <v>132</v>
      </c>
      <c r="E65" s="32">
        <v>9413652</v>
      </c>
      <c r="F65" s="32">
        <v>-9413652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33081623</v>
      </c>
      <c r="F70" s="30">
        <v>0</v>
      </c>
      <c r="G70" s="30">
        <v>33081623</v>
      </c>
      <c r="I70" s="30">
        <v>32407623</v>
      </c>
      <c r="J70" s="30">
        <v>674000</v>
      </c>
      <c r="K70" s="30">
        <v>33081623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33081623</v>
      </c>
      <c r="F71" s="32">
        <v>0</v>
      </c>
      <c r="G71" s="32">
        <v>33081623</v>
      </c>
      <c r="I71" s="32">
        <v>32407623</v>
      </c>
      <c r="J71" s="32">
        <v>674000</v>
      </c>
      <c r="K71" s="32">
        <v>33081623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361808640</v>
      </c>
      <c r="F72" s="30">
        <v>0</v>
      </c>
      <c r="G72" s="30">
        <v>361808640</v>
      </c>
      <c r="I72" s="30">
        <v>353082240</v>
      </c>
      <c r="J72" s="30">
        <v>8726400</v>
      </c>
      <c r="K72" s="30">
        <v>361808640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361808640</v>
      </c>
      <c r="F73" s="33">
        <v>0</v>
      </c>
      <c r="G73" s="33">
        <v>361808640</v>
      </c>
      <c r="I73" s="33">
        <v>353082240</v>
      </c>
      <c r="J73" s="33">
        <v>8726400</v>
      </c>
      <c r="K73" s="33">
        <v>361808640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43539000</v>
      </c>
      <c r="F78" s="30">
        <v>0</v>
      </c>
      <c r="G78" s="30">
        <v>43539000</v>
      </c>
      <c r="I78" s="30">
        <v>50271367</v>
      </c>
      <c r="J78" s="30">
        <v>0</v>
      </c>
      <c r="K78" s="30">
        <v>50271367</v>
      </c>
      <c r="M78" s="30">
        <v>-6732367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FBD4254A-944A-4168-B20E-932F369445C8}"/>
  </hyperlinks>
  <pageMargins left="0.7" right="0.7" top="0.75" bottom="0.75" header="0.3" footer="0.3"/>
  <pageSetup paperSize="9" scale="67" orientation="landscape" r:id="rId1"/>
  <rowBreaks count="1" manualBreakCount="1">
    <brk id="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B692-DF6D-4D04-853D-6854FC0299DE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90625" style="10" bestFit="1" customWidth="1"/>
    <col min="6" max="6" width="14" style="8" bestFit="1" customWidth="1"/>
    <col min="7" max="7" width="14.90625" style="10" bestFit="1" customWidth="1"/>
    <col min="8" max="8" width="0.7265625" style="10" customWidth="1"/>
    <col min="9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7</v>
      </c>
      <c r="F1" s="11" t="s">
        <v>148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130645483028.20999</v>
      </c>
      <c r="F8" s="22">
        <v>-7335068646.88978</v>
      </c>
      <c r="G8" s="22">
        <v>123310414381.32021</v>
      </c>
      <c r="I8" s="22">
        <v>86118718254</v>
      </c>
      <c r="J8" s="22">
        <v>39481762261.209999</v>
      </c>
      <c r="K8" s="22">
        <v>125600480515.20999</v>
      </c>
      <c r="M8" s="22">
        <v>-2290066133.88978</v>
      </c>
    </row>
    <row r="9" spans="1:13">
      <c r="B9" s="28"/>
      <c r="C9" s="29" t="s">
        <v>76</v>
      </c>
      <c r="E9" s="30">
        <v>18455147244.209999</v>
      </c>
      <c r="F9" s="30">
        <v>264346000</v>
      </c>
      <c r="G9" s="30">
        <v>18719493244.209999</v>
      </c>
      <c r="I9" s="30">
        <v>12647127249</v>
      </c>
      <c r="J9" s="30">
        <v>6072365995.21</v>
      </c>
      <c r="K9" s="30">
        <v>18719493244.209999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17979113589</v>
      </c>
      <c r="F10" s="32">
        <v>4266000</v>
      </c>
      <c r="G10" s="32">
        <v>17983379589</v>
      </c>
      <c r="I10" s="32">
        <v>12387047249</v>
      </c>
      <c r="J10" s="32">
        <v>5596332340</v>
      </c>
      <c r="K10" s="32">
        <v>17983379589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394603655.20999998</v>
      </c>
      <c r="F11" s="33">
        <v>0</v>
      </c>
      <c r="G11" s="33">
        <v>394603655.20999998</v>
      </c>
      <c r="I11" s="33"/>
      <c r="J11" s="33">
        <v>394603655.20999998</v>
      </c>
      <c r="K11" s="33">
        <v>394603655.20999998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2000000</v>
      </c>
      <c r="G12" s="32">
        <v>2000000</v>
      </c>
      <c r="I12" s="32">
        <v>2000000</v>
      </c>
      <c r="J12" s="32">
        <v>0</v>
      </c>
      <c r="K12" s="32">
        <v>2000000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81430000</v>
      </c>
      <c r="F14" s="32">
        <v>258080000</v>
      </c>
      <c r="G14" s="32">
        <v>339510000</v>
      </c>
      <c r="I14" s="32">
        <v>258080000</v>
      </c>
      <c r="J14" s="32">
        <v>81430000</v>
      </c>
      <c r="K14" s="32">
        <v>339510000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4480619866</v>
      </c>
      <c r="F25" s="30">
        <v>0</v>
      </c>
      <c r="G25" s="30">
        <v>4480619866</v>
      </c>
      <c r="I25" s="30">
        <v>0</v>
      </c>
      <c r="J25" s="30">
        <v>4480619866</v>
      </c>
      <c r="K25" s="30">
        <v>4480619866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>
        <v>700210162</v>
      </c>
      <c r="F27" s="33">
        <v>0</v>
      </c>
      <c r="G27" s="33">
        <v>700210162</v>
      </c>
      <c r="I27" s="33"/>
      <c r="J27" s="33">
        <v>700210162</v>
      </c>
      <c r="K27" s="33">
        <v>700210162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>
        <v>3780409704</v>
      </c>
      <c r="F32" s="32">
        <v>0</v>
      </c>
      <c r="G32" s="32">
        <v>3780409704</v>
      </c>
      <c r="I32" s="32"/>
      <c r="J32" s="32">
        <v>3780409704</v>
      </c>
      <c r="K32" s="32">
        <v>3780409704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83767655978</v>
      </c>
      <c r="F36" s="30">
        <v>0</v>
      </c>
      <c r="G36" s="30">
        <v>83767655978</v>
      </c>
      <c r="I36" s="30">
        <v>56097000945</v>
      </c>
      <c r="J36" s="30">
        <v>27572695879</v>
      </c>
      <c r="K36" s="30">
        <v>83669696824</v>
      </c>
      <c r="M36" s="30">
        <v>97959154</v>
      </c>
    </row>
    <row r="37" spans="1:13">
      <c r="A37" s="31">
        <v>27</v>
      </c>
      <c r="B37" s="23">
        <v>27</v>
      </c>
      <c r="C37" s="24" t="s">
        <v>104</v>
      </c>
      <c r="E37" s="32">
        <v>4604076450</v>
      </c>
      <c r="F37" s="32">
        <v>0</v>
      </c>
      <c r="G37" s="32">
        <v>4604076450</v>
      </c>
      <c r="I37" s="32">
        <v>3552753938</v>
      </c>
      <c r="J37" s="32">
        <v>0</v>
      </c>
      <c r="K37" s="32">
        <v>3552753938</v>
      </c>
      <c r="M37" s="32">
        <v>1051322512</v>
      </c>
    </row>
    <row r="38" spans="1:13">
      <c r="A38" s="31">
        <v>28</v>
      </c>
      <c r="B38" s="8">
        <v>28</v>
      </c>
      <c r="C38" s="26" t="s">
        <v>105</v>
      </c>
      <c r="E38" s="33">
        <v>6406939856</v>
      </c>
      <c r="F38" s="33">
        <v>0</v>
      </c>
      <c r="G38" s="33">
        <v>6406939856</v>
      </c>
      <c r="I38" s="33">
        <v>6547939856</v>
      </c>
      <c r="J38" s="33">
        <v>0</v>
      </c>
      <c r="K38" s="33">
        <v>6547939856</v>
      </c>
      <c r="M38" s="33">
        <v>-141000000</v>
      </c>
    </row>
    <row r="39" spans="1:13">
      <c r="A39" s="31">
        <v>29</v>
      </c>
      <c r="B39" s="23">
        <v>29</v>
      </c>
      <c r="C39" s="24" t="s">
        <v>106</v>
      </c>
      <c r="E39" s="32">
        <v>14165870891</v>
      </c>
      <c r="F39" s="32">
        <v>0</v>
      </c>
      <c r="G39" s="32">
        <v>14165870891</v>
      </c>
      <c r="I39" s="32"/>
      <c r="J39" s="32">
        <v>14165870891</v>
      </c>
      <c r="K39" s="32">
        <v>14165870891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56031664385</v>
      </c>
      <c r="F40" s="33">
        <v>0</v>
      </c>
      <c r="G40" s="33">
        <v>56031664385</v>
      </c>
      <c r="I40" s="33">
        <v>42628648916</v>
      </c>
      <c r="J40" s="33">
        <v>13403015469</v>
      </c>
      <c r="K40" s="33">
        <v>56031664385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2416973413</v>
      </c>
      <c r="F42" s="33">
        <v>0</v>
      </c>
      <c r="G42" s="33">
        <v>2416973413</v>
      </c>
      <c r="I42" s="33">
        <v>2416973413</v>
      </c>
      <c r="J42" s="33">
        <v>0</v>
      </c>
      <c r="K42" s="33">
        <v>2416973413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39714678</v>
      </c>
      <c r="F44" s="33">
        <v>0</v>
      </c>
      <c r="G44" s="33">
        <v>39714678</v>
      </c>
      <c r="I44" s="33">
        <v>355809766</v>
      </c>
      <c r="J44" s="33">
        <v>0</v>
      </c>
      <c r="K44" s="33">
        <v>355809766</v>
      </c>
      <c r="M44" s="33">
        <v>-316095088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102416305</v>
      </c>
      <c r="F49" s="32">
        <v>0</v>
      </c>
      <c r="G49" s="32">
        <v>102416305</v>
      </c>
      <c r="I49" s="32">
        <v>594875056</v>
      </c>
      <c r="J49" s="32">
        <v>3809519</v>
      </c>
      <c r="K49" s="32">
        <v>598684575</v>
      </c>
      <c r="M49" s="32">
        <v>-496268270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20706289337</v>
      </c>
      <c r="F53" s="30">
        <v>-6959374646.88978</v>
      </c>
      <c r="G53" s="30">
        <v>13746914690.11022</v>
      </c>
      <c r="I53" s="30">
        <v>14790586394</v>
      </c>
      <c r="J53" s="30">
        <v>1356080521</v>
      </c>
      <c r="K53" s="30">
        <v>16146666915</v>
      </c>
      <c r="M53" s="30">
        <v>-2399752224.88978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>
        <v>19350208816</v>
      </c>
      <c r="F57" s="33">
        <v>-6959374646.88978</v>
      </c>
      <c r="G57" s="33">
        <v>12390834169.11022</v>
      </c>
      <c r="I57" s="33">
        <v>14790586394</v>
      </c>
      <c r="J57" s="33">
        <v>0</v>
      </c>
      <c r="K57" s="33">
        <v>14790586394</v>
      </c>
      <c r="M57" s="33">
        <v>-2399752224.88978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>
        <v>1356080521</v>
      </c>
      <c r="F62" s="32">
        <v>0</v>
      </c>
      <c r="G62" s="32">
        <v>1356080521</v>
      </c>
      <c r="I62" s="32"/>
      <c r="J62" s="32">
        <v>1356080521</v>
      </c>
      <c r="K62" s="32">
        <v>1356080521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1200349100</v>
      </c>
      <c r="F63" s="30">
        <v>0</v>
      </c>
      <c r="G63" s="30">
        <v>1200349100</v>
      </c>
      <c r="I63" s="30">
        <v>1200349100</v>
      </c>
      <c r="J63" s="30">
        <v>0</v>
      </c>
      <c r="K63" s="30">
        <v>1200349100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>
        <v>1200349100</v>
      </c>
      <c r="F64" s="33">
        <v>0</v>
      </c>
      <c r="G64" s="33">
        <v>1200349100</v>
      </c>
      <c r="I64" s="33">
        <v>1200349100</v>
      </c>
      <c r="J64" s="33">
        <v>0</v>
      </c>
      <c r="K64" s="33">
        <v>1200349100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275334251</v>
      </c>
      <c r="F67" s="30">
        <v>0</v>
      </c>
      <c r="G67" s="30">
        <v>275334251</v>
      </c>
      <c r="I67" s="30">
        <v>278981251</v>
      </c>
      <c r="J67" s="30">
        <v>0</v>
      </c>
      <c r="K67" s="30">
        <v>278981251</v>
      </c>
      <c r="M67" s="30">
        <v>-3647000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>
        <v>275334251</v>
      </c>
      <c r="F69" s="33">
        <v>0</v>
      </c>
      <c r="G69" s="33">
        <v>275334251</v>
      </c>
      <c r="I69" s="33">
        <v>278981251</v>
      </c>
      <c r="J69" s="33">
        <v>0</v>
      </c>
      <c r="K69" s="33">
        <v>278981251</v>
      </c>
      <c r="M69" s="33">
        <v>-3647000</v>
      </c>
    </row>
    <row r="70" spans="1:13">
      <c r="A70" s="31">
        <v>0</v>
      </c>
      <c r="B70" s="28"/>
      <c r="C70" s="29" t="s">
        <v>137</v>
      </c>
      <c r="E70" s="30">
        <v>101160360</v>
      </c>
      <c r="F70" s="30">
        <v>0</v>
      </c>
      <c r="G70" s="30">
        <v>101160360</v>
      </c>
      <c r="I70" s="30">
        <v>101160360</v>
      </c>
      <c r="J70" s="30">
        <v>0</v>
      </c>
      <c r="K70" s="30">
        <v>101160360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101160360</v>
      </c>
      <c r="F71" s="32">
        <v>0</v>
      </c>
      <c r="G71" s="32">
        <v>101160360</v>
      </c>
      <c r="I71" s="32">
        <v>101160360</v>
      </c>
      <c r="J71" s="32">
        <v>0</v>
      </c>
      <c r="K71" s="32">
        <v>101160360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982516892</v>
      </c>
      <c r="F72" s="30">
        <v>0</v>
      </c>
      <c r="G72" s="30">
        <v>982516892</v>
      </c>
      <c r="I72" s="30">
        <v>982516892</v>
      </c>
      <c r="J72" s="30">
        <v>0</v>
      </c>
      <c r="K72" s="30">
        <v>982516892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982516892</v>
      </c>
      <c r="F73" s="33">
        <v>0</v>
      </c>
      <c r="G73" s="33">
        <v>982516892</v>
      </c>
      <c r="I73" s="33">
        <v>982516892</v>
      </c>
      <c r="J73" s="33">
        <v>0</v>
      </c>
      <c r="K73" s="33">
        <v>982516892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676410000</v>
      </c>
      <c r="F78" s="30">
        <v>-640040000</v>
      </c>
      <c r="G78" s="30">
        <v>36370000</v>
      </c>
      <c r="I78" s="30">
        <v>20996063</v>
      </c>
      <c r="J78" s="30">
        <v>0</v>
      </c>
      <c r="K78" s="30">
        <v>20996063</v>
      </c>
      <c r="M78" s="30">
        <v>15373937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24BB1877-CE74-40AA-B7A5-849E85355414}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5869-5100-4228-87B7-76CEC3EC59BA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90625" style="10" bestFit="1" customWidth="1"/>
    <col min="6" max="6" width="11.08984375" style="8" bestFit="1" customWidth="1"/>
    <col min="7" max="7" width="14.90625" style="10" bestFit="1" customWidth="1"/>
    <col min="8" max="8" width="0.7265625" style="10" customWidth="1"/>
    <col min="9" max="9" width="14.90625" style="10" bestFit="1" customWidth="1"/>
    <col min="10" max="10" width="11.08984375" style="10" bestFit="1" customWidth="1"/>
    <col min="11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9</v>
      </c>
      <c r="F1" s="11" t="s">
        <v>149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45016868980</v>
      </c>
      <c r="F8" s="22">
        <v>0</v>
      </c>
      <c r="G8" s="22">
        <v>45016868980</v>
      </c>
      <c r="I8" s="22">
        <v>44277452397</v>
      </c>
      <c r="J8" s="22">
        <v>0</v>
      </c>
      <c r="K8" s="22">
        <v>44277452397</v>
      </c>
      <c r="M8" s="22">
        <v>739416583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37393163725</v>
      </c>
      <c r="F36" s="30">
        <v>0</v>
      </c>
      <c r="G36" s="30">
        <v>37393163725</v>
      </c>
      <c r="I36" s="30">
        <v>37375646035</v>
      </c>
      <c r="J36" s="30">
        <v>0</v>
      </c>
      <c r="K36" s="30">
        <v>37375646035</v>
      </c>
      <c r="M36" s="30">
        <v>17517690</v>
      </c>
    </row>
    <row r="37" spans="1:13">
      <c r="A37" s="31">
        <v>27</v>
      </c>
      <c r="B37" s="23">
        <v>27</v>
      </c>
      <c r="C37" s="24" t="s">
        <v>104</v>
      </c>
      <c r="E37" s="32">
        <v>19497616234</v>
      </c>
      <c r="F37" s="32">
        <v>0</v>
      </c>
      <c r="G37" s="32">
        <v>19497616234</v>
      </c>
      <c r="I37" s="32">
        <v>19497616234</v>
      </c>
      <c r="J37" s="32">
        <v>0</v>
      </c>
      <c r="K37" s="32">
        <v>19497616234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2180321830</v>
      </c>
      <c r="F38" s="33">
        <v>0</v>
      </c>
      <c r="G38" s="33">
        <v>2180321830</v>
      </c>
      <c r="I38" s="33">
        <v>2180321830</v>
      </c>
      <c r="J38" s="33">
        <v>0</v>
      </c>
      <c r="K38" s="33">
        <v>2180321830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>
        <v>2500000000</v>
      </c>
      <c r="F39" s="32">
        <v>0</v>
      </c>
      <c r="G39" s="32">
        <v>2500000000</v>
      </c>
      <c r="I39" s="32">
        <v>2500000000</v>
      </c>
      <c r="J39" s="32">
        <v>0</v>
      </c>
      <c r="K39" s="32">
        <v>2500000000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5724671</v>
      </c>
      <c r="F44" s="33">
        <v>0</v>
      </c>
      <c r="G44" s="33">
        <v>5724671</v>
      </c>
      <c r="I44" s="33">
        <v>5724671</v>
      </c>
      <c r="J44" s="33">
        <v>0</v>
      </c>
      <c r="K44" s="33">
        <v>5724671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17517690</v>
      </c>
      <c r="F49" s="32">
        <v>0</v>
      </c>
      <c r="G49" s="32">
        <v>17517690</v>
      </c>
      <c r="I49" s="32"/>
      <c r="J49" s="32">
        <v>0</v>
      </c>
      <c r="K49" s="32">
        <v>0</v>
      </c>
      <c r="M49" s="32">
        <v>17517690</v>
      </c>
    </row>
    <row r="50" spans="1:13">
      <c r="A50" s="31">
        <v>40</v>
      </c>
      <c r="B50" s="8">
        <v>40</v>
      </c>
      <c r="C50" s="26" t="s">
        <v>117</v>
      </c>
      <c r="E50" s="33">
        <v>7915189980</v>
      </c>
      <c r="F50" s="33">
        <v>0</v>
      </c>
      <c r="G50" s="33">
        <v>7915189980</v>
      </c>
      <c r="I50" s="33">
        <v>7915189980</v>
      </c>
      <c r="J50" s="33">
        <v>0</v>
      </c>
      <c r="K50" s="33">
        <v>7915189980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>
        <v>5276793320</v>
      </c>
      <c r="F52" s="33">
        <v>0</v>
      </c>
      <c r="G52" s="33">
        <v>5276793320</v>
      </c>
      <c r="I52" s="33">
        <v>5276793320</v>
      </c>
      <c r="J52" s="33">
        <v>0</v>
      </c>
      <c r="K52" s="33">
        <v>5276793320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6833568239</v>
      </c>
      <c r="F53" s="30">
        <v>0</v>
      </c>
      <c r="G53" s="30">
        <v>6833568239</v>
      </c>
      <c r="I53" s="30">
        <v>6110366523</v>
      </c>
      <c r="J53" s="30">
        <v>0</v>
      </c>
      <c r="K53" s="30">
        <v>6110366523</v>
      </c>
      <c r="M53" s="30">
        <v>723201716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2909591931</v>
      </c>
      <c r="J54" s="32">
        <v>0</v>
      </c>
      <c r="K54" s="32">
        <v>2909591931</v>
      </c>
      <c r="M54" s="32">
        <v>-2909591931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103848099</v>
      </c>
      <c r="J55" s="33">
        <v>0</v>
      </c>
      <c r="K55" s="33">
        <v>103848099</v>
      </c>
      <c r="M55" s="33">
        <v>-103848099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129810126</v>
      </c>
      <c r="J56" s="32">
        <v>0</v>
      </c>
      <c r="K56" s="32">
        <v>129810126</v>
      </c>
      <c r="M56" s="32">
        <v>-129810126</v>
      </c>
    </row>
    <row r="57" spans="1:13">
      <c r="A57" s="31"/>
      <c r="B57" s="8">
        <v>46</v>
      </c>
      <c r="C57" s="26" t="s">
        <v>124</v>
      </c>
      <c r="E57" s="33">
        <v>6833568239</v>
      </c>
      <c r="F57" s="33">
        <v>0</v>
      </c>
      <c r="G57" s="33">
        <v>6833568239</v>
      </c>
      <c r="I57" s="33">
        <v>2588342042</v>
      </c>
      <c r="J57" s="33">
        <v>0</v>
      </c>
      <c r="K57" s="33">
        <v>2588342042</v>
      </c>
      <c r="M57" s="33">
        <v>4245226197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64905068</v>
      </c>
      <c r="J58" s="32">
        <v>0</v>
      </c>
      <c r="K58" s="32">
        <v>64905068</v>
      </c>
      <c r="M58" s="32">
        <v>-64905068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53642499</v>
      </c>
      <c r="J59" s="33">
        <v>0</v>
      </c>
      <c r="K59" s="33">
        <v>53642499</v>
      </c>
      <c r="M59" s="33">
        <v>-53642499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1147208</v>
      </c>
      <c r="J60" s="32">
        <v>0</v>
      </c>
      <c r="K60" s="32">
        <v>1147208</v>
      </c>
      <c r="M60" s="32">
        <v>-1147208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259079550</v>
      </c>
      <c r="J61" s="33">
        <v>0</v>
      </c>
      <c r="K61" s="33">
        <v>259079550</v>
      </c>
      <c r="M61" s="33">
        <v>-259079550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135841850</v>
      </c>
      <c r="F70" s="30">
        <v>0</v>
      </c>
      <c r="G70" s="30">
        <v>135841850</v>
      </c>
      <c r="I70" s="30">
        <v>135841850</v>
      </c>
      <c r="J70" s="30">
        <v>0</v>
      </c>
      <c r="K70" s="30">
        <v>135841850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135841850</v>
      </c>
      <c r="F71" s="32">
        <v>0</v>
      </c>
      <c r="G71" s="32">
        <v>135841850</v>
      </c>
      <c r="I71" s="32">
        <v>135841850</v>
      </c>
      <c r="J71" s="32">
        <v>0</v>
      </c>
      <c r="K71" s="32">
        <v>135841850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654295166</v>
      </c>
      <c r="F72" s="30">
        <v>0</v>
      </c>
      <c r="G72" s="30">
        <v>654295166</v>
      </c>
      <c r="I72" s="30">
        <v>654295166</v>
      </c>
      <c r="J72" s="30">
        <v>0</v>
      </c>
      <c r="K72" s="30">
        <v>654295166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654295166</v>
      </c>
      <c r="F73" s="33">
        <v>0</v>
      </c>
      <c r="G73" s="33">
        <v>654295166</v>
      </c>
      <c r="I73" s="33">
        <v>654295166</v>
      </c>
      <c r="J73" s="33">
        <v>0</v>
      </c>
      <c r="K73" s="33">
        <v>654295166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1302823</v>
      </c>
      <c r="J78" s="30">
        <v>0</v>
      </c>
      <c r="K78" s="30">
        <v>1302823</v>
      </c>
      <c r="M78" s="30">
        <v>-1302823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E0E223FE-8315-4512-A630-8D21495637C9}"/>
  </hyperlink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B4D6-5C48-45A9-9DCD-BF88AD4BC74E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90625" style="10" bestFit="1" customWidth="1"/>
    <col min="6" max="6" width="14" style="8" bestFit="1" customWidth="1"/>
    <col min="7" max="7" width="14.90625" style="10" bestFit="1" customWidth="1"/>
    <col min="8" max="8" width="0.7265625" style="10" customWidth="1"/>
    <col min="9" max="9" width="14.90625" style="10" bestFit="1" customWidth="1"/>
    <col min="10" max="10" width="14" style="10" bestFit="1" customWidth="1"/>
    <col min="11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11</v>
      </c>
      <c r="F1" s="11" t="s">
        <v>150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26720780235</v>
      </c>
      <c r="F8" s="22">
        <v>298194295</v>
      </c>
      <c r="G8" s="22">
        <v>27018974530</v>
      </c>
      <c r="I8" s="22">
        <v>26244026720</v>
      </c>
      <c r="J8" s="22">
        <v>1243815826</v>
      </c>
      <c r="K8" s="22">
        <v>27487842546</v>
      </c>
      <c r="M8" s="22">
        <v>-468868016</v>
      </c>
    </row>
    <row r="9" spans="1:13">
      <c r="B9" s="28"/>
      <c r="C9" s="29" t="s">
        <v>76</v>
      </c>
      <c r="E9" s="30">
        <v>10284246013</v>
      </c>
      <c r="F9" s="30">
        <v>5957227301</v>
      </c>
      <c r="G9" s="30">
        <v>16241473314</v>
      </c>
      <c r="I9" s="30">
        <v>16210660921</v>
      </c>
      <c r="J9" s="30">
        <v>30812393</v>
      </c>
      <c r="K9" s="30">
        <v>16241473314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10253433620</v>
      </c>
      <c r="F10" s="32">
        <v>5957227301</v>
      </c>
      <c r="G10" s="32">
        <v>16210660921</v>
      </c>
      <c r="I10" s="32">
        <v>16210660921</v>
      </c>
      <c r="J10" s="32">
        <v>0</v>
      </c>
      <c r="K10" s="32">
        <v>16210660921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30812393</v>
      </c>
      <c r="F11" s="33">
        <v>0</v>
      </c>
      <c r="G11" s="33">
        <v>30812393</v>
      </c>
      <c r="I11" s="33"/>
      <c r="J11" s="33">
        <v>30812393</v>
      </c>
      <c r="K11" s="33">
        <v>30812393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5957227301</v>
      </c>
      <c r="F25" s="30">
        <v>-5957227301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>
        <v>5957227301</v>
      </c>
      <c r="F26" s="32">
        <v>-5957227301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8159920846</v>
      </c>
      <c r="F36" s="30">
        <v>0</v>
      </c>
      <c r="G36" s="30">
        <v>8159920846</v>
      </c>
      <c r="I36" s="30">
        <v>8750679491</v>
      </c>
      <c r="J36" s="30">
        <v>2303433</v>
      </c>
      <c r="K36" s="30">
        <v>8752982924</v>
      </c>
      <c r="M36" s="30">
        <v>-593062078</v>
      </c>
    </row>
    <row r="37" spans="1:13">
      <c r="A37" s="31">
        <v>27</v>
      </c>
      <c r="B37" s="23">
        <v>27</v>
      </c>
      <c r="C37" s="24" t="s">
        <v>104</v>
      </c>
      <c r="E37" s="32">
        <v>2133855</v>
      </c>
      <c r="F37" s="32">
        <v>0</v>
      </c>
      <c r="G37" s="32">
        <v>2133855</v>
      </c>
      <c r="I37" s="32">
        <v>2319499</v>
      </c>
      <c r="J37" s="32">
        <v>0</v>
      </c>
      <c r="K37" s="32">
        <v>2319499</v>
      </c>
      <c r="M37" s="32">
        <v>-185644</v>
      </c>
    </row>
    <row r="38" spans="1:13">
      <c r="A38" s="31">
        <v>28</v>
      </c>
      <c r="B38" s="8">
        <v>28</v>
      </c>
      <c r="C38" s="26" t="s">
        <v>105</v>
      </c>
      <c r="E38" s="33">
        <v>7199527729</v>
      </c>
      <c r="F38" s="33">
        <v>0</v>
      </c>
      <c r="G38" s="33">
        <v>7199527729</v>
      </c>
      <c r="I38" s="33">
        <v>7725926756</v>
      </c>
      <c r="J38" s="33">
        <v>0</v>
      </c>
      <c r="K38" s="33">
        <v>7725926756</v>
      </c>
      <c r="M38" s="33">
        <v>-526399027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820398293</v>
      </c>
      <c r="F42" s="33">
        <v>0</v>
      </c>
      <c r="G42" s="33">
        <v>820398293</v>
      </c>
      <c r="I42" s="33">
        <v>885169843</v>
      </c>
      <c r="J42" s="33">
        <v>0</v>
      </c>
      <c r="K42" s="33">
        <v>885169843</v>
      </c>
      <c r="M42" s="33">
        <v>-64771550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57773049</v>
      </c>
      <c r="F44" s="33">
        <v>0</v>
      </c>
      <c r="G44" s="33">
        <v>57773049</v>
      </c>
      <c r="I44" s="33">
        <v>62671673</v>
      </c>
      <c r="J44" s="33">
        <v>0</v>
      </c>
      <c r="K44" s="33">
        <v>62671673</v>
      </c>
      <c r="M44" s="33">
        <v>-4898624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80087920</v>
      </c>
      <c r="F49" s="32">
        <v>0</v>
      </c>
      <c r="G49" s="32">
        <v>80087920</v>
      </c>
      <c r="I49" s="32">
        <v>74591720</v>
      </c>
      <c r="J49" s="32">
        <v>2303433</v>
      </c>
      <c r="K49" s="32">
        <v>76895153</v>
      </c>
      <c r="M49" s="32">
        <v>3192767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1339342495</v>
      </c>
      <c r="F53" s="30">
        <v>36596426</v>
      </c>
      <c r="G53" s="30">
        <v>1375938921</v>
      </c>
      <c r="I53" s="30">
        <v>275945664</v>
      </c>
      <c r="J53" s="30">
        <v>1100000000</v>
      </c>
      <c r="K53" s="30">
        <v>1375945664</v>
      </c>
      <c r="M53" s="30">
        <v>-6743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5842116</v>
      </c>
      <c r="G54" s="32">
        <v>5842116</v>
      </c>
      <c r="I54" s="32">
        <v>5842116</v>
      </c>
      <c r="J54" s="32">
        <v>0</v>
      </c>
      <c r="K54" s="32">
        <v>5842116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>
        <v>81704770</v>
      </c>
      <c r="F55" s="33">
        <v>11180379</v>
      </c>
      <c r="G55" s="33">
        <v>92885149</v>
      </c>
      <c r="I55" s="33">
        <v>92885149</v>
      </c>
      <c r="J55" s="33">
        <v>0</v>
      </c>
      <c r="K55" s="33">
        <v>92885149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115862531</v>
      </c>
      <c r="G56" s="32">
        <v>115862531</v>
      </c>
      <c r="I56" s="32">
        <v>115862531</v>
      </c>
      <c r="J56" s="32">
        <v>0</v>
      </c>
      <c r="K56" s="32">
        <v>115862531</v>
      </c>
      <c r="M56" s="32">
        <v>0</v>
      </c>
    </row>
    <row r="57" spans="1:13">
      <c r="A57" s="31"/>
      <c r="B57" s="8">
        <v>46</v>
      </c>
      <c r="C57" s="26" t="s">
        <v>124</v>
      </c>
      <c r="E57" s="33">
        <v>106872270</v>
      </c>
      <c r="F57" s="33">
        <v>-104182545</v>
      </c>
      <c r="G57" s="33">
        <v>2689725</v>
      </c>
      <c r="I57" s="33">
        <v>2689725</v>
      </c>
      <c r="J57" s="33">
        <v>0</v>
      </c>
      <c r="K57" s="33">
        <v>2689725</v>
      </c>
      <c r="M57" s="33">
        <v>0</v>
      </c>
    </row>
    <row r="58" spans="1:13">
      <c r="A58" s="31"/>
      <c r="B58" s="23">
        <v>47</v>
      </c>
      <c r="C58" s="24" t="s">
        <v>125</v>
      </c>
      <c r="E58" s="32">
        <v>50765455</v>
      </c>
      <c r="F58" s="32">
        <v>7165876</v>
      </c>
      <c r="G58" s="32">
        <v>57931331</v>
      </c>
      <c r="I58" s="32">
        <v>57931331</v>
      </c>
      <c r="J58" s="32">
        <v>0</v>
      </c>
      <c r="K58" s="32">
        <v>57931331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100888</v>
      </c>
      <c r="G59" s="33">
        <v>100888</v>
      </c>
      <c r="I59" s="33">
        <v>100888</v>
      </c>
      <c r="J59" s="33">
        <v>0</v>
      </c>
      <c r="K59" s="33">
        <v>100888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627181</v>
      </c>
      <c r="G61" s="33">
        <v>627181</v>
      </c>
      <c r="I61" s="33">
        <v>627181</v>
      </c>
      <c r="J61" s="33">
        <v>0</v>
      </c>
      <c r="K61" s="33">
        <v>627181</v>
      </c>
      <c r="M61" s="33">
        <v>0</v>
      </c>
    </row>
    <row r="62" spans="1:13">
      <c r="A62" s="31"/>
      <c r="B62" s="23">
        <v>51</v>
      </c>
      <c r="C62" s="24" t="s">
        <v>129</v>
      </c>
      <c r="E62" s="32">
        <v>1100000000</v>
      </c>
      <c r="F62" s="32">
        <v>0</v>
      </c>
      <c r="G62" s="32">
        <v>1100000000</v>
      </c>
      <c r="I62" s="32">
        <v>6743</v>
      </c>
      <c r="J62" s="32">
        <v>1100000000</v>
      </c>
      <c r="K62" s="32">
        <v>1100006743</v>
      </c>
      <c r="M62" s="32">
        <v>-6743</v>
      </c>
    </row>
    <row r="63" spans="1:13">
      <c r="A63" s="31">
        <v>0</v>
      </c>
      <c r="B63" s="28"/>
      <c r="C63" s="29" t="s">
        <v>130</v>
      </c>
      <c r="E63" s="30">
        <v>81900000</v>
      </c>
      <c r="F63" s="30">
        <v>0</v>
      </c>
      <c r="G63" s="30">
        <v>81900000</v>
      </c>
      <c r="I63" s="30">
        <v>0</v>
      </c>
      <c r="J63" s="30">
        <v>81900000</v>
      </c>
      <c r="K63" s="30">
        <v>81900000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>
        <v>81900000</v>
      </c>
      <c r="F66" s="33">
        <v>0</v>
      </c>
      <c r="G66" s="33">
        <v>81900000</v>
      </c>
      <c r="I66" s="33"/>
      <c r="J66" s="33">
        <v>81900000</v>
      </c>
      <c r="K66" s="33">
        <v>81900000</v>
      </c>
      <c r="M66" s="33">
        <v>0</v>
      </c>
    </row>
    <row r="67" spans="1:13">
      <c r="A67" s="31"/>
      <c r="B67" s="28"/>
      <c r="C67" s="29" t="s">
        <v>134</v>
      </c>
      <c r="E67" s="30">
        <v>28850000</v>
      </c>
      <c r="F67" s="30">
        <v>0</v>
      </c>
      <c r="G67" s="30">
        <v>28850000</v>
      </c>
      <c r="I67" s="30">
        <v>0</v>
      </c>
      <c r="J67" s="30">
        <v>28800000</v>
      </c>
      <c r="K67" s="30">
        <v>28800000</v>
      </c>
      <c r="M67" s="30">
        <v>50000</v>
      </c>
    </row>
    <row r="68" spans="1:13">
      <c r="A68" s="31"/>
      <c r="B68" s="23">
        <v>55</v>
      </c>
      <c r="C68" s="24" t="s">
        <v>135</v>
      </c>
      <c r="E68" s="32">
        <v>2300000</v>
      </c>
      <c r="F68" s="32">
        <v>0</v>
      </c>
      <c r="G68" s="32">
        <v>2300000</v>
      </c>
      <c r="I68" s="32"/>
      <c r="J68" s="32">
        <v>2300000</v>
      </c>
      <c r="K68" s="32">
        <v>2300000</v>
      </c>
      <c r="M68" s="32">
        <v>0</v>
      </c>
    </row>
    <row r="69" spans="1:13">
      <c r="A69" s="31"/>
      <c r="B69" s="8">
        <v>56</v>
      </c>
      <c r="C69" s="26" t="s">
        <v>136</v>
      </c>
      <c r="E69" s="33">
        <v>26550000</v>
      </c>
      <c r="F69" s="33">
        <v>0</v>
      </c>
      <c r="G69" s="33">
        <v>26550000</v>
      </c>
      <c r="I69" s="33"/>
      <c r="J69" s="33">
        <v>26500000</v>
      </c>
      <c r="K69" s="33">
        <v>26500000</v>
      </c>
      <c r="M69" s="33">
        <v>50000</v>
      </c>
    </row>
    <row r="70" spans="1:13">
      <c r="A70" s="31">
        <v>0</v>
      </c>
      <c r="B70" s="28"/>
      <c r="C70" s="29" t="s">
        <v>137</v>
      </c>
      <c r="E70" s="30">
        <v>79130378</v>
      </c>
      <c r="F70" s="30">
        <v>28391972</v>
      </c>
      <c r="G70" s="30">
        <v>107522350</v>
      </c>
      <c r="I70" s="30">
        <v>107502310</v>
      </c>
      <c r="J70" s="30">
        <v>0</v>
      </c>
      <c r="K70" s="30">
        <v>107502310</v>
      </c>
      <c r="M70" s="30">
        <v>20040</v>
      </c>
    </row>
    <row r="71" spans="1:13">
      <c r="A71" s="31">
        <v>57</v>
      </c>
      <c r="B71" s="23">
        <v>57</v>
      </c>
      <c r="C71" s="24" t="s">
        <v>138</v>
      </c>
      <c r="E71" s="32">
        <v>79130378</v>
      </c>
      <c r="F71" s="32">
        <v>28391972</v>
      </c>
      <c r="G71" s="32">
        <v>107522350</v>
      </c>
      <c r="I71" s="32">
        <v>107502310</v>
      </c>
      <c r="J71" s="32">
        <v>0</v>
      </c>
      <c r="K71" s="32">
        <v>107502310</v>
      </c>
      <c r="M71" s="32">
        <v>20040</v>
      </c>
    </row>
    <row r="72" spans="1:13">
      <c r="A72" s="31">
        <v>0</v>
      </c>
      <c r="B72" s="28"/>
      <c r="C72" s="29" t="s">
        <v>139</v>
      </c>
      <c r="E72" s="30">
        <v>666032437</v>
      </c>
      <c r="F72" s="30">
        <v>233205897</v>
      </c>
      <c r="G72" s="30">
        <v>899238334</v>
      </c>
      <c r="I72" s="30">
        <v>899238334</v>
      </c>
      <c r="J72" s="30">
        <v>0</v>
      </c>
      <c r="K72" s="30">
        <v>899238334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666032437</v>
      </c>
      <c r="F73" s="33">
        <v>233205897</v>
      </c>
      <c r="G73" s="33">
        <v>899238334</v>
      </c>
      <c r="I73" s="33">
        <v>899238334</v>
      </c>
      <c r="J73" s="33">
        <v>0</v>
      </c>
      <c r="K73" s="33">
        <v>899238334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124130765</v>
      </c>
      <c r="F78" s="30">
        <v>0</v>
      </c>
      <c r="G78" s="30">
        <v>124130765</v>
      </c>
      <c r="I78" s="30">
        <v>0</v>
      </c>
      <c r="J78" s="30">
        <v>0</v>
      </c>
      <c r="K78" s="30">
        <v>0</v>
      </c>
      <c r="M78" s="30">
        <v>124130765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F20C9EEB-250B-4B09-9F7B-0B652464B314}"/>
  </hyperlink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73D7-D72F-45F1-BD0B-D8A46841A55B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7.0898437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2.54296875" style="10" bestFit="1" customWidth="1"/>
    <col min="10" max="10" width="11.0898437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13</v>
      </c>
      <c r="F1" s="11" t="s">
        <v>151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454942652</v>
      </c>
      <c r="F8" s="22">
        <v>133939388</v>
      </c>
      <c r="G8" s="22">
        <v>588882040</v>
      </c>
      <c r="I8" s="22">
        <v>451039875</v>
      </c>
      <c r="J8" s="22">
        <v>-4947092</v>
      </c>
      <c r="K8" s="22">
        <v>446092783</v>
      </c>
      <c r="M8" s="22">
        <v>142789257</v>
      </c>
    </row>
    <row r="9" spans="1:13">
      <c r="B9" s="28"/>
      <c r="C9" s="29" t="s">
        <v>76</v>
      </c>
      <c r="E9" s="30">
        <v>0</v>
      </c>
      <c r="F9" s="30">
        <v>85932626</v>
      </c>
      <c r="G9" s="30">
        <v>85932626</v>
      </c>
      <c r="I9" s="30">
        <v>85995026</v>
      </c>
      <c r="J9" s="30">
        <v>0</v>
      </c>
      <c r="K9" s="30">
        <v>85995026</v>
      </c>
      <c r="M9" s="30">
        <v>-62400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62491626</v>
      </c>
      <c r="G10" s="32">
        <v>62491626</v>
      </c>
      <c r="I10" s="32">
        <v>62491626</v>
      </c>
      <c r="J10" s="32">
        <v>0</v>
      </c>
      <c r="K10" s="32">
        <v>62491626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23441000</v>
      </c>
      <c r="G12" s="32">
        <v>23441000</v>
      </c>
      <c r="I12" s="32">
        <v>23441000</v>
      </c>
      <c r="J12" s="32">
        <v>0</v>
      </c>
      <c r="K12" s="32">
        <v>23441000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>
        <v>62400</v>
      </c>
      <c r="J14" s="32">
        <v>0</v>
      </c>
      <c r="K14" s="32">
        <v>62400</v>
      </c>
      <c r="M14" s="32">
        <v>-62400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>
        <v>10</v>
      </c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454942652</v>
      </c>
      <c r="F36" s="30">
        <v>0</v>
      </c>
      <c r="G36" s="30">
        <v>454942652</v>
      </c>
      <c r="I36" s="30">
        <v>312090995</v>
      </c>
      <c r="J36" s="30">
        <v>0</v>
      </c>
      <c r="K36" s="30">
        <v>312090995</v>
      </c>
      <c r="M36" s="30">
        <v>142851657</v>
      </c>
    </row>
    <row r="37" spans="1:13">
      <c r="A37" s="31">
        <v>27</v>
      </c>
      <c r="B37" s="23">
        <v>27</v>
      </c>
      <c r="C37" s="24" t="s">
        <v>104</v>
      </c>
      <c r="E37" s="32">
        <v>48000106</v>
      </c>
      <c r="F37" s="32">
        <v>0</v>
      </c>
      <c r="G37" s="32">
        <v>48000106</v>
      </c>
      <c r="I37" s="32">
        <v>48000106</v>
      </c>
      <c r="J37" s="32">
        <v>0</v>
      </c>
      <c r="K37" s="32">
        <v>48000106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127118903</v>
      </c>
      <c r="F38" s="33">
        <v>0</v>
      </c>
      <c r="G38" s="33">
        <v>127118903</v>
      </c>
      <c r="I38" s="33">
        <v>127118903</v>
      </c>
      <c r="J38" s="33">
        <v>0</v>
      </c>
      <c r="K38" s="33">
        <v>127118903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270816904</v>
      </c>
      <c r="F40" s="33">
        <v>0</v>
      </c>
      <c r="G40" s="33">
        <v>270816904</v>
      </c>
      <c r="I40" s="33">
        <v>127965247</v>
      </c>
      <c r="J40" s="33">
        <v>0</v>
      </c>
      <c r="K40" s="33">
        <v>127965247</v>
      </c>
      <c r="M40" s="33">
        <v>142851657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9006739</v>
      </c>
      <c r="F44" s="33">
        <v>0</v>
      </c>
      <c r="G44" s="33">
        <v>9006739</v>
      </c>
      <c r="I44" s="33">
        <v>9006739</v>
      </c>
      <c r="J44" s="33">
        <v>0</v>
      </c>
      <c r="K44" s="33">
        <v>9006739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>
        <v>42</v>
      </c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1352475</v>
      </c>
      <c r="G63" s="30">
        <v>1352475</v>
      </c>
      <c r="I63" s="30">
        <v>1352475</v>
      </c>
      <c r="J63" s="30">
        <v>0</v>
      </c>
      <c r="K63" s="30">
        <v>1352475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1352475</v>
      </c>
      <c r="G64" s="33">
        <v>1352475</v>
      </c>
      <c r="I64" s="33">
        <v>1352475</v>
      </c>
      <c r="J64" s="33">
        <v>0</v>
      </c>
      <c r="K64" s="33">
        <v>1352475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6035734</v>
      </c>
      <c r="G70" s="30">
        <v>6035734</v>
      </c>
      <c r="I70" s="30">
        <v>10982826</v>
      </c>
      <c r="J70" s="30">
        <v>-4947092</v>
      </c>
      <c r="K70" s="30">
        <v>6035734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6035734</v>
      </c>
      <c r="G71" s="32">
        <v>6035734</v>
      </c>
      <c r="I71" s="32">
        <v>10982826</v>
      </c>
      <c r="J71" s="32">
        <v>-4947092</v>
      </c>
      <c r="K71" s="32">
        <v>6035734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40618553</v>
      </c>
      <c r="G72" s="30">
        <v>40618553</v>
      </c>
      <c r="I72" s="30">
        <v>40618553</v>
      </c>
      <c r="J72" s="30">
        <v>0</v>
      </c>
      <c r="K72" s="30">
        <v>40618553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40618553</v>
      </c>
      <c r="G73" s="33">
        <v>40618553</v>
      </c>
      <c r="I73" s="33">
        <v>40618553</v>
      </c>
      <c r="J73" s="33">
        <v>0</v>
      </c>
      <c r="K73" s="33">
        <v>40618553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EEFEADB7-2A27-4FBE-89EB-B757398C338A}"/>
  </hyperlink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6F8A-F19F-46E3-A0EE-3A0DDA7BA0CB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90625" style="10" bestFit="1" customWidth="1"/>
    <col min="6" max="6" width="11.08984375" style="8" bestFit="1" customWidth="1"/>
    <col min="7" max="7" width="14.90625" style="10" bestFit="1" customWidth="1"/>
    <col min="8" max="8" width="0.7265625" style="10" customWidth="1"/>
    <col min="9" max="9" width="14" style="10" bestFit="1" customWidth="1"/>
    <col min="10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15</v>
      </c>
      <c r="F1" s="11" t="s">
        <v>152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31717790603</v>
      </c>
      <c r="F8" s="22">
        <v>0</v>
      </c>
      <c r="G8" s="22">
        <v>31717790603</v>
      </c>
      <c r="I8" s="22">
        <v>5075221912</v>
      </c>
      <c r="J8" s="22">
        <v>26534050911</v>
      </c>
      <c r="K8" s="22">
        <v>31609272823</v>
      </c>
      <c r="M8" s="22">
        <v>108517780</v>
      </c>
    </row>
    <row r="9" spans="1:13">
      <c r="B9" s="28"/>
      <c r="C9" s="29" t="s">
        <v>76</v>
      </c>
      <c r="E9" s="30">
        <v>1300000000</v>
      </c>
      <c r="F9" s="30">
        <v>0</v>
      </c>
      <c r="G9" s="30">
        <v>1300000000</v>
      </c>
      <c r="I9" s="30">
        <v>0</v>
      </c>
      <c r="J9" s="30">
        <v>1300000000</v>
      </c>
      <c r="K9" s="30">
        <v>1300000000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1300000000</v>
      </c>
      <c r="F10" s="32">
        <v>0</v>
      </c>
      <c r="G10" s="32">
        <v>1300000000</v>
      </c>
      <c r="I10" s="32"/>
      <c r="J10" s="32">
        <v>1300000000</v>
      </c>
      <c r="K10" s="32">
        <v>1300000000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25199997325</v>
      </c>
      <c r="F25" s="30">
        <v>0</v>
      </c>
      <c r="G25" s="30">
        <v>25199997325</v>
      </c>
      <c r="I25" s="30">
        <v>0</v>
      </c>
      <c r="J25" s="30">
        <v>25199997325</v>
      </c>
      <c r="K25" s="30">
        <v>25199997325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>
        <v>25199997325</v>
      </c>
      <c r="F32" s="32">
        <v>0</v>
      </c>
      <c r="G32" s="32">
        <v>25199997325</v>
      </c>
      <c r="I32" s="32"/>
      <c r="J32" s="32">
        <v>25199997325</v>
      </c>
      <c r="K32" s="32">
        <v>25199997325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3759707183</v>
      </c>
      <c r="F36" s="30">
        <v>0</v>
      </c>
      <c r="G36" s="30">
        <v>3759707183</v>
      </c>
      <c r="I36" s="30">
        <v>3711071879</v>
      </c>
      <c r="J36" s="30">
        <v>34053586</v>
      </c>
      <c r="K36" s="30">
        <v>3745125465</v>
      </c>
      <c r="M36" s="30">
        <v>14581718</v>
      </c>
    </row>
    <row r="37" spans="1:13">
      <c r="A37" s="31">
        <v>27</v>
      </c>
      <c r="B37" s="23">
        <v>27</v>
      </c>
      <c r="C37" s="24" t="s">
        <v>104</v>
      </c>
      <c r="E37" s="32">
        <v>150574137</v>
      </c>
      <c r="F37" s="32">
        <v>0</v>
      </c>
      <c r="G37" s="32">
        <v>150574137</v>
      </c>
      <c r="I37" s="32">
        <v>150574137</v>
      </c>
      <c r="J37" s="32">
        <v>0</v>
      </c>
      <c r="K37" s="32">
        <v>150574137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3463294030</v>
      </c>
      <c r="F38" s="33">
        <v>0</v>
      </c>
      <c r="G38" s="33">
        <v>3463294030</v>
      </c>
      <c r="I38" s="33">
        <v>3481620904</v>
      </c>
      <c r="J38" s="33">
        <v>0</v>
      </c>
      <c r="K38" s="33">
        <v>3481620904</v>
      </c>
      <c r="M38" s="33">
        <v>-18326874</v>
      </c>
    </row>
    <row r="39" spans="1:13">
      <c r="A39" s="31">
        <v>29</v>
      </c>
      <c r="B39" s="23">
        <v>29</v>
      </c>
      <c r="C39" s="24" t="s">
        <v>106</v>
      </c>
      <c r="E39" s="32">
        <v>32908592</v>
      </c>
      <c r="F39" s="32">
        <v>0</v>
      </c>
      <c r="G39" s="32">
        <v>32908592</v>
      </c>
      <c r="I39" s="32"/>
      <c r="J39" s="32">
        <v>0</v>
      </c>
      <c r="K39" s="32">
        <v>0</v>
      </c>
      <c r="M39" s="32">
        <v>32908592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78876838</v>
      </c>
      <c r="F44" s="33">
        <v>0</v>
      </c>
      <c r="G44" s="33">
        <v>78876838</v>
      </c>
      <c r="I44" s="33">
        <v>78876838</v>
      </c>
      <c r="J44" s="33">
        <v>0</v>
      </c>
      <c r="K44" s="33">
        <v>78876838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>
        <v>34053586</v>
      </c>
      <c r="F48" s="33">
        <v>0</v>
      </c>
      <c r="G48" s="33">
        <v>34053586</v>
      </c>
      <c r="I48" s="33"/>
      <c r="J48" s="33">
        <v>34053586</v>
      </c>
      <c r="K48" s="33">
        <v>34053586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13500000</v>
      </c>
      <c r="F53" s="30">
        <v>0</v>
      </c>
      <c r="G53" s="30">
        <v>13500000</v>
      </c>
      <c r="I53" s="30">
        <v>61375</v>
      </c>
      <c r="J53" s="30">
        <v>0</v>
      </c>
      <c r="K53" s="30">
        <v>61375</v>
      </c>
      <c r="M53" s="30">
        <v>13438625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61375</v>
      </c>
      <c r="J56" s="32">
        <v>0</v>
      </c>
      <c r="K56" s="32">
        <v>61375</v>
      </c>
      <c r="M56" s="32">
        <v>-61375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>
        <v>13500000</v>
      </c>
      <c r="F62" s="32">
        <v>0</v>
      </c>
      <c r="G62" s="32">
        <v>13500000</v>
      </c>
      <c r="I62" s="32"/>
      <c r="J62" s="32">
        <v>0</v>
      </c>
      <c r="K62" s="32">
        <v>0</v>
      </c>
      <c r="M62" s="32">
        <v>13500000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402290773</v>
      </c>
      <c r="F70" s="30">
        <v>0</v>
      </c>
      <c r="G70" s="30">
        <v>402290773</v>
      </c>
      <c r="I70" s="30">
        <v>334407444</v>
      </c>
      <c r="J70" s="30">
        <v>0</v>
      </c>
      <c r="K70" s="30">
        <v>334407444</v>
      </c>
      <c r="M70" s="30">
        <v>67883329</v>
      </c>
    </row>
    <row r="71" spans="1:13">
      <c r="A71" s="31">
        <v>57</v>
      </c>
      <c r="B71" s="23">
        <v>57</v>
      </c>
      <c r="C71" s="24" t="s">
        <v>138</v>
      </c>
      <c r="E71" s="32">
        <v>402290773</v>
      </c>
      <c r="F71" s="32">
        <v>0</v>
      </c>
      <c r="G71" s="32">
        <v>402290773</v>
      </c>
      <c r="I71" s="32">
        <v>334407444</v>
      </c>
      <c r="J71" s="32">
        <v>0</v>
      </c>
      <c r="K71" s="32">
        <v>334407444</v>
      </c>
      <c r="M71" s="32">
        <v>67883329</v>
      </c>
    </row>
    <row r="72" spans="1:13">
      <c r="A72" s="31">
        <v>0</v>
      </c>
      <c r="B72" s="28"/>
      <c r="C72" s="29" t="s">
        <v>139</v>
      </c>
      <c r="E72" s="30">
        <v>1042295322</v>
      </c>
      <c r="F72" s="30">
        <v>0</v>
      </c>
      <c r="G72" s="30">
        <v>1042295322</v>
      </c>
      <c r="I72" s="30">
        <v>1029681214</v>
      </c>
      <c r="J72" s="30">
        <v>0</v>
      </c>
      <c r="K72" s="30">
        <v>1029681214</v>
      </c>
      <c r="M72" s="30">
        <v>12614108</v>
      </c>
    </row>
    <row r="73" spans="1:13">
      <c r="A73" s="31">
        <v>58</v>
      </c>
      <c r="B73" s="8">
        <v>58</v>
      </c>
      <c r="C73" s="26" t="s">
        <v>140</v>
      </c>
      <c r="E73" s="33">
        <v>1042295322</v>
      </c>
      <c r="F73" s="33">
        <v>0</v>
      </c>
      <c r="G73" s="33">
        <v>1042295322</v>
      </c>
      <c r="I73" s="33">
        <v>1029681214</v>
      </c>
      <c r="J73" s="33">
        <v>0</v>
      </c>
      <c r="K73" s="33">
        <v>1029681214</v>
      </c>
      <c r="M73" s="33">
        <v>12614108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F051DCA8-983D-49CE-AC46-0A3F4EA3B613}"/>
  </hyperlink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5C66-1D1E-4230-A2D4-A3A64640679C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5.81640625" style="10" bestFit="1" customWidth="1"/>
    <col min="6" max="6" width="14.90625" style="8" bestFit="1" customWidth="1"/>
    <col min="7" max="7" width="14.7265625" style="10" bestFit="1" customWidth="1"/>
    <col min="8" max="8" width="0.7265625" style="10" customWidth="1"/>
    <col min="9" max="9" width="14.7265625" style="10" bestFit="1" customWidth="1"/>
    <col min="10" max="10" width="11.08984375" style="10" bestFit="1" customWidth="1"/>
    <col min="11" max="11" width="14.7265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17</v>
      </c>
      <c r="F1" s="11" t="s">
        <v>153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49150647963</v>
      </c>
      <c r="F8" s="22">
        <v>-27988203142</v>
      </c>
      <c r="G8" s="22">
        <v>21162444821</v>
      </c>
      <c r="I8" s="22">
        <v>22033610637</v>
      </c>
      <c r="J8" s="22">
        <v>0</v>
      </c>
      <c r="K8" s="22">
        <v>22033610637</v>
      </c>
      <c r="M8" s="22">
        <v>-871165816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11662769542</v>
      </c>
      <c r="F36" s="30">
        <v>-11015950</v>
      </c>
      <c r="G36" s="30">
        <v>11651753592</v>
      </c>
      <c r="I36" s="30">
        <v>12485768900</v>
      </c>
      <c r="J36" s="30">
        <v>0</v>
      </c>
      <c r="K36" s="30">
        <v>12485768900</v>
      </c>
      <c r="M36" s="30">
        <v>-834015308</v>
      </c>
    </row>
    <row r="37" spans="1:13">
      <c r="A37" s="31">
        <v>27</v>
      </c>
      <c r="B37" s="23">
        <v>27</v>
      </c>
      <c r="C37" s="24" t="s">
        <v>104</v>
      </c>
      <c r="E37" s="32">
        <v>3875011671</v>
      </c>
      <c r="F37" s="32">
        <v>-10725664</v>
      </c>
      <c r="G37" s="32">
        <v>3864286007</v>
      </c>
      <c r="I37" s="32">
        <v>4698301315</v>
      </c>
      <c r="J37" s="32">
        <v>0</v>
      </c>
      <c r="K37" s="32">
        <v>4698301315</v>
      </c>
      <c r="M37" s="32">
        <v>-834015308</v>
      </c>
    </row>
    <row r="38" spans="1:13">
      <c r="A38" s="31">
        <v>28</v>
      </c>
      <c r="B38" s="8">
        <v>28</v>
      </c>
      <c r="C38" s="26" t="s">
        <v>105</v>
      </c>
      <c r="E38" s="33">
        <v>1209754908</v>
      </c>
      <c r="F38" s="33">
        <v>9090820</v>
      </c>
      <c r="G38" s="33">
        <v>1218845728</v>
      </c>
      <c r="I38" s="33">
        <v>1218845728</v>
      </c>
      <c r="J38" s="33">
        <v>0</v>
      </c>
      <c r="K38" s="33">
        <v>1218845728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88005659</v>
      </c>
      <c r="F42" s="33">
        <v>-9381106</v>
      </c>
      <c r="G42" s="33">
        <v>78624553</v>
      </c>
      <c r="I42" s="33">
        <v>78624553</v>
      </c>
      <c r="J42" s="33">
        <v>0</v>
      </c>
      <c r="K42" s="33">
        <v>78624553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3568844</v>
      </c>
      <c r="F44" s="33">
        <v>0</v>
      </c>
      <c r="G44" s="33">
        <v>3568844</v>
      </c>
      <c r="I44" s="33">
        <v>3568844</v>
      </c>
      <c r="J44" s="33">
        <v>0</v>
      </c>
      <c r="K44" s="33">
        <v>3568844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24831760</v>
      </c>
      <c r="F49" s="32">
        <v>0</v>
      </c>
      <c r="G49" s="32">
        <v>24831760</v>
      </c>
      <c r="I49" s="32">
        <v>24831760</v>
      </c>
      <c r="J49" s="32">
        <v>0</v>
      </c>
      <c r="K49" s="32">
        <v>24831760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>
        <v>3876958020</v>
      </c>
      <c r="F50" s="33">
        <v>0</v>
      </c>
      <c r="G50" s="33">
        <v>3876958020</v>
      </c>
      <c r="I50" s="33">
        <v>3876958020</v>
      </c>
      <c r="J50" s="33">
        <v>0</v>
      </c>
      <c r="K50" s="33">
        <v>3876958020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>
        <v>2584638680</v>
      </c>
      <c r="F52" s="33">
        <v>0</v>
      </c>
      <c r="G52" s="33">
        <v>2584638680</v>
      </c>
      <c r="I52" s="33">
        <v>2584638680</v>
      </c>
      <c r="J52" s="33">
        <v>0</v>
      </c>
      <c r="K52" s="33">
        <v>2584638680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37153165171</v>
      </c>
      <c r="F53" s="30">
        <v>-28057547203</v>
      </c>
      <c r="G53" s="30">
        <v>9095617968</v>
      </c>
      <c r="I53" s="30">
        <v>9095617968</v>
      </c>
      <c r="J53" s="30">
        <v>0</v>
      </c>
      <c r="K53" s="30">
        <v>9095617968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6039630134</v>
      </c>
      <c r="J54" s="32">
        <v>0</v>
      </c>
      <c r="K54" s="32">
        <v>6039630134</v>
      </c>
      <c r="M54" s="32">
        <v>-6039630134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248501213</v>
      </c>
      <c r="J55" s="33">
        <v>0</v>
      </c>
      <c r="K55" s="33">
        <v>248501213</v>
      </c>
      <c r="M55" s="33">
        <v>-248501213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310626507</v>
      </c>
      <c r="J56" s="32">
        <v>0</v>
      </c>
      <c r="K56" s="32">
        <v>310626507</v>
      </c>
      <c r="M56" s="32">
        <v>-310626507</v>
      </c>
    </row>
    <row r="57" spans="1:13">
      <c r="A57" s="31"/>
      <c r="B57" s="8">
        <v>46</v>
      </c>
      <c r="C57" s="26" t="s">
        <v>124</v>
      </c>
      <c r="E57" s="33">
        <v>37153165171</v>
      </c>
      <c r="F57" s="33">
        <v>-28057547203</v>
      </c>
      <c r="G57" s="33">
        <v>9095617968</v>
      </c>
      <c r="I57" s="33">
        <v>2220874093</v>
      </c>
      <c r="J57" s="33">
        <v>0</v>
      </c>
      <c r="K57" s="33">
        <v>2220874093</v>
      </c>
      <c r="M57" s="33">
        <v>6874743875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155313251</v>
      </c>
      <c r="J58" s="32">
        <v>0</v>
      </c>
      <c r="K58" s="32">
        <v>155313251</v>
      </c>
      <c r="M58" s="32">
        <v>-155313251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120181222</v>
      </c>
      <c r="J59" s="33">
        <v>0</v>
      </c>
      <c r="K59" s="33">
        <v>120181222</v>
      </c>
      <c r="M59" s="33">
        <v>-120181222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147496</v>
      </c>
      <c r="J60" s="32">
        <v>0</v>
      </c>
      <c r="K60" s="32">
        <v>147496</v>
      </c>
      <c r="M60" s="32">
        <v>-147496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344052</v>
      </c>
      <c r="J61" s="33">
        <v>0</v>
      </c>
      <c r="K61" s="33">
        <v>344052</v>
      </c>
      <c r="M61" s="33">
        <v>-344052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35902440</v>
      </c>
      <c r="F70" s="30">
        <v>8437932</v>
      </c>
      <c r="G70" s="30">
        <v>44340372</v>
      </c>
      <c r="I70" s="30">
        <v>47274913</v>
      </c>
      <c r="J70" s="30">
        <v>0</v>
      </c>
      <c r="K70" s="30">
        <v>47274913</v>
      </c>
      <c r="M70" s="30">
        <v>-2934541</v>
      </c>
    </row>
    <row r="71" spans="1:13">
      <c r="A71" s="31">
        <v>57</v>
      </c>
      <c r="B71" s="23">
        <v>57</v>
      </c>
      <c r="C71" s="24" t="s">
        <v>138</v>
      </c>
      <c r="E71" s="32">
        <v>35902440</v>
      </c>
      <c r="F71" s="32">
        <v>8437932</v>
      </c>
      <c r="G71" s="32">
        <v>44340372</v>
      </c>
      <c r="I71" s="32">
        <v>47274913</v>
      </c>
      <c r="J71" s="32">
        <v>0</v>
      </c>
      <c r="K71" s="32">
        <v>47274913</v>
      </c>
      <c r="M71" s="32">
        <v>-2934541</v>
      </c>
    </row>
    <row r="72" spans="1:13">
      <c r="A72" s="31">
        <v>0</v>
      </c>
      <c r="B72" s="28"/>
      <c r="C72" s="29" t="s">
        <v>139</v>
      </c>
      <c r="E72" s="30">
        <v>298810810</v>
      </c>
      <c r="F72" s="30">
        <v>71922079</v>
      </c>
      <c r="G72" s="30">
        <v>370732889</v>
      </c>
      <c r="I72" s="30">
        <v>394667236</v>
      </c>
      <c r="J72" s="30">
        <v>0</v>
      </c>
      <c r="K72" s="30">
        <v>394667236</v>
      </c>
      <c r="M72" s="30">
        <v>-23934347</v>
      </c>
    </row>
    <row r="73" spans="1:13">
      <c r="A73" s="31">
        <v>58</v>
      </c>
      <c r="B73" s="8">
        <v>58</v>
      </c>
      <c r="C73" s="26" t="s">
        <v>140</v>
      </c>
      <c r="E73" s="33">
        <v>298810810</v>
      </c>
      <c r="F73" s="33">
        <v>71922079</v>
      </c>
      <c r="G73" s="33">
        <v>370732889</v>
      </c>
      <c r="I73" s="33">
        <v>394667236</v>
      </c>
      <c r="J73" s="33">
        <v>0</v>
      </c>
      <c r="K73" s="33">
        <v>394667236</v>
      </c>
      <c r="M73" s="33">
        <v>-23934347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10281620</v>
      </c>
      <c r="J78" s="30">
        <v>0</v>
      </c>
      <c r="K78" s="30">
        <v>10281620</v>
      </c>
      <c r="M78" s="30">
        <v>-10281620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4A967751-2CDA-44DC-B9A0-06A3B0C51868}"/>
  </hyperlink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DF8A-0FAA-42E3-9916-A873DC352E9C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" style="10" bestFit="1" customWidth="1"/>
    <col min="6" max="6" width="11.6328125" style="8" bestFit="1" customWidth="1"/>
    <col min="7" max="7" width="14" style="10" bestFit="1" customWidth="1"/>
    <col min="8" max="8" width="0.7265625" style="10" customWidth="1"/>
    <col min="9" max="11" width="14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36" t="s">
        <v>60</v>
      </c>
      <c r="E1" s="36" t="s">
        <v>19</v>
      </c>
      <c r="F1" s="36" t="s">
        <v>154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14582445438</v>
      </c>
      <c r="F8" s="22">
        <v>8263479</v>
      </c>
      <c r="G8" s="22">
        <v>14590708917</v>
      </c>
      <c r="I8" s="22">
        <v>10095654875</v>
      </c>
      <c r="J8" s="22">
        <v>4485254001</v>
      </c>
      <c r="K8" s="22">
        <v>14580908876</v>
      </c>
      <c r="M8" s="22">
        <v>9800041</v>
      </c>
    </row>
    <row r="9" spans="1:13">
      <c r="B9" s="28"/>
      <c r="C9" s="29" t="s">
        <v>76</v>
      </c>
      <c r="E9" s="30">
        <v>7768536527</v>
      </c>
      <c r="F9" s="30">
        <v>0</v>
      </c>
      <c r="G9" s="30">
        <v>7768536527</v>
      </c>
      <c r="I9" s="30">
        <v>5372262526</v>
      </c>
      <c r="J9" s="30">
        <v>2396274001</v>
      </c>
      <c r="K9" s="30">
        <v>7768536527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7008278087</v>
      </c>
      <c r="F10" s="32">
        <v>0</v>
      </c>
      <c r="G10" s="32">
        <v>7008278087</v>
      </c>
      <c r="I10" s="32">
        <v>5372262526</v>
      </c>
      <c r="J10" s="32">
        <v>1636015561</v>
      </c>
      <c r="K10" s="32">
        <v>7008278087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760258440</v>
      </c>
      <c r="F11" s="33">
        <v>0</v>
      </c>
      <c r="G11" s="33">
        <v>760258440</v>
      </c>
      <c r="I11" s="33"/>
      <c r="J11" s="33">
        <v>760258440</v>
      </c>
      <c r="K11" s="33">
        <v>760258440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872000000</v>
      </c>
      <c r="F25" s="30">
        <v>0</v>
      </c>
      <c r="G25" s="30">
        <v>872000000</v>
      </c>
      <c r="I25" s="30">
        <v>0</v>
      </c>
      <c r="J25" s="30">
        <v>872000000</v>
      </c>
      <c r="K25" s="30">
        <v>872000000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>
        <v>872000000</v>
      </c>
      <c r="F32" s="32">
        <v>0</v>
      </c>
      <c r="G32" s="32">
        <v>872000000</v>
      </c>
      <c r="I32" s="32"/>
      <c r="J32" s="32">
        <v>872000000</v>
      </c>
      <c r="K32" s="32">
        <v>872000000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5489497080</v>
      </c>
      <c r="F36" s="30">
        <v>0</v>
      </c>
      <c r="G36" s="30">
        <v>5489497080</v>
      </c>
      <c r="I36" s="30">
        <v>4271633271</v>
      </c>
      <c r="J36" s="30">
        <v>1216980000</v>
      </c>
      <c r="K36" s="30">
        <v>5488613271</v>
      </c>
      <c r="M36" s="30">
        <v>883809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2855678236</v>
      </c>
      <c r="F38" s="33">
        <v>0</v>
      </c>
      <c r="G38" s="33">
        <v>2855678236</v>
      </c>
      <c r="I38" s="33">
        <v>2855678236</v>
      </c>
      <c r="J38" s="33">
        <v>0</v>
      </c>
      <c r="K38" s="33">
        <v>2855678236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2417260000</v>
      </c>
      <c r="F40" s="33">
        <v>0</v>
      </c>
      <c r="G40" s="33">
        <v>2417260000</v>
      </c>
      <c r="I40" s="33">
        <v>1200280000</v>
      </c>
      <c r="J40" s="33">
        <v>1216980000</v>
      </c>
      <c r="K40" s="33">
        <v>2417260000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207284341</v>
      </c>
      <c r="F42" s="33">
        <v>0</v>
      </c>
      <c r="G42" s="33">
        <v>207284341</v>
      </c>
      <c r="I42" s="33">
        <v>207284343</v>
      </c>
      <c r="J42" s="33">
        <v>0</v>
      </c>
      <c r="K42" s="33">
        <v>207284343</v>
      </c>
      <c r="M42" s="33">
        <v>-2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5898351</v>
      </c>
      <c r="F44" s="33">
        <v>0</v>
      </c>
      <c r="G44" s="33">
        <v>5898351</v>
      </c>
      <c r="I44" s="33">
        <v>5898351</v>
      </c>
      <c r="J44" s="33">
        <v>0</v>
      </c>
      <c r="K44" s="33">
        <v>5898351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3376152</v>
      </c>
      <c r="F49" s="32">
        <v>0</v>
      </c>
      <c r="G49" s="32">
        <v>3376152</v>
      </c>
      <c r="I49" s="32">
        <v>2492341</v>
      </c>
      <c r="J49" s="32">
        <v>0</v>
      </c>
      <c r="K49" s="32">
        <v>2492341</v>
      </c>
      <c r="M49" s="32">
        <v>883811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189113951</v>
      </c>
      <c r="F53" s="30">
        <v>0</v>
      </c>
      <c r="G53" s="30">
        <v>189113951</v>
      </c>
      <c r="I53" s="30">
        <v>179387867</v>
      </c>
      <c r="J53" s="30">
        <v>0</v>
      </c>
      <c r="K53" s="30">
        <v>179387867</v>
      </c>
      <c r="M53" s="30">
        <v>9726084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26926197</v>
      </c>
      <c r="J54" s="32">
        <v>0</v>
      </c>
      <c r="K54" s="32">
        <v>26926197</v>
      </c>
      <c r="M54" s="32">
        <v>-26926197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46802333</v>
      </c>
      <c r="J55" s="33">
        <v>0</v>
      </c>
      <c r="K55" s="33">
        <v>46802333</v>
      </c>
      <c r="M55" s="33">
        <v>-46802333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58501550</v>
      </c>
      <c r="J56" s="32">
        <v>0</v>
      </c>
      <c r="K56" s="32">
        <v>58501550</v>
      </c>
      <c r="M56" s="32">
        <v>-58501550</v>
      </c>
    </row>
    <row r="57" spans="1:13">
      <c r="A57" s="31"/>
      <c r="B57" s="8">
        <v>46</v>
      </c>
      <c r="C57" s="26" t="s">
        <v>124</v>
      </c>
      <c r="E57" s="33">
        <v>189113951</v>
      </c>
      <c r="F57" s="33">
        <v>0</v>
      </c>
      <c r="G57" s="33">
        <v>189113951</v>
      </c>
      <c r="I57" s="33">
        <v>14114945</v>
      </c>
      <c r="J57" s="33">
        <v>0</v>
      </c>
      <c r="K57" s="33">
        <v>14114945</v>
      </c>
      <c r="M57" s="33">
        <v>174999006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29242348</v>
      </c>
      <c r="J58" s="32">
        <v>0</v>
      </c>
      <c r="K58" s="32">
        <v>29242348</v>
      </c>
      <c r="M58" s="32">
        <v>-29242348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237106</v>
      </c>
      <c r="J59" s="33">
        <v>0</v>
      </c>
      <c r="K59" s="33">
        <v>237106</v>
      </c>
      <c r="M59" s="33">
        <v>-237106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124975</v>
      </c>
      <c r="J60" s="32">
        <v>0</v>
      </c>
      <c r="K60" s="32">
        <v>124975</v>
      </c>
      <c r="M60" s="32">
        <v>-124975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3131508</v>
      </c>
      <c r="J61" s="33">
        <v>0</v>
      </c>
      <c r="K61" s="33">
        <v>3131508</v>
      </c>
      <c r="M61" s="33">
        <v>-3131508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>
        <v>306905</v>
      </c>
      <c r="J62" s="32">
        <v>0</v>
      </c>
      <c r="K62" s="32">
        <v>306905</v>
      </c>
      <c r="M62" s="32">
        <v>-306905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33220204</v>
      </c>
      <c r="F70" s="30">
        <v>-8019280</v>
      </c>
      <c r="G70" s="30">
        <v>25200924</v>
      </c>
      <c r="I70" s="30">
        <v>25200924</v>
      </c>
      <c r="J70" s="30">
        <v>0</v>
      </c>
      <c r="K70" s="30">
        <v>25200924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33220204</v>
      </c>
      <c r="F71" s="32">
        <v>-8019280</v>
      </c>
      <c r="G71" s="32">
        <v>25200924</v>
      </c>
      <c r="I71" s="32">
        <v>25200924</v>
      </c>
      <c r="J71" s="32">
        <v>0</v>
      </c>
      <c r="K71" s="32">
        <v>25200924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230077676</v>
      </c>
      <c r="F72" s="30">
        <v>16282759</v>
      </c>
      <c r="G72" s="30">
        <v>246360435</v>
      </c>
      <c r="I72" s="30">
        <v>246360435</v>
      </c>
      <c r="J72" s="30">
        <v>0</v>
      </c>
      <c r="K72" s="30">
        <v>246360435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230077676</v>
      </c>
      <c r="F73" s="33">
        <v>16282759</v>
      </c>
      <c r="G73" s="33">
        <v>246360435</v>
      </c>
      <c r="I73" s="33">
        <v>246360435</v>
      </c>
      <c r="J73" s="33">
        <v>0</v>
      </c>
      <c r="K73" s="33">
        <v>246360435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809852</v>
      </c>
      <c r="J78" s="30">
        <v>0</v>
      </c>
      <c r="K78" s="30">
        <v>809852</v>
      </c>
      <c r="M78" s="30">
        <v>-809852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2E4853AA-6FB8-4224-A724-B21AB48C6508}"/>
  </hyperlink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67C1-9DA7-48A7-B74F-E788E1C9BE1F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6.36328125" style="10" bestFit="1" customWidth="1"/>
    <col min="6" max="6" width="14" style="8" bestFit="1" customWidth="1"/>
    <col min="7" max="7" width="14" style="10" bestFit="1" customWidth="1"/>
    <col min="8" max="8" width="0.7265625" style="10" customWidth="1"/>
    <col min="9" max="11" width="14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21</v>
      </c>
      <c r="F1" s="11" t="s">
        <v>155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2336105450</v>
      </c>
      <c r="F8" s="22">
        <v>3107138636</v>
      </c>
      <c r="G8" s="22">
        <v>5443244086</v>
      </c>
      <c r="I8" s="22">
        <v>4033487792</v>
      </c>
      <c r="J8" s="22">
        <v>1399994071</v>
      </c>
      <c r="K8" s="22">
        <v>5433481863</v>
      </c>
      <c r="M8" s="22">
        <v>9762223</v>
      </c>
    </row>
    <row r="9" spans="1:13">
      <c r="B9" s="28"/>
      <c r="C9" s="29" t="s">
        <v>76</v>
      </c>
      <c r="E9" s="30">
        <v>1385313191</v>
      </c>
      <c r="F9" s="30">
        <v>0</v>
      </c>
      <c r="G9" s="30">
        <v>1385313191</v>
      </c>
      <c r="I9" s="30">
        <v>0</v>
      </c>
      <c r="J9" s="30">
        <v>1385313191</v>
      </c>
      <c r="K9" s="30">
        <v>1385313191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1385313191</v>
      </c>
      <c r="F10" s="32">
        <v>0</v>
      </c>
      <c r="G10" s="32">
        <v>1385313191</v>
      </c>
      <c r="I10" s="32"/>
      <c r="J10" s="32">
        <v>1385313191</v>
      </c>
      <c r="K10" s="32">
        <v>1385313191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795253877</v>
      </c>
      <c r="F36" s="30">
        <v>2039745000</v>
      </c>
      <c r="G36" s="30">
        <v>2834998877</v>
      </c>
      <c r="I36" s="30">
        <v>2821376112</v>
      </c>
      <c r="J36" s="30">
        <v>2285715</v>
      </c>
      <c r="K36" s="30">
        <v>2823661827</v>
      </c>
      <c r="M36" s="30">
        <v>11337050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81239540</v>
      </c>
      <c r="G37" s="32">
        <v>81239540</v>
      </c>
      <c r="I37" s="32">
        <v>81239635</v>
      </c>
      <c r="J37" s="32">
        <v>0</v>
      </c>
      <c r="K37" s="32">
        <v>81239635</v>
      </c>
      <c r="M37" s="32">
        <v>-95</v>
      </c>
    </row>
    <row r="38" spans="1:13">
      <c r="A38" s="31">
        <v>28</v>
      </c>
      <c r="B38" s="8">
        <v>28</v>
      </c>
      <c r="C38" s="26" t="s">
        <v>105</v>
      </c>
      <c r="E38" s="33">
        <v>603107679</v>
      </c>
      <c r="F38" s="33">
        <v>-3394851</v>
      </c>
      <c r="G38" s="33">
        <v>599712828</v>
      </c>
      <c r="I38" s="33">
        <v>599469408</v>
      </c>
      <c r="J38" s="33">
        <v>0</v>
      </c>
      <c r="K38" s="33">
        <v>599469408</v>
      </c>
      <c r="M38" s="33">
        <v>243420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2039745000</v>
      </c>
      <c r="G40" s="33">
        <v>2039745000</v>
      </c>
      <c r="I40" s="33">
        <v>2039745000</v>
      </c>
      <c r="J40" s="33">
        <v>0</v>
      </c>
      <c r="K40" s="33">
        <v>2039745000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69379868</v>
      </c>
      <c r="F42" s="33">
        <v>0</v>
      </c>
      <c r="G42" s="33">
        <v>69379868</v>
      </c>
      <c r="I42" s="33">
        <v>69379868</v>
      </c>
      <c r="J42" s="33">
        <v>0</v>
      </c>
      <c r="K42" s="33">
        <v>69379868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81239540</v>
      </c>
      <c r="F44" s="33">
        <v>-77844689</v>
      </c>
      <c r="G44" s="33">
        <v>3394851</v>
      </c>
      <c r="I44" s="33">
        <v>3638271</v>
      </c>
      <c r="J44" s="33">
        <v>0</v>
      </c>
      <c r="K44" s="33">
        <v>3638271</v>
      </c>
      <c r="M44" s="33">
        <v>-243420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41526790</v>
      </c>
      <c r="F49" s="32">
        <v>0</v>
      </c>
      <c r="G49" s="32">
        <v>41526790</v>
      </c>
      <c r="I49" s="32">
        <v>27903930</v>
      </c>
      <c r="J49" s="32">
        <v>2285715</v>
      </c>
      <c r="K49" s="32">
        <v>30189645</v>
      </c>
      <c r="M49" s="32">
        <v>11337145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1067393636</v>
      </c>
      <c r="G53" s="30">
        <v>1067393636</v>
      </c>
      <c r="I53" s="30">
        <v>1067393636</v>
      </c>
      <c r="J53" s="30">
        <v>0</v>
      </c>
      <c r="K53" s="30">
        <v>1067393636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599546347</v>
      </c>
      <c r="G54" s="32">
        <v>599546347</v>
      </c>
      <c r="I54" s="32">
        <v>599546347</v>
      </c>
      <c r="J54" s="32">
        <v>0</v>
      </c>
      <c r="K54" s="32">
        <v>599546347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24504537</v>
      </c>
      <c r="G55" s="33">
        <v>24504537</v>
      </c>
      <c r="I55" s="33">
        <v>24504537</v>
      </c>
      <c r="J55" s="33">
        <v>0</v>
      </c>
      <c r="K55" s="33">
        <v>24504537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30630672</v>
      </c>
      <c r="G56" s="32">
        <v>30630672</v>
      </c>
      <c r="I56" s="32">
        <v>30630672</v>
      </c>
      <c r="J56" s="32">
        <v>0</v>
      </c>
      <c r="K56" s="32">
        <v>30630672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240063080</v>
      </c>
      <c r="G57" s="33">
        <v>240063080</v>
      </c>
      <c r="I57" s="33">
        <v>240063080</v>
      </c>
      <c r="J57" s="33">
        <v>0</v>
      </c>
      <c r="K57" s="33">
        <v>240063080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15315333</v>
      </c>
      <c r="G58" s="32">
        <v>15315333</v>
      </c>
      <c r="I58" s="32">
        <v>15315333</v>
      </c>
      <c r="J58" s="32">
        <v>0</v>
      </c>
      <c r="K58" s="32">
        <v>15315333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2167662</v>
      </c>
      <c r="G59" s="33">
        <v>2167662</v>
      </c>
      <c r="I59" s="33">
        <v>2167662</v>
      </c>
      <c r="J59" s="33">
        <v>0</v>
      </c>
      <c r="K59" s="33">
        <v>2167662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54323000</v>
      </c>
      <c r="G60" s="32">
        <v>54323000</v>
      </c>
      <c r="I60" s="32">
        <v>54323000</v>
      </c>
      <c r="J60" s="32">
        <v>0</v>
      </c>
      <c r="K60" s="32">
        <v>54323000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4531500</v>
      </c>
      <c r="G61" s="33">
        <v>4531500</v>
      </c>
      <c r="I61" s="33">
        <v>4531500</v>
      </c>
      <c r="J61" s="33">
        <v>0</v>
      </c>
      <c r="K61" s="33">
        <v>4531500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96311505</v>
      </c>
      <c r="G62" s="32">
        <v>96311505</v>
      </c>
      <c r="I62" s="32">
        <v>96311505</v>
      </c>
      <c r="J62" s="32">
        <v>0</v>
      </c>
      <c r="K62" s="32">
        <v>96311505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36418595</v>
      </c>
      <c r="F70" s="30">
        <v>0</v>
      </c>
      <c r="G70" s="30">
        <v>36418595</v>
      </c>
      <c r="I70" s="30">
        <v>34102117</v>
      </c>
      <c r="J70" s="30">
        <v>2316839</v>
      </c>
      <c r="K70" s="30">
        <v>36418956</v>
      </c>
      <c r="M70" s="30">
        <v>-361</v>
      </c>
    </row>
    <row r="71" spans="1:13">
      <c r="A71" s="31">
        <v>57</v>
      </c>
      <c r="B71" s="23">
        <v>57</v>
      </c>
      <c r="C71" s="24" t="s">
        <v>138</v>
      </c>
      <c r="E71" s="32">
        <v>36418595</v>
      </c>
      <c r="F71" s="32">
        <v>0</v>
      </c>
      <c r="G71" s="32">
        <v>36418595</v>
      </c>
      <c r="I71" s="32">
        <v>34102117</v>
      </c>
      <c r="J71" s="32">
        <v>2316839</v>
      </c>
      <c r="K71" s="32">
        <v>36418956</v>
      </c>
      <c r="M71" s="32">
        <v>-361</v>
      </c>
    </row>
    <row r="72" spans="1:13">
      <c r="A72" s="31">
        <v>0</v>
      </c>
      <c r="B72" s="28"/>
      <c r="C72" s="29" t="s">
        <v>139</v>
      </c>
      <c r="E72" s="30">
        <v>119119787</v>
      </c>
      <c r="F72" s="30">
        <v>0</v>
      </c>
      <c r="G72" s="30">
        <v>119119787</v>
      </c>
      <c r="I72" s="30">
        <v>109041460</v>
      </c>
      <c r="J72" s="30">
        <v>10078326</v>
      </c>
      <c r="K72" s="30">
        <v>119119786</v>
      </c>
      <c r="M72" s="30">
        <v>1</v>
      </c>
    </row>
    <row r="73" spans="1:13">
      <c r="A73" s="31">
        <v>58</v>
      </c>
      <c r="B73" s="8">
        <v>58</v>
      </c>
      <c r="C73" s="26" t="s">
        <v>140</v>
      </c>
      <c r="E73" s="33">
        <v>119119787</v>
      </c>
      <c r="F73" s="33">
        <v>0</v>
      </c>
      <c r="G73" s="33">
        <v>119119787</v>
      </c>
      <c r="I73" s="33">
        <v>109041460</v>
      </c>
      <c r="J73" s="33">
        <v>10078326</v>
      </c>
      <c r="K73" s="33">
        <v>119119786</v>
      </c>
      <c r="M73" s="33">
        <v>1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1574467</v>
      </c>
      <c r="J78" s="30">
        <v>0</v>
      </c>
      <c r="K78" s="30">
        <v>1574467</v>
      </c>
      <c r="M78" s="30">
        <v>-1574467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715C5FDF-2A65-48A3-9E95-01BE575B4A79}"/>
  </hyperlink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370E-4133-426B-92FE-5AC86FB3E00E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6" style="10" bestFit="1" customWidth="1"/>
    <col min="6" max="6" width="11.08984375" style="8" bestFit="1" customWidth="1"/>
    <col min="7" max="7" width="6" style="10" bestFit="1" customWidth="1"/>
    <col min="8" max="8" width="0.7265625" style="10" customWidth="1"/>
    <col min="9" max="9" width="10.36328125" style="10" bestFit="1" customWidth="1"/>
    <col min="10" max="10" width="11.08984375" style="10" bestFit="1" customWidth="1"/>
    <col min="11" max="11" width="10.363281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23</v>
      </c>
      <c r="F1" s="11">
        <v>2444686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0</v>
      </c>
      <c r="F8" s="22">
        <v>0</v>
      </c>
      <c r="G8" s="22">
        <v>0</v>
      </c>
      <c r="I8" s="22">
        <v>1070319</v>
      </c>
      <c r="J8" s="22">
        <v>0</v>
      </c>
      <c r="K8" s="22">
        <v>1070319</v>
      </c>
      <c r="M8" s="22">
        <v>-1070319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0</v>
      </c>
      <c r="F36" s="30">
        <v>0</v>
      </c>
      <c r="G36" s="30">
        <v>0</v>
      </c>
      <c r="I36" s="30">
        <v>0</v>
      </c>
      <c r="J36" s="30">
        <v>0</v>
      </c>
      <c r="K36" s="30">
        <v>0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0</v>
      </c>
      <c r="G38" s="33">
        <v>0</v>
      </c>
      <c r="I38" s="33"/>
      <c r="J38" s="33">
        <v>0</v>
      </c>
      <c r="K38" s="33">
        <v>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1070319</v>
      </c>
      <c r="J53" s="30">
        <v>0</v>
      </c>
      <c r="K53" s="30">
        <v>1070319</v>
      </c>
      <c r="M53" s="30">
        <v>-1070319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372285</v>
      </c>
      <c r="J55" s="33">
        <v>0</v>
      </c>
      <c r="K55" s="33">
        <v>372285</v>
      </c>
      <c r="M55" s="33">
        <v>-372285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465357</v>
      </c>
      <c r="J56" s="32">
        <v>0</v>
      </c>
      <c r="K56" s="32">
        <v>465357</v>
      </c>
      <c r="M56" s="32">
        <v>-465357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232677</v>
      </c>
      <c r="J58" s="32">
        <v>0</v>
      </c>
      <c r="K58" s="32">
        <v>232677</v>
      </c>
      <c r="M58" s="32">
        <v>-232677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0</v>
      </c>
      <c r="J72" s="30">
        <v>0</v>
      </c>
      <c r="K72" s="30">
        <v>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/>
      <c r="J73" s="33">
        <v>0</v>
      </c>
      <c r="K73" s="33">
        <v>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8906E33D-06E6-4638-AE72-74E99ACC7D96}"/>
  </hyperlink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DFC9-A6DB-4DAF-BAD9-983A476588F1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2.5429687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1.6328125" style="10" bestFit="1" customWidth="1"/>
    <col min="10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14.5">
      <c r="A1" s="7" t="s">
        <v>0</v>
      </c>
      <c r="C1" s="9" t="s">
        <v>60</v>
      </c>
      <c r="E1" s="11" t="s">
        <v>25</v>
      </c>
      <c r="F1" s="11">
        <v>7768007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1001104590</v>
      </c>
      <c r="F8" s="22">
        <v>-66389207</v>
      </c>
      <c r="G8" s="22">
        <v>934715383</v>
      </c>
      <c r="I8" s="22">
        <v>54226540</v>
      </c>
      <c r="J8" s="22">
        <v>877291091</v>
      </c>
      <c r="K8" s="22">
        <v>931517631</v>
      </c>
      <c r="M8" s="22">
        <v>3197752</v>
      </c>
    </row>
    <row r="9" spans="1:13">
      <c r="B9" s="28"/>
      <c r="C9" s="29" t="s">
        <v>76</v>
      </c>
      <c r="E9" s="30">
        <v>42984648</v>
      </c>
      <c r="F9" s="30">
        <v>0</v>
      </c>
      <c r="G9" s="30">
        <v>42984648</v>
      </c>
      <c r="I9" s="30">
        <v>0</v>
      </c>
      <c r="J9" s="30">
        <v>42984648</v>
      </c>
      <c r="K9" s="30">
        <v>42984648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5984648</v>
      </c>
      <c r="F11" s="33">
        <v>0</v>
      </c>
      <c r="G11" s="33">
        <v>5984648</v>
      </c>
      <c r="I11" s="33"/>
      <c r="J11" s="33">
        <v>5984648</v>
      </c>
      <c r="K11" s="33">
        <v>5984648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37000000</v>
      </c>
      <c r="F14" s="32">
        <v>0</v>
      </c>
      <c r="G14" s="32">
        <v>37000000</v>
      </c>
      <c r="I14" s="32"/>
      <c r="J14" s="32">
        <v>37000000</v>
      </c>
      <c r="K14" s="32">
        <v>37000000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754789236</v>
      </c>
      <c r="F36" s="30">
        <v>0</v>
      </c>
      <c r="G36" s="30">
        <v>754789236</v>
      </c>
      <c r="I36" s="30">
        <v>0</v>
      </c>
      <c r="J36" s="30">
        <v>754789236</v>
      </c>
      <c r="K36" s="30">
        <v>754789236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422210221</v>
      </c>
      <c r="F38" s="33">
        <v>0</v>
      </c>
      <c r="G38" s="33">
        <v>422210221</v>
      </c>
      <c r="I38" s="33"/>
      <c r="J38" s="33">
        <v>422210221</v>
      </c>
      <c r="K38" s="33">
        <v>422210221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151434135</v>
      </c>
      <c r="F42" s="33">
        <v>0</v>
      </c>
      <c r="G42" s="33">
        <v>151434135</v>
      </c>
      <c r="I42" s="33"/>
      <c r="J42" s="33">
        <v>151434135</v>
      </c>
      <c r="K42" s="33">
        <v>151434135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6798220</v>
      </c>
      <c r="F44" s="33">
        <v>0</v>
      </c>
      <c r="G44" s="33">
        <v>6798220</v>
      </c>
      <c r="I44" s="33"/>
      <c r="J44" s="33">
        <v>6798220</v>
      </c>
      <c r="K44" s="33">
        <v>6798220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174346660</v>
      </c>
      <c r="F49" s="32">
        <v>0</v>
      </c>
      <c r="G49" s="32">
        <v>174346660</v>
      </c>
      <c r="I49" s="32"/>
      <c r="J49" s="32">
        <v>174346660</v>
      </c>
      <c r="K49" s="32">
        <v>174346660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37152</v>
      </c>
      <c r="F53" s="30">
        <v>0</v>
      </c>
      <c r="G53" s="30">
        <v>37152</v>
      </c>
      <c r="I53" s="30">
        <v>0</v>
      </c>
      <c r="J53" s="30">
        <v>0</v>
      </c>
      <c r="K53" s="30">
        <v>0</v>
      </c>
      <c r="M53" s="30">
        <v>37152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>
        <v>37152</v>
      </c>
      <c r="F57" s="33">
        <v>0</v>
      </c>
      <c r="G57" s="33">
        <v>37152</v>
      </c>
      <c r="I57" s="33"/>
      <c r="J57" s="33">
        <v>0</v>
      </c>
      <c r="K57" s="33">
        <v>0</v>
      </c>
      <c r="M57" s="33">
        <v>37152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152778414</v>
      </c>
      <c r="F63" s="30">
        <v>-76389207</v>
      </c>
      <c r="G63" s="30">
        <v>76389207</v>
      </c>
      <c r="I63" s="30">
        <v>0</v>
      </c>
      <c r="J63" s="30">
        <v>76389207</v>
      </c>
      <c r="K63" s="30">
        <v>76389207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>
        <v>152778414</v>
      </c>
      <c r="F66" s="33">
        <v>-76389207</v>
      </c>
      <c r="G66" s="33">
        <v>76389207</v>
      </c>
      <c r="I66" s="33"/>
      <c r="J66" s="33">
        <v>76389207</v>
      </c>
      <c r="K66" s="33">
        <v>76389207</v>
      </c>
      <c r="M66" s="33">
        <v>0</v>
      </c>
    </row>
    <row r="67" spans="1:13">
      <c r="A67" s="31"/>
      <c r="B67" s="28"/>
      <c r="C67" s="29" t="s">
        <v>134</v>
      </c>
      <c r="E67" s="30">
        <v>3128000</v>
      </c>
      <c r="F67" s="30">
        <v>10000000</v>
      </c>
      <c r="G67" s="30">
        <v>13128000</v>
      </c>
      <c r="I67" s="30">
        <v>10000000</v>
      </c>
      <c r="J67" s="30">
        <v>3128000</v>
      </c>
      <c r="K67" s="30">
        <v>13128000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>
        <v>3128000</v>
      </c>
      <c r="F69" s="33">
        <v>10000000</v>
      </c>
      <c r="G69" s="33">
        <v>13128000</v>
      </c>
      <c r="I69" s="33">
        <v>10000000</v>
      </c>
      <c r="J69" s="33">
        <v>3128000</v>
      </c>
      <c r="K69" s="33">
        <v>13128000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4535733</v>
      </c>
      <c r="F70" s="30">
        <v>0</v>
      </c>
      <c r="G70" s="30">
        <v>4535733</v>
      </c>
      <c r="I70" s="30">
        <v>4535733</v>
      </c>
      <c r="J70" s="30">
        <v>0</v>
      </c>
      <c r="K70" s="30">
        <v>4535733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4535733</v>
      </c>
      <c r="F71" s="32">
        <v>0</v>
      </c>
      <c r="G71" s="32">
        <v>4535733</v>
      </c>
      <c r="I71" s="32">
        <v>4535733</v>
      </c>
      <c r="J71" s="32">
        <v>0</v>
      </c>
      <c r="K71" s="32">
        <v>4535733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39690807</v>
      </c>
      <c r="F72" s="30">
        <v>0</v>
      </c>
      <c r="G72" s="30">
        <v>39690807</v>
      </c>
      <c r="I72" s="30">
        <v>39690807</v>
      </c>
      <c r="J72" s="30">
        <v>0</v>
      </c>
      <c r="K72" s="30">
        <v>39690807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39690807</v>
      </c>
      <c r="F73" s="33">
        <v>0</v>
      </c>
      <c r="G73" s="33">
        <v>39690807</v>
      </c>
      <c r="I73" s="33">
        <v>39690807</v>
      </c>
      <c r="J73" s="33">
        <v>0</v>
      </c>
      <c r="K73" s="33">
        <v>39690807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3160600</v>
      </c>
      <c r="F78" s="30">
        <v>0</v>
      </c>
      <c r="G78" s="30">
        <v>3160600</v>
      </c>
      <c r="I78" s="30">
        <v>0</v>
      </c>
      <c r="J78" s="30">
        <v>0</v>
      </c>
      <c r="K78" s="30">
        <v>0</v>
      </c>
      <c r="M78" s="30">
        <v>3160600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16BB8CDA-2E59-425D-B87E-BDE0636403BA}"/>
  </hyperlink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EEF4-12B5-4A72-BA0A-9E324C32272F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1.453125" style="10" bestFit="1" customWidth="1"/>
    <col min="6" max="6" width="11.08984375" style="8" bestFit="1" customWidth="1"/>
    <col min="7" max="7" width="11.453125" style="10" bestFit="1" customWidth="1"/>
    <col min="8" max="8" width="0.7265625" style="10" customWidth="1"/>
    <col min="9" max="9" width="9.453125" style="10" bestFit="1" customWidth="1"/>
    <col min="10" max="10" width="11.08984375" style="10" bestFit="1" customWidth="1"/>
    <col min="11" max="11" width="9.4531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14.5">
      <c r="A1" s="7" t="s">
        <v>0</v>
      </c>
      <c r="C1" s="9" t="s">
        <v>60</v>
      </c>
      <c r="E1" s="11" t="s">
        <v>27</v>
      </c>
      <c r="F1" s="11" t="s">
        <v>156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18336968</v>
      </c>
      <c r="F8" s="22">
        <v>0</v>
      </c>
      <c r="G8" s="22">
        <v>18336968</v>
      </c>
      <c r="I8" s="22">
        <v>263580</v>
      </c>
      <c r="J8" s="22">
        <v>0</v>
      </c>
      <c r="K8" s="22">
        <v>263580</v>
      </c>
      <c r="M8" s="22">
        <v>18073388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18336968</v>
      </c>
      <c r="F36" s="30">
        <v>0</v>
      </c>
      <c r="G36" s="30">
        <v>18336968</v>
      </c>
      <c r="I36" s="30">
        <v>0</v>
      </c>
      <c r="J36" s="30">
        <v>0</v>
      </c>
      <c r="K36" s="30">
        <v>0</v>
      </c>
      <c r="M36" s="30">
        <v>18336968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0</v>
      </c>
      <c r="G38" s="33">
        <v>0</v>
      </c>
      <c r="I38" s="33"/>
      <c r="J38" s="33">
        <v>0</v>
      </c>
      <c r="K38" s="33">
        <v>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2624832</v>
      </c>
      <c r="F40" s="33">
        <v>0</v>
      </c>
      <c r="G40" s="33">
        <v>2624832</v>
      </c>
      <c r="I40" s="33"/>
      <c r="J40" s="33">
        <v>0</v>
      </c>
      <c r="K40" s="33">
        <v>0</v>
      </c>
      <c r="M40" s="33">
        <v>2624832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5843269</v>
      </c>
      <c r="F42" s="33">
        <v>-983937</v>
      </c>
      <c r="G42" s="33">
        <v>4859332</v>
      </c>
      <c r="I42" s="33"/>
      <c r="J42" s="33">
        <v>0</v>
      </c>
      <c r="K42" s="33">
        <v>0</v>
      </c>
      <c r="M42" s="33">
        <v>4859332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4168687</v>
      </c>
      <c r="F44" s="33">
        <v>983937</v>
      </c>
      <c r="G44" s="33">
        <v>5152624</v>
      </c>
      <c r="I44" s="33"/>
      <c r="J44" s="33">
        <v>0</v>
      </c>
      <c r="K44" s="33">
        <v>0</v>
      </c>
      <c r="M44" s="33">
        <v>5152624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5700180</v>
      </c>
      <c r="F49" s="32">
        <v>0</v>
      </c>
      <c r="G49" s="32">
        <v>5700180</v>
      </c>
      <c r="I49" s="32"/>
      <c r="J49" s="32">
        <v>0</v>
      </c>
      <c r="K49" s="32">
        <v>0</v>
      </c>
      <c r="M49" s="32">
        <v>5700180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263580</v>
      </c>
      <c r="J53" s="30">
        <v>0</v>
      </c>
      <c r="K53" s="30">
        <v>263580</v>
      </c>
      <c r="M53" s="30">
        <v>-263580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91680</v>
      </c>
      <c r="J55" s="33">
        <v>0</v>
      </c>
      <c r="K55" s="33">
        <v>91680</v>
      </c>
      <c r="M55" s="33">
        <v>-91680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114600</v>
      </c>
      <c r="J56" s="32">
        <v>0</v>
      </c>
      <c r="K56" s="32">
        <v>114600</v>
      </c>
      <c r="M56" s="32">
        <v>-114600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57300</v>
      </c>
      <c r="J58" s="32">
        <v>0</v>
      </c>
      <c r="K58" s="32">
        <v>57300</v>
      </c>
      <c r="M58" s="32">
        <v>-57300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0</v>
      </c>
      <c r="J72" s="30">
        <v>0</v>
      </c>
      <c r="K72" s="30">
        <v>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/>
      <c r="J73" s="33">
        <v>0</v>
      </c>
      <c r="K73" s="33">
        <v>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7092CD98-BD41-4B96-968A-50BAF8D5DA1B}"/>
  </hyperlink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E760-D9EA-47B6-9461-1F4169D92F21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6.1796875" style="10" bestFit="1" customWidth="1"/>
    <col min="6" max="6" width="11.08984375" style="8" bestFit="1" customWidth="1"/>
    <col min="7" max="7" width="12.54296875" style="10" bestFit="1" customWidth="1"/>
    <col min="8" max="8" width="0.7265625" style="10" customWidth="1"/>
    <col min="9" max="9" width="11.6328125" style="10" bestFit="1" customWidth="1"/>
    <col min="10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29</v>
      </c>
      <c r="F1" s="11">
        <v>4408622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178772830</v>
      </c>
      <c r="F8" s="22">
        <v>-6388795</v>
      </c>
      <c r="G8" s="22">
        <v>172384035</v>
      </c>
      <c r="I8" s="22">
        <v>30992090</v>
      </c>
      <c r="J8" s="22">
        <v>141391945</v>
      </c>
      <c r="K8" s="22">
        <v>172384035</v>
      </c>
      <c r="M8" s="22">
        <v>0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18632000</v>
      </c>
      <c r="J9" s="30">
        <v>-18632000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>
        <v>18632000</v>
      </c>
      <c r="J14" s="32">
        <v>-18632000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130483795</v>
      </c>
      <c r="F36" s="30">
        <v>0</v>
      </c>
      <c r="G36" s="30">
        <v>130483795</v>
      </c>
      <c r="I36" s="30">
        <v>0</v>
      </c>
      <c r="J36" s="30">
        <v>130483795</v>
      </c>
      <c r="K36" s="30">
        <v>130483795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128063701</v>
      </c>
      <c r="F38" s="33">
        <v>0</v>
      </c>
      <c r="G38" s="33">
        <v>128063701</v>
      </c>
      <c r="I38" s="33"/>
      <c r="J38" s="33">
        <v>128063701</v>
      </c>
      <c r="K38" s="33">
        <v>128063701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1277238</v>
      </c>
      <c r="F44" s="33">
        <v>0</v>
      </c>
      <c r="G44" s="33">
        <v>1277238</v>
      </c>
      <c r="I44" s="33"/>
      <c r="J44" s="33">
        <v>1277238</v>
      </c>
      <c r="K44" s="33">
        <v>1277238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1142856</v>
      </c>
      <c r="F49" s="32">
        <v>0</v>
      </c>
      <c r="G49" s="32">
        <v>1142856</v>
      </c>
      <c r="I49" s="32"/>
      <c r="J49" s="32">
        <v>1142856</v>
      </c>
      <c r="K49" s="32">
        <v>1142856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29540150</v>
      </c>
      <c r="F63" s="30">
        <v>0</v>
      </c>
      <c r="G63" s="30">
        <v>29540150</v>
      </c>
      <c r="I63" s="30">
        <v>0</v>
      </c>
      <c r="J63" s="30">
        <v>29540150</v>
      </c>
      <c r="K63" s="30">
        <v>29540150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>
        <v>18632000</v>
      </c>
      <c r="F64" s="33">
        <v>0</v>
      </c>
      <c r="G64" s="33">
        <v>18632000</v>
      </c>
      <c r="I64" s="33"/>
      <c r="J64" s="33">
        <v>18632000</v>
      </c>
      <c r="K64" s="33">
        <v>18632000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>
        <v>10908150</v>
      </c>
      <c r="F66" s="33">
        <v>0</v>
      </c>
      <c r="G66" s="33">
        <v>10908150</v>
      </c>
      <c r="I66" s="33"/>
      <c r="J66" s="33">
        <v>10908150</v>
      </c>
      <c r="K66" s="33">
        <v>10908150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7250634</v>
      </c>
      <c r="F70" s="30">
        <v>-6388795</v>
      </c>
      <c r="G70" s="30">
        <v>861839</v>
      </c>
      <c r="I70" s="30">
        <v>861839</v>
      </c>
      <c r="J70" s="30">
        <v>0</v>
      </c>
      <c r="K70" s="30">
        <v>861839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7250634</v>
      </c>
      <c r="F71" s="32">
        <v>-6388795</v>
      </c>
      <c r="G71" s="32">
        <v>861839</v>
      </c>
      <c r="I71" s="32">
        <v>861839</v>
      </c>
      <c r="J71" s="32">
        <v>0</v>
      </c>
      <c r="K71" s="32">
        <v>861839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11498251</v>
      </c>
      <c r="F72" s="30">
        <v>0</v>
      </c>
      <c r="G72" s="30">
        <v>11498251</v>
      </c>
      <c r="I72" s="30">
        <v>11498251</v>
      </c>
      <c r="J72" s="30">
        <v>0</v>
      </c>
      <c r="K72" s="30">
        <v>11498251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11498251</v>
      </c>
      <c r="F73" s="33">
        <v>0</v>
      </c>
      <c r="G73" s="33">
        <v>11498251</v>
      </c>
      <c r="I73" s="33">
        <v>11498251</v>
      </c>
      <c r="J73" s="33">
        <v>0</v>
      </c>
      <c r="K73" s="33">
        <v>11498251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519A3955-E72B-4C11-AB33-941DB801430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5B4-A4B3-4943-8A1A-7DFD92313C59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5429687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2.54296875" style="10" bestFit="1" customWidth="1"/>
    <col min="10" max="10" width="11.632812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31</v>
      </c>
      <c r="F1" s="11" t="s">
        <v>157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377807160</v>
      </c>
      <c r="F8" s="22">
        <v>37000000</v>
      </c>
      <c r="G8" s="22">
        <v>414807160</v>
      </c>
      <c r="I8" s="22">
        <v>709798469</v>
      </c>
      <c r="J8" s="22">
        <v>57890254</v>
      </c>
      <c r="K8" s="22">
        <v>767688723</v>
      </c>
      <c r="M8" s="22">
        <v>-352881563</v>
      </c>
    </row>
    <row r="9" spans="1:13">
      <c r="B9" s="28"/>
      <c r="C9" s="29" t="s">
        <v>76</v>
      </c>
      <c r="E9" s="30">
        <v>58695254</v>
      </c>
      <c r="F9" s="30">
        <v>37000000</v>
      </c>
      <c r="G9" s="30">
        <v>95695254</v>
      </c>
      <c r="I9" s="30">
        <v>37805000</v>
      </c>
      <c r="J9" s="30">
        <v>57890254</v>
      </c>
      <c r="K9" s="30">
        <v>95695254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55527754</v>
      </c>
      <c r="F11" s="33">
        <v>0</v>
      </c>
      <c r="G11" s="33">
        <v>55527754</v>
      </c>
      <c r="I11" s="33"/>
      <c r="J11" s="33">
        <v>55527754</v>
      </c>
      <c r="K11" s="33">
        <v>55527754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3167500</v>
      </c>
      <c r="F14" s="32">
        <v>37000000</v>
      </c>
      <c r="G14" s="32">
        <v>40167500</v>
      </c>
      <c r="I14" s="32">
        <v>37805000</v>
      </c>
      <c r="J14" s="32">
        <v>2362500</v>
      </c>
      <c r="K14" s="32">
        <v>40167500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275607768</v>
      </c>
      <c r="F36" s="30">
        <v>0</v>
      </c>
      <c r="G36" s="30">
        <v>275607768</v>
      </c>
      <c r="I36" s="30">
        <v>541095556</v>
      </c>
      <c r="J36" s="30">
        <v>0</v>
      </c>
      <c r="K36" s="30">
        <v>541095556</v>
      </c>
      <c r="M36" s="30">
        <v>-265487788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269898223</v>
      </c>
      <c r="F38" s="33">
        <v>0</v>
      </c>
      <c r="G38" s="33">
        <v>269898223</v>
      </c>
      <c r="I38" s="33">
        <v>269898223</v>
      </c>
      <c r="J38" s="33">
        <v>0</v>
      </c>
      <c r="K38" s="33">
        <v>269898223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>
        <v>265534859</v>
      </c>
      <c r="J40" s="33">
        <v>0</v>
      </c>
      <c r="K40" s="33">
        <v>265534859</v>
      </c>
      <c r="M40" s="33">
        <v>-265534859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2112113</v>
      </c>
      <c r="F42" s="33">
        <v>0</v>
      </c>
      <c r="G42" s="33">
        <v>2112113</v>
      </c>
      <c r="I42" s="33">
        <v>2065042</v>
      </c>
      <c r="J42" s="33">
        <v>0</v>
      </c>
      <c r="K42" s="33">
        <v>2065042</v>
      </c>
      <c r="M42" s="33">
        <v>47071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3160209</v>
      </c>
      <c r="F44" s="33">
        <v>0</v>
      </c>
      <c r="G44" s="33">
        <v>3160209</v>
      </c>
      <c r="I44" s="33">
        <v>3160209</v>
      </c>
      <c r="J44" s="33">
        <v>0</v>
      </c>
      <c r="K44" s="33">
        <v>3160209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437223</v>
      </c>
      <c r="F49" s="32">
        <v>0</v>
      </c>
      <c r="G49" s="32">
        <v>437223</v>
      </c>
      <c r="I49" s="32">
        <v>437223</v>
      </c>
      <c r="J49" s="32">
        <v>0</v>
      </c>
      <c r="K49" s="32">
        <v>437223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2438334</v>
      </c>
      <c r="J53" s="30">
        <v>0</v>
      </c>
      <c r="K53" s="30">
        <v>2438334</v>
      </c>
      <c r="M53" s="30">
        <v>-2438334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903795</v>
      </c>
      <c r="J54" s="32">
        <v>0</v>
      </c>
      <c r="K54" s="32">
        <v>903795</v>
      </c>
      <c r="M54" s="32">
        <v>-903795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30179</v>
      </c>
      <c r="J55" s="33">
        <v>0</v>
      </c>
      <c r="K55" s="33">
        <v>30179</v>
      </c>
      <c r="M55" s="33">
        <v>-30179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37724</v>
      </c>
      <c r="J56" s="32">
        <v>0</v>
      </c>
      <c r="K56" s="32">
        <v>37724</v>
      </c>
      <c r="M56" s="32">
        <v>-37724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754483</v>
      </c>
      <c r="J57" s="33">
        <v>0</v>
      </c>
      <c r="K57" s="33">
        <v>754483</v>
      </c>
      <c r="M57" s="33">
        <v>-754483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18862</v>
      </c>
      <c r="J58" s="32">
        <v>0</v>
      </c>
      <c r="K58" s="32">
        <v>18862</v>
      </c>
      <c r="M58" s="32">
        <v>-18862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45646</v>
      </c>
      <c r="J60" s="32">
        <v>0</v>
      </c>
      <c r="K60" s="32">
        <v>45646</v>
      </c>
      <c r="M60" s="32">
        <v>-45646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75448</v>
      </c>
      <c r="J61" s="33">
        <v>0</v>
      </c>
      <c r="K61" s="33">
        <v>75448</v>
      </c>
      <c r="M61" s="33">
        <v>-75448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>
        <v>572197</v>
      </c>
      <c r="J62" s="32">
        <v>0</v>
      </c>
      <c r="K62" s="32">
        <v>572197</v>
      </c>
      <c r="M62" s="32">
        <v>-572197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76389207</v>
      </c>
      <c r="J63" s="30">
        <v>0</v>
      </c>
      <c r="K63" s="30">
        <v>76389207</v>
      </c>
      <c r="M63" s="30">
        <v>-76389207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>
        <v>76389207</v>
      </c>
      <c r="J66" s="33">
        <v>0</v>
      </c>
      <c r="K66" s="33">
        <v>76389207</v>
      </c>
      <c r="M66" s="33">
        <v>-76389207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5477546</v>
      </c>
      <c r="F70" s="30">
        <v>0</v>
      </c>
      <c r="G70" s="30">
        <v>5477546</v>
      </c>
      <c r="I70" s="30">
        <v>11604330</v>
      </c>
      <c r="J70" s="30">
        <v>0</v>
      </c>
      <c r="K70" s="30">
        <v>11604330</v>
      </c>
      <c r="M70" s="30">
        <v>-6126784</v>
      </c>
    </row>
    <row r="71" spans="1:13">
      <c r="A71" s="31">
        <v>57</v>
      </c>
      <c r="B71" s="23">
        <v>57</v>
      </c>
      <c r="C71" s="24" t="s">
        <v>138</v>
      </c>
      <c r="E71" s="32">
        <v>5477546</v>
      </c>
      <c r="F71" s="32">
        <v>0</v>
      </c>
      <c r="G71" s="32">
        <v>5477546</v>
      </c>
      <c r="I71" s="32">
        <v>11604330</v>
      </c>
      <c r="J71" s="32">
        <v>0</v>
      </c>
      <c r="K71" s="32">
        <v>11604330</v>
      </c>
      <c r="M71" s="32">
        <v>-6126784</v>
      </c>
    </row>
    <row r="72" spans="1:13">
      <c r="A72" s="31">
        <v>0</v>
      </c>
      <c r="B72" s="28"/>
      <c r="C72" s="29" t="s">
        <v>139</v>
      </c>
      <c r="E72" s="30">
        <v>37930592</v>
      </c>
      <c r="F72" s="30">
        <v>0</v>
      </c>
      <c r="G72" s="30">
        <v>37930592</v>
      </c>
      <c r="I72" s="30">
        <v>35615157</v>
      </c>
      <c r="J72" s="30">
        <v>0</v>
      </c>
      <c r="K72" s="30">
        <v>35615157</v>
      </c>
      <c r="M72" s="30">
        <v>2315435</v>
      </c>
    </row>
    <row r="73" spans="1:13">
      <c r="A73" s="31">
        <v>58</v>
      </c>
      <c r="B73" s="8">
        <v>58</v>
      </c>
      <c r="C73" s="26" t="s">
        <v>140</v>
      </c>
      <c r="E73" s="33">
        <v>37930592</v>
      </c>
      <c r="F73" s="33">
        <v>0</v>
      </c>
      <c r="G73" s="33">
        <v>37930592</v>
      </c>
      <c r="I73" s="33">
        <v>35615157</v>
      </c>
      <c r="J73" s="33">
        <v>0</v>
      </c>
      <c r="K73" s="33">
        <v>35615157</v>
      </c>
      <c r="M73" s="33">
        <v>2315435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96000</v>
      </c>
      <c r="F78" s="30">
        <v>0</v>
      </c>
      <c r="G78" s="30">
        <v>96000</v>
      </c>
      <c r="I78" s="30">
        <v>4850885</v>
      </c>
      <c r="J78" s="30">
        <v>0</v>
      </c>
      <c r="K78" s="30">
        <v>4850885</v>
      </c>
      <c r="M78" s="30">
        <v>-4754885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06549716-CA2F-48FD-BEA7-05697A0A9AA4}"/>
  </hyperlink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B2F7-AB74-4EB9-A356-52C24A2F90B9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3.8164062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2.54296875" style="10" bestFit="1" customWidth="1"/>
    <col min="10" max="10" width="11.632812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33</v>
      </c>
      <c r="F1" s="11" t="s">
        <v>158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426108764</v>
      </c>
      <c r="F8" s="22">
        <v>0</v>
      </c>
      <c r="G8" s="22">
        <v>426108764</v>
      </c>
      <c r="I8" s="22">
        <v>375000891</v>
      </c>
      <c r="J8" s="22">
        <v>55000000</v>
      </c>
      <c r="K8" s="22">
        <v>430000891</v>
      </c>
      <c r="M8" s="22">
        <v>-3892127</v>
      </c>
    </row>
    <row r="9" spans="1:13">
      <c r="B9" s="28"/>
      <c r="C9" s="29" t="s">
        <v>76</v>
      </c>
      <c r="E9" s="30">
        <v>56644000</v>
      </c>
      <c r="F9" s="30">
        <v>0</v>
      </c>
      <c r="G9" s="30">
        <v>56644000</v>
      </c>
      <c r="I9" s="30">
        <v>1644000</v>
      </c>
      <c r="J9" s="30">
        <v>55000000</v>
      </c>
      <c r="K9" s="30">
        <v>56644000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55000000</v>
      </c>
      <c r="F11" s="33">
        <v>0</v>
      </c>
      <c r="G11" s="33">
        <v>55000000</v>
      </c>
      <c r="I11" s="33"/>
      <c r="J11" s="33">
        <v>55000000</v>
      </c>
      <c r="K11" s="33">
        <v>55000000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1644000</v>
      </c>
      <c r="F14" s="32">
        <v>0</v>
      </c>
      <c r="G14" s="32">
        <v>1644000</v>
      </c>
      <c r="I14" s="32">
        <v>1644000</v>
      </c>
      <c r="J14" s="32">
        <v>0</v>
      </c>
      <c r="K14" s="32">
        <v>1644000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234842321</v>
      </c>
      <c r="F36" s="30">
        <v>0</v>
      </c>
      <c r="G36" s="30">
        <v>234842321</v>
      </c>
      <c r="I36" s="30">
        <v>234842321</v>
      </c>
      <c r="J36" s="30">
        <v>0</v>
      </c>
      <c r="K36" s="30">
        <v>234842321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234776930</v>
      </c>
      <c r="F38" s="33">
        <v>0</v>
      </c>
      <c r="G38" s="33">
        <v>234776930</v>
      </c>
      <c r="I38" s="33">
        <v>234776930</v>
      </c>
      <c r="J38" s="33">
        <v>0</v>
      </c>
      <c r="K38" s="33">
        <v>234776930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65391</v>
      </c>
      <c r="F44" s="33">
        <v>0</v>
      </c>
      <c r="G44" s="33">
        <v>65391</v>
      </c>
      <c r="I44" s="33">
        <v>65391</v>
      </c>
      <c r="J44" s="33">
        <v>0</v>
      </c>
      <c r="K44" s="33">
        <v>65391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3887127</v>
      </c>
      <c r="J53" s="30">
        <v>0</v>
      </c>
      <c r="K53" s="30">
        <v>3887127</v>
      </c>
      <c r="M53" s="30">
        <v>-3887127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1860035</v>
      </c>
      <c r="J54" s="32">
        <v>0</v>
      </c>
      <c r="K54" s="32">
        <v>1860035</v>
      </c>
      <c r="M54" s="32">
        <v>-1860035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74476</v>
      </c>
      <c r="J55" s="33">
        <v>0</v>
      </c>
      <c r="K55" s="33">
        <v>74476</v>
      </c>
      <c r="M55" s="33">
        <v>-74476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203472</v>
      </c>
      <c r="J56" s="32">
        <v>0</v>
      </c>
      <c r="K56" s="32">
        <v>203472</v>
      </c>
      <c r="M56" s="32">
        <v>-203472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930948</v>
      </c>
      <c r="J57" s="33">
        <v>0</v>
      </c>
      <c r="K57" s="33">
        <v>930948</v>
      </c>
      <c r="M57" s="33">
        <v>-930948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46547</v>
      </c>
      <c r="J58" s="32">
        <v>0</v>
      </c>
      <c r="K58" s="32">
        <v>46547</v>
      </c>
      <c r="M58" s="32">
        <v>-46547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103335</v>
      </c>
      <c r="J60" s="32">
        <v>0</v>
      </c>
      <c r="K60" s="32">
        <v>103335</v>
      </c>
      <c r="M60" s="32">
        <v>-103335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406944</v>
      </c>
      <c r="J61" s="33">
        <v>0</v>
      </c>
      <c r="K61" s="33">
        <v>406944</v>
      </c>
      <c r="M61" s="33">
        <v>-406944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>
        <v>261370</v>
      </c>
      <c r="J62" s="32">
        <v>0</v>
      </c>
      <c r="K62" s="32">
        <v>261370</v>
      </c>
      <c r="M62" s="32">
        <v>-261370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91778084</v>
      </c>
      <c r="F67" s="30">
        <v>0</v>
      </c>
      <c r="G67" s="30">
        <v>91778084</v>
      </c>
      <c r="I67" s="30">
        <v>91778084</v>
      </c>
      <c r="J67" s="30">
        <v>0</v>
      </c>
      <c r="K67" s="30">
        <v>91778084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>
        <v>91778084</v>
      </c>
      <c r="F69" s="33">
        <v>0</v>
      </c>
      <c r="G69" s="33">
        <v>91778084</v>
      </c>
      <c r="I69" s="33">
        <v>91778084</v>
      </c>
      <c r="J69" s="33">
        <v>0</v>
      </c>
      <c r="K69" s="33">
        <v>91778084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42844359</v>
      </c>
      <c r="F70" s="30">
        <v>-39432239</v>
      </c>
      <c r="G70" s="30">
        <v>3412120</v>
      </c>
      <c r="I70" s="30">
        <v>3417120</v>
      </c>
      <c r="J70" s="30">
        <v>0</v>
      </c>
      <c r="K70" s="30">
        <v>3417120</v>
      </c>
      <c r="M70" s="30">
        <v>-5000</v>
      </c>
    </row>
    <row r="71" spans="1:13">
      <c r="A71" s="31">
        <v>57</v>
      </c>
      <c r="B71" s="23">
        <v>57</v>
      </c>
      <c r="C71" s="24" t="s">
        <v>138</v>
      </c>
      <c r="E71" s="32">
        <v>42844359</v>
      </c>
      <c r="F71" s="32">
        <v>-39432239</v>
      </c>
      <c r="G71" s="32">
        <v>3412120</v>
      </c>
      <c r="I71" s="32">
        <v>3417120</v>
      </c>
      <c r="J71" s="32">
        <v>0</v>
      </c>
      <c r="K71" s="32">
        <v>3417120</v>
      </c>
      <c r="M71" s="32">
        <v>-5000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39432239</v>
      </c>
      <c r="G72" s="30">
        <v>39432239</v>
      </c>
      <c r="I72" s="30">
        <v>39432239</v>
      </c>
      <c r="J72" s="30">
        <v>0</v>
      </c>
      <c r="K72" s="30">
        <v>39432239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39432239</v>
      </c>
      <c r="G73" s="33">
        <v>39432239</v>
      </c>
      <c r="I73" s="33">
        <v>39432239</v>
      </c>
      <c r="J73" s="33">
        <v>0</v>
      </c>
      <c r="K73" s="33">
        <v>39432239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28DB40BE-94DB-4A32-BCC1-264BD5605A45}"/>
  </hyperlink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3EE8-9D4B-47E9-8A10-59108DF20C98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2.54296875" style="10" bestFit="1" customWidth="1"/>
    <col min="6" max="6" width="12" style="8" bestFit="1" customWidth="1"/>
    <col min="7" max="7" width="12.54296875" style="10" bestFit="1" customWidth="1"/>
    <col min="8" max="8" width="0.7265625" style="10" customWidth="1"/>
    <col min="9" max="9" width="6" style="10" bestFit="1" customWidth="1"/>
    <col min="10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14.5">
      <c r="A1" s="7" t="s">
        <v>0</v>
      </c>
      <c r="C1" s="9" t="s">
        <v>60</v>
      </c>
      <c r="E1" s="11" t="s">
        <v>35</v>
      </c>
      <c r="F1" s="11" t="s">
        <v>159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353748420</v>
      </c>
      <c r="F8" s="22">
        <v>0</v>
      </c>
      <c r="G8" s="22">
        <v>353748420</v>
      </c>
      <c r="I8" s="22">
        <v>0</v>
      </c>
      <c r="J8" s="22">
        <v>353748420</v>
      </c>
      <c r="K8" s="22">
        <v>353748420</v>
      </c>
      <c r="M8" s="22">
        <v>0</v>
      </c>
    </row>
    <row r="9" spans="1:13">
      <c r="B9" s="28"/>
      <c r="C9" s="29" t="s">
        <v>76</v>
      </c>
      <c r="E9" s="30">
        <v>40022500</v>
      </c>
      <c r="F9" s="30">
        <v>0</v>
      </c>
      <c r="G9" s="30">
        <v>40022500</v>
      </c>
      <c r="I9" s="30">
        <v>0</v>
      </c>
      <c r="J9" s="30">
        <v>40022500</v>
      </c>
      <c r="K9" s="30">
        <v>40022500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>
        <v>40022500</v>
      </c>
      <c r="F11" s="33">
        <v>0</v>
      </c>
      <c r="G11" s="33">
        <v>40022500</v>
      </c>
      <c r="I11" s="33"/>
      <c r="J11" s="33">
        <v>40022500</v>
      </c>
      <c r="K11" s="33">
        <v>40022500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246421196</v>
      </c>
      <c r="F36" s="30">
        <v>0</v>
      </c>
      <c r="G36" s="30">
        <v>246421196</v>
      </c>
      <c r="I36" s="30">
        <v>0</v>
      </c>
      <c r="J36" s="30">
        <v>246421196</v>
      </c>
      <c r="K36" s="30">
        <v>246421196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246421196</v>
      </c>
      <c r="F38" s="33">
        <v>0</v>
      </c>
      <c r="G38" s="33">
        <v>246421196</v>
      </c>
      <c r="I38" s="33"/>
      <c r="J38" s="33">
        <v>246421196</v>
      </c>
      <c r="K38" s="33">
        <v>246421196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10206000</v>
      </c>
      <c r="F70" s="30">
        <v>0</v>
      </c>
      <c r="G70" s="30">
        <v>10206000</v>
      </c>
      <c r="I70" s="30">
        <v>0</v>
      </c>
      <c r="J70" s="30">
        <v>10206000</v>
      </c>
      <c r="K70" s="30">
        <v>10206000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10206000</v>
      </c>
      <c r="F71" s="32">
        <v>0</v>
      </c>
      <c r="G71" s="32">
        <v>10206000</v>
      </c>
      <c r="I71" s="32"/>
      <c r="J71" s="32">
        <v>10206000</v>
      </c>
      <c r="K71" s="32">
        <v>10206000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57098724</v>
      </c>
      <c r="F72" s="30">
        <v>0</v>
      </c>
      <c r="G72" s="30">
        <v>57098724</v>
      </c>
      <c r="I72" s="30">
        <v>0</v>
      </c>
      <c r="J72" s="30">
        <v>57098724</v>
      </c>
      <c r="K72" s="30">
        <v>57098724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57098724</v>
      </c>
      <c r="F73" s="33">
        <v>0</v>
      </c>
      <c r="G73" s="33">
        <v>57098724</v>
      </c>
      <c r="I73" s="33"/>
      <c r="J73" s="33">
        <v>57098724</v>
      </c>
      <c r="K73" s="33">
        <v>57098724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4DFB330B-B6AE-415E-8E64-BC907EA2C9F4}"/>
  </hyperlink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4FCA-BA06-41D3-A9EE-D41845A3C9AD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54296875" style="10" bestFit="1" customWidth="1"/>
    <col min="6" max="6" width="14" style="8" bestFit="1" customWidth="1"/>
    <col min="7" max="7" width="12.54296875" style="10" bestFit="1" customWidth="1"/>
    <col min="8" max="8" width="0.7265625" style="10" customWidth="1"/>
    <col min="9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37</v>
      </c>
      <c r="F1" s="11" t="s">
        <v>160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9826240889</v>
      </c>
      <c r="F8" s="22">
        <v>-9247956595</v>
      </c>
      <c r="G8" s="22">
        <v>578284294</v>
      </c>
      <c r="I8" s="22">
        <v>483195607</v>
      </c>
      <c r="J8" s="22">
        <v>171122305</v>
      </c>
      <c r="K8" s="22">
        <v>654317912</v>
      </c>
      <c r="M8" s="22">
        <v>-76033618</v>
      </c>
    </row>
    <row r="9" spans="1:13">
      <c r="B9" s="28"/>
      <c r="C9" s="29" t="s">
        <v>76</v>
      </c>
      <c r="E9" s="30">
        <v>194373445</v>
      </c>
      <c r="F9" s="30">
        <v>25000000</v>
      </c>
      <c r="G9" s="30">
        <v>219373445</v>
      </c>
      <c r="I9" s="30">
        <v>219373445</v>
      </c>
      <c r="J9" s="30">
        <v>0</v>
      </c>
      <c r="K9" s="30">
        <v>219373445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194373445</v>
      </c>
      <c r="F10" s="32">
        <v>0</v>
      </c>
      <c r="G10" s="32">
        <v>194373445</v>
      </c>
      <c r="I10" s="32">
        <v>194373445</v>
      </c>
      <c r="J10" s="32">
        <v>0</v>
      </c>
      <c r="K10" s="32">
        <v>194373445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25000000</v>
      </c>
      <c r="G14" s="32">
        <v>25000000</v>
      </c>
      <c r="I14" s="32">
        <v>25000000</v>
      </c>
      <c r="J14" s="32">
        <v>0</v>
      </c>
      <c r="K14" s="32">
        <v>25000000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5260615</v>
      </c>
      <c r="F25" s="30">
        <v>0</v>
      </c>
      <c r="G25" s="30">
        <v>5260615</v>
      </c>
      <c r="I25" s="30">
        <v>0</v>
      </c>
      <c r="J25" s="30">
        <v>5260615</v>
      </c>
      <c r="K25" s="30">
        <v>5260615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>
        <v>5260615</v>
      </c>
      <c r="F35" s="33">
        <v>0</v>
      </c>
      <c r="G35" s="33">
        <v>5260615</v>
      </c>
      <c r="I35" s="33"/>
      <c r="J35" s="33">
        <v>5260615</v>
      </c>
      <c r="K35" s="33">
        <v>5260615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290443811</v>
      </c>
      <c r="F36" s="30">
        <v>14637865</v>
      </c>
      <c r="G36" s="30">
        <v>305081676</v>
      </c>
      <c r="I36" s="30">
        <v>222651474</v>
      </c>
      <c r="J36" s="30">
        <v>165861690</v>
      </c>
      <c r="K36" s="30">
        <v>388513164</v>
      </c>
      <c r="M36" s="30">
        <v>-83431488</v>
      </c>
    </row>
    <row r="37" spans="1:13">
      <c r="A37" s="31">
        <v>27</v>
      </c>
      <c r="B37" s="23">
        <v>27</v>
      </c>
      <c r="C37" s="24" t="s">
        <v>104</v>
      </c>
      <c r="E37" s="32">
        <v>2407500</v>
      </c>
      <c r="F37" s="32">
        <v>0</v>
      </c>
      <c r="G37" s="32">
        <v>2407500</v>
      </c>
      <c r="I37" s="32"/>
      <c r="J37" s="32">
        <v>0</v>
      </c>
      <c r="K37" s="32">
        <v>0</v>
      </c>
      <c r="M37" s="32">
        <v>2407500</v>
      </c>
    </row>
    <row r="38" spans="1:13">
      <c r="A38" s="31">
        <v>28</v>
      </c>
      <c r="B38" s="8">
        <v>28</v>
      </c>
      <c r="C38" s="26" t="s">
        <v>105</v>
      </c>
      <c r="E38" s="33">
        <v>102758836</v>
      </c>
      <c r="F38" s="33">
        <v>0</v>
      </c>
      <c r="G38" s="33">
        <v>102758836</v>
      </c>
      <c r="I38" s="33">
        <v>102758836</v>
      </c>
      <c r="J38" s="33">
        <v>0</v>
      </c>
      <c r="K38" s="33">
        <v>102758836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>
        <v>165861690</v>
      </c>
      <c r="F39" s="32">
        <v>0</v>
      </c>
      <c r="G39" s="32">
        <v>165861690</v>
      </c>
      <c r="I39" s="32"/>
      <c r="J39" s="32">
        <v>165861690</v>
      </c>
      <c r="K39" s="32">
        <v>165861690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5000000</v>
      </c>
      <c r="F40" s="33">
        <v>0</v>
      </c>
      <c r="G40" s="33">
        <v>5000000</v>
      </c>
      <c r="I40" s="33">
        <v>90838988</v>
      </c>
      <c r="J40" s="33">
        <v>0</v>
      </c>
      <c r="K40" s="33">
        <v>90838988</v>
      </c>
      <c r="M40" s="33">
        <v>-85838988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5521556</v>
      </c>
      <c r="F42" s="33">
        <v>0</v>
      </c>
      <c r="G42" s="33">
        <v>5521556</v>
      </c>
      <c r="I42" s="33">
        <v>5521556</v>
      </c>
      <c r="J42" s="33">
        <v>0</v>
      </c>
      <c r="K42" s="33">
        <v>5521556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8894229</v>
      </c>
      <c r="F44" s="33">
        <v>0</v>
      </c>
      <c r="G44" s="33">
        <v>8894229</v>
      </c>
      <c r="I44" s="33">
        <v>8894229</v>
      </c>
      <c r="J44" s="33">
        <v>0</v>
      </c>
      <c r="K44" s="33">
        <v>8894229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14637865</v>
      </c>
      <c r="G49" s="32">
        <v>14637865</v>
      </c>
      <c r="I49" s="32">
        <v>14637865</v>
      </c>
      <c r="J49" s="32">
        <v>0</v>
      </c>
      <c r="K49" s="32">
        <v>14637865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9295447206</v>
      </c>
      <c r="F53" s="30">
        <v>-9287594460</v>
      </c>
      <c r="G53" s="30">
        <v>7852746</v>
      </c>
      <c r="I53" s="30">
        <v>7852746</v>
      </c>
      <c r="J53" s="30">
        <v>0</v>
      </c>
      <c r="K53" s="30">
        <v>7852746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4433394</v>
      </c>
      <c r="J54" s="32">
        <v>0</v>
      </c>
      <c r="K54" s="32">
        <v>4433394</v>
      </c>
      <c r="M54" s="32">
        <v>-4433394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177514</v>
      </c>
      <c r="J55" s="33">
        <v>0</v>
      </c>
      <c r="K55" s="33">
        <v>177514</v>
      </c>
      <c r="M55" s="33">
        <v>-177514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221892</v>
      </c>
      <c r="J56" s="32">
        <v>0</v>
      </c>
      <c r="K56" s="32">
        <v>221892</v>
      </c>
      <c r="M56" s="32">
        <v>-221892</v>
      </c>
    </row>
    <row r="57" spans="1:13">
      <c r="A57" s="31"/>
      <c r="B57" s="8">
        <v>46</v>
      </c>
      <c r="C57" s="26" t="s">
        <v>124</v>
      </c>
      <c r="E57" s="33">
        <v>9295447206</v>
      </c>
      <c r="F57" s="33">
        <v>-9287594460</v>
      </c>
      <c r="G57" s="33">
        <v>7852746</v>
      </c>
      <c r="I57" s="33">
        <v>2218916</v>
      </c>
      <c r="J57" s="33">
        <v>0</v>
      </c>
      <c r="K57" s="33">
        <v>2218916</v>
      </c>
      <c r="M57" s="33">
        <v>5633830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110946</v>
      </c>
      <c r="J58" s="32">
        <v>0</v>
      </c>
      <c r="K58" s="32">
        <v>110946</v>
      </c>
      <c r="M58" s="32">
        <v>-110946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246300</v>
      </c>
      <c r="J60" s="32">
        <v>0</v>
      </c>
      <c r="K60" s="32">
        <v>246300</v>
      </c>
      <c r="M60" s="32">
        <v>-246300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443784</v>
      </c>
      <c r="J61" s="33">
        <v>0</v>
      </c>
      <c r="K61" s="33">
        <v>443784</v>
      </c>
      <c r="M61" s="33">
        <v>-443784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3956138</v>
      </c>
      <c r="F70" s="30">
        <v>0</v>
      </c>
      <c r="G70" s="30">
        <v>3956138</v>
      </c>
      <c r="I70" s="30">
        <v>3956138</v>
      </c>
      <c r="J70" s="30">
        <v>0</v>
      </c>
      <c r="K70" s="30">
        <v>3956138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3956138</v>
      </c>
      <c r="F71" s="32">
        <v>0</v>
      </c>
      <c r="G71" s="32">
        <v>3956138</v>
      </c>
      <c r="I71" s="32">
        <v>3956138</v>
      </c>
      <c r="J71" s="32">
        <v>0</v>
      </c>
      <c r="K71" s="32">
        <v>3956138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35227174</v>
      </c>
      <c r="F72" s="30">
        <v>0</v>
      </c>
      <c r="G72" s="30">
        <v>35227174</v>
      </c>
      <c r="I72" s="30">
        <v>28361804</v>
      </c>
      <c r="J72" s="30">
        <v>0</v>
      </c>
      <c r="K72" s="30">
        <v>28361804</v>
      </c>
      <c r="M72" s="30">
        <v>6865370</v>
      </c>
    </row>
    <row r="73" spans="1:13">
      <c r="A73" s="31">
        <v>58</v>
      </c>
      <c r="B73" s="8">
        <v>58</v>
      </c>
      <c r="C73" s="26" t="s">
        <v>140</v>
      </c>
      <c r="E73" s="33">
        <v>35227174</v>
      </c>
      <c r="F73" s="33">
        <v>0</v>
      </c>
      <c r="G73" s="33">
        <v>35227174</v>
      </c>
      <c r="I73" s="33">
        <v>28361804</v>
      </c>
      <c r="J73" s="33">
        <v>0</v>
      </c>
      <c r="K73" s="33">
        <v>28361804</v>
      </c>
      <c r="M73" s="33">
        <v>6865370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1532500</v>
      </c>
      <c r="F78" s="30">
        <v>0</v>
      </c>
      <c r="G78" s="30">
        <v>1532500</v>
      </c>
      <c r="I78" s="30">
        <v>1000000</v>
      </c>
      <c r="J78" s="30">
        <v>0</v>
      </c>
      <c r="K78" s="30">
        <v>1000000</v>
      </c>
      <c r="M78" s="30">
        <v>532500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1BF8268B-98F5-4A23-A37B-16009970799C}"/>
  </hyperlink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3A30-22A4-42F5-8129-C7A70A9539AE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6.36328125" style="10" bestFit="1" customWidth="1"/>
    <col min="6" max="6" width="11.08984375" style="8" bestFit="1" customWidth="1"/>
    <col min="7" max="7" width="6" style="10" bestFit="1" customWidth="1"/>
    <col min="8" max="8" width="0.7265625" style="10" customWidth="1"/>
    <col min="9" max="9" width="6" style="10" bestFit="1" customWidth="1"/>
    <col min="10" max="10" width="11.08984375" style="10" bestFit="1" customWidth="1"/>
    <col min="11" max="11" width="6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39</v>
      </c>
      <c r="F1" s="11" t="s">
        <v>161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0</v>
      </c>
      <c r="F8" s="22">
        <v>0</v>
      </c>
      <c r="G8" s="22">
        <v>0</v>
      </c>
      <c r="I8" s="22">
        <v>0</v>
      </c>
      <c r="J8" s="22">
        <v>0</v>
      </c>
      <c r="K8" s="22">
        <v>0</v>
      </c>
      <c r="M8" s="22">
        <v>0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0</v>
      </c>
      <c r="F36" s="30">
        <v>0</v>
      </c>
      <c r="G36" s="30">
        <v>0</v>
      </c>
      <c r="I36" s="30">
        <v>0</v>
      </c>
      <c r="J36" s="30">
        <v>0</v>
      </c>
      <c r="K36" s="30">
        <v>0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0</v>
      </c>
      <c r="G38" s="33">
        <v>0</v>
      </c>
      <c r="I38" s="33"/>
      <c r="J38" s="33">
        <v>0</v>
      </c>
      <c r="K38" s="33">
        <v>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0</v>
      </c>
      <c r="J72" s="30">
        <v>0</v>
      </c>
      <c r="K72" s="30">
        <v>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/>
      <c r="J73" s="33">
        <v>0</v>
      </c>
      <c r="K73" s="33">
        <v>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C9FACBDC-5F82-4EBF-965C-990AF469F11B}"/>
  </hyperlink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A0CD-C7E0-4F5A-9A36-FE3513050344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7.81640625" style="10" bestFit="1" customWidth="1"/>
    <col min="6" max="6" width="11.08984375" style="8" bestFit="1" customWidth="1"/>
    <col min="7" max="7" width="13.81640625" style="10" bestFit="1" customWidth="1"/>
    <col min="8" max="8" width="0.7265625" style="10" customWidth="1"/>
    <col min="9" max="9" width="13.81640625" style="10" bestFit="1" customWidth="1"/>
    <col min="10" max="10" width="11.6328125" style="10" bestFit="1" customWidth="1"/>
    <col min="11" max="11" width="13.8164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36">
      <c r="A1" s="7" t="s">
        <v>0</v>
      </c>
      <c r="C1" s="9" t="s">
        <v>60</v>
      </c>
      <c r="E1" s="11" t="s">
        <v>41</v>
      </c>
      <c r="F1" s="11">
        <v>196784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2898775425</v>
      </c>
      <c r="F8" s="22">
        <v>0</v>
      </c>
      <c r="G8" s="22">
        <v>2898775425</v>
      </c>
      <c r="I8" s="22">
        <v>3358845014</v>
      </c>
      <c r="J8" s="22">
        <v>13000000</v>
      </c>
      <c r="K8" s="22">
        <v>3371845014</v>
      </c>
      <c r="M8" s="22">
        <v>-473069589</v>
      </c>
    </row>
    <row r="9" spans="1:13">
      <c r="B9" s="28"/>
      <c r="C9" s="29" t="s">
        <v>76</v>
      </c>
      <c r="E9" s="30">
        <v>740370820</v>
      </c>
      <c r="F9" s="30">
        <v>0</v>
      </c>
      <c r="G9" s="30">
        <v>740370820</v>
      </c>
      <c r="I9" s="30">
        <v>734078960</v>
      </c>
      <c r="J9" s="30">
        <v>0</v>
      </c>
      <c r="K9" s="30">
        <v>734078960</v>
      </c>
      <c r="M9" s="30">
        <v>6291860</v>
      </c>
    </row>
    <row r="10" spans="1:13">
      <c r="A10" s="31">
        <v>3</v>
      </c>
      <c r="B10" s="23">
        <v>3</v>
      </c>
      <c r="C10" s="24" t="s">
        <v>77</v>
      </c>
      <c r="E10" s="32">
        <v>728185665</v>
      </c>
      <c r="F10" s="32">
        <v>0</v>
      </c>
      <c r="G10" s="32">
        <v>728185665</v>
      </c>
      <c r="I10" s="32">
        <v>727645665</v>
      </c>
      <c r="J10" s="32">
        <v>0</v>
      </c>
      <c r="K10" s="32">
        <v>727645665</v>
      </c>
      <c r="M10" s="32">
        <v>540000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12185155</v>
      </c>
      <c r="F14" s="32">
        <v>0</v>
      </c>
      <c r="G14" s="32">
        <v>12185155</v>
      </c>
      <c r="I14" s="32">
        <v>6433295</v>
      </c>
      <c r="J14" s="32">
        <v>0</v>
      </c>
      <c r="K14" s="32">
        <v>6433295</v>
      </c>
      <c r="M14" s="32">
        <v>5751860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107358873</v>
      </c>
      <c r="F25" s="30">
        <v>0</v>
      </c>
      <c r="G25" s="30">
        <v>107358873</v>
      </c>
      <c r="I25" s="30">
        <v>107258883</v>
      </c>
      <c r="J25" s="30">
        <v>0</v>
      </c>
      <c r="K25" s="30">
        <v>107258883</v>
      </c>
      <c r="M25" s="30">
        <v>99990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>
        <v>107358873</v>
      </c>
      <c r="F35" s="33">
        <v>0</v>
      </c>
      <c r="G35" s="33">
        <v>107358873</v>
      </c>
      <c r="I35" s="33">
        <v>107258883</v>
      </c>
      <c r="J35" s="33">
        <v>0</v>
      </c>
      <c r="K35" s="33">
        <v>107258883</v>
      </c>
      <c r="M35" s="33">
        <v>99990</v>
      </c>
    </row>
    <row r="36" spans="1:13">
      <c r="A36" s="31">
        <v>0</v>
      </c>
      <c r="B36" s="28"/>
      <c r="C36" s="29" t="s">
        <v>103</v>
      </c>
      <c r="E36" s="30">
        <v>1544240870</v>
      </c>
      <c r="F36" s="30">
        <v>0</v>
      </c>
      <c r="G36" s="30">
        <v>1544240870</v>
      </c>
      <c r="I36" s="30">
        <v>2163329883</v>
      </c>
      <c r="J36" s="30">
        <v>0</v>
      </c>
      <c r="K36" s="30">
        <v>2163329883</v>
      </c>
      <c r="M36" s="30">
        <v>-619089013</v>
      </c>
    </row>
    <row r="37" spans="1:13">
      <c r="A37" s="31">
        <v>27</v>
      </c>
      <c r="B37" s="23">
        <v>27</v>
      </c>
      <c r="C37" s="24" t="s">
        <v>104</v>
      </c>
      <c r="E37" s="32">
        <v>158098895</v>
      </c>
      <c r="F37" s="32">
        <v>0</v>
      </c>
      <c r="G37" s="32">
        <v>158098895</v>
      </c>
      <c r="I37" s="32">
        <v>178959617</v>
      </c>
      <c r="J37" s="32">
        <v>0</v>
      </c>
      <c r="K37" s="32">
        <v>178959617</v>
      </c>
      <c r="M37" s="32">
        <v>-20860722</v>
      </c>
    </row>
    <row r="38" spans="1:13">
      <c r="A38" s="31">
        <v>28</v>
      </c>
      <c r="B38" s="8">
        <v>28</v>
      </c>
      <c r="C38" s="26" t="s">
        <v>105</v>
      </c>
      <c r="E38" s="33">
        <v>314908160</v>
      </c>
      <c r="F38" s="33">
        <v>0</v>
      </c>
      <c r="G38" s="33">
        <v>314908160</v>
      </c>
      <c r="I38" s="33">
        <v>314908160</v>
      </c>
      <c r="J38" s="33">
        <v>0</v>
      </c>
      <c r="K38" s="33">
        <v>314908160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535084529</v>
      </c>
      <c r="F40" s="33">
        <v>0</v>
      </c>
      <c r="G40" s="33">
        <v>535084529</v>
      </c>
      <c r="I40" s="33">
        <v>535084529</v>
      </c>
      <c r="J40" s="33">
        <v>0</v>
      </c>
      <c r="K40" s="33">
        <v>535084529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>
        <v>66908</v>
      </c>
      <c r="J42" s="33">
        <v>0</v>
      </c>
      <c r="K42" s="33">
        <v>66908</v>
      </c>
      <c r="M42" s="33">
        <v>-66908</v>
      </c>
    </row>
    <row r="43" spans="1:13">
      <c r="A43" s="31">
        <v>33</v>
      </c>
      <c r="B43" s="23">
        <v>33</v>
      </c>
      <c r="C43" s="24" t="s">
        <v>110</v>
      </c>
      <c r="E43" s="32">
        <v>530456063</v>
      </c>
      <c r="F43" s="32">
        <v>0</v>
      </c>
      <c r="G43" s="32">
        <v>530456063</v>
      </c>
      <c r="I43" s="32">
        <v>530456063</v>
      </c>
      <c r="J43" s="32">
        <v>0</v>
      </c>
      <c r="K43" s="32">
        <v>530456063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5693223</v>
      </c>
      <c r="F44" s="33">
        <v>0</v>
      </c>
      <c r="G44" s="33">
        <v>5693223</v>
      </c>
      <c r="I44" s="33">
        <v>7557253</v>
      </c>
      <c r="J44" s="33">
        <v>0</v>
      </c>
      <c r="K44" s="33">
        <v>7557253</v>
      </c>
      <c r="M44" s="33">
        <v>-1864030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>
        <v>595408464</v>
      </c>
      <c r="J45" s="32">
        <v>0</v>
      </c>
      <c r="K45" s="32">
        <v>595408464</v>
      </c>
      <c r="M45" s="32">
        <v>-595408464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>
        <v>888889</v>
      </c>
      <c r="J49" s="32">
        <v>0</v>
      </c>
      <c r="K49" s="32">
        <v>888889</v>
      </c>
      <c r="M49" s="32">
        <v>-888889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196493533</v>
      </c>
      <c r="F53" s="30">
        <v>0</v>
      </c>
      <c r="G53" s="30">
        <v>196493533</v>
      </c>
      <c r="I53" s="30">
        <v>280792984</v>
      </c>
      <c r="J53" s="30">
        <v>0</v>
      </c>
      <c r="K53" s="30">
        <v>280792984</v>
      </c>
      <c r="M53" s="30">
        <v>-84299451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173822825</v>
      </c>
      <c r="J54" s="32">
        <v>0</v>
      </c>
      <c r="K54" s="32">
        <v>173822825</v>
      </c>
      <c r="M54" s="32">
        <v>-173822825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7135012</v>
      </c>
      <c r="J55" s="33">
        <v>0</v>
      </c>
      <c r="K55" s="33">
        <v>7135012</v>
      </c>
      <c r="M55" s="33">
        <v>-7135012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8918763</v>
      </c>
      <c r="J56" s="32">
        <v>0</v>
      </c>
      <c r="K56" s="32">
        <v>8918763</v>
      </c>
      <c r="M56" s="32">
        <v>-8918763</v>
      </c>
    </row>
    <row r="57" spans="1:13">
      <c r="A57" s="31"/>
      <c r="B57" s="8">
        <v>46</v>
      </c>
      <c r="C57" s="26" t="s">
        <v>124</v>
      </c>
      <c r="E57" s="33">
        <v>184824282</v>
      </c>
      <c r="F57" s="33">
        <v>0</v>
      </c>
      <c r="G57" s="33">
        <v>184824282</v>
      </c>
      <c r="I57" s="33">
        <v>64886650</v>
      </c>
      <c r="J57" s="33">
        <v>0</v>
      </c>
      <c r="K57" s="33">
        <v>64886650</v>
      </c>
      <c r="M57" s="33">
        <v>119937632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4459385</v>
      </c>
      <c r="J58" s="32">
        <v>0</v>
      </c>
      <c r="K58" s="32">
        <v>4459385</v>
      </c>
      <c r="M58" s="32">
        <v>-4459385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3467188</v>
      </c>
      <c r="J59" s="33">
        <v>0</v>
      </c>
      <c r="K59" s="33">
        <v>3467188</v>
      </c>
      <c r="M59" s="33">
        <v>-3467188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265620</v>
      </c>
      <c r="J60" s="32">
        <v>0</v>
      </c>
      <c r="K60" s="32">
        <v>265620</v>
      </c>
      <c r="M60" s="32">
        <v>-265620</v>
      </c>
    </row>
    <row r="61" spans="1:13">
      <c r="A61" s="31"/>
      <c r="B61" s="8">
        <v>50</v>
      </c>
      <c r="C61" s="26" t="s">
        <v>128</v>
      </c>
      <c r="E61" s="33">
        <v>11669251</v>
      </c>
      <c r="F61" s="33">
        <v>0</v>
      </c>
      <c r="G61" s="33">
        <v>11669251</v>
      </c>
      <c r="I61" s="33">
        <v>17837541</v>
      </c>
      <c r="J61" s="33">
        <v>0</v>
      </c>
      <c r="K61" s="33">
        <v>17837541</v>
      </c>
      <c r="M61" s="33">
        <v>-6168290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6155000</v>
      </c>
      <c r="F63" s="30">
        <v>0</v>
      </c>
      <c r="G63" s="30">
        <v>6155000</v>
      </c>
      <c r="I63" s="30">
        <v>6155000</v>
      </c>
      <c r="J63" s="30">
        <v>0</v>
      </c>
      <c r="K63" s="30">
        <v>6155000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>
        <v>6155000</v>
      </c>
      <c r="F64" s="33">
        <v>0</v>
      </c>
      <c r="G64" s="33">
        <v>6155000</v>
      </c>
      <c r="I64" s="33">
        <v>6155000</v>
      </c>
      <c r="J64" s="33">
        <v>0</v>
      </c>
      <c r="K64" s="33">
        <v>6155000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13000000</v>
      </c>
      <c r="F67" s="30">
        <v>0</v>
      </c>
      <c r="G67" s="30">
        <v>13000000</v>
      </c>
      <c r="I67" s="30">
        <v>0</v>
      </c>
      <c r="J67" s="30">
        <v>13000000</v>
      </c>
      <c r="K67" s="30">
        <v>13000000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>
        <v>13000000</v>
      </c>
      <c r="F69" s="33">
        <v>0</v>
      </c>
      <c r="G69" s="33">
        <v>13000000</v>
      </c>
      <c r="I69" s="33"/>
      <c r="J69" s="33">
        <v>13000000</v>
      </c>
      <c r="K69" s="33">
        <v>13000000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57208074</v>
      </c>
      <c r="F70" s="30">
        <v>0</v>
      </c>
      <c r="G70" s="30">
        <v>57208074</v>
      </c>
      <c r="I70" s="30">
        <v>65455249</v>
      </c>
      <c r="J70" s="30">
        <v>0</v>
      </c>
      <c r="K70" s="30">
        <v>65455249</v>
      </c>
      <c r="M70" s="30">
        <v>-8247175</v>
      </c>
    </row>
    <row r="71" spans="1:13">
      <c r="A71" s="31">
        <v>57</v>
      </c>
      <c r="B71" s="23">
        <v>57</v>
      </c>
      <c r="C71" s="24" t="s">
        <v>138</v>
      </c>
      <c r="E71" s="32">
        <v>57208074</v>
      </c>
      <c r="F71" s="32">
        <v>0</v>
      </c>
      <c r="G71" s="32">
        <v>57208074</v>
      </c>
      <c r="I71" s="32">
        <v>65455249</v>
      </c>
      <c r="J71" s="32">
        <v>0</v>
      </c>
      <c r="K71" s="32">
        <v>65455249</v>
      </c>
      <c r="M71" s="32">
        <v>-8247175</v>
      </c>
    </row>
    <row r="72" spans="1:13">
      <c r="A72" s="31">
        <v>0</v>
      </c>
      <c r="B72" s="28"/>
      <c r="C72" s="29" t="s">
        <v>139</v>
      </c>
      <c r="E72" s="30">
        <v>233948255</v>
      </c>
      <c r="F72" s="30">
        <v>0</v>
      </c>
      <c r="G72" s="30">
        <v>233948255</v>
      </c>
      <c r="I72" s="30">
        <v>0</v>
      </c>
      <c r="J72" s="30">
        <v>0</v>
      </c>
      <c r="K72" s="30">
        <v>0</v>
      </c>
      <c r="M72" s="30">
        <v>233948255</v>
      </c>
    </row>
    <row r="73" spans="1:13">
      <c r="A73" s="31">
        <v>58</v>
      </c>
      <c r="B73" s="8">
        <v>58</v>
      </c>
      <c r="C73" s="26" t="s">
        <v>140</v>
      </c>
      <c r="E73" s="33">
        <v>233948255</v>
      </c>
      <c r="F73" s="33">
        <v>0</v>
      </c>
      <c r="G73" s="33">
        <v>233948255</v>
      </c>
      <c r="I73" s="33"/>
      <c r="J73" s="33">
        <v>0</v>
      </c>
      <c r="K73" s="33">
        <v>0</v>
      </c>
      <c r="M73" s="33">
        <v>233948255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1774055</v>
      </c>
      <c r="J78" s="30">
        <v>0</v>
      </c>
      <c r="K78" s="30">
        <v>1774055</v>
      </c>
      <c r="M78" s="30">
        <v>-1774055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756FC21C-DA46-4A1E-9EAE-6FBB3530EAC0}"/>
  </hyperlink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7CB5-E805-4D99-BFD3-64D66BD9CCE9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" style="10" bestFit="1" customWidth="1"/>
    <col min="6" max="6" width="11.08984375" style="8" bestFit="1" customWidth="1"/>
    <col min="7" max="7" width="14" style="10" bestFit="1" customWidth="1"/>
    <col min="8" max="8" width="0.7265625" style="10" customWidth="1"/>
    <col min="9" max="9" width="14" style="10" bestFit="1" customWidth="1"/>
    <col min="10" max="10" width="11.6328125" style="10" bestFit="1" customWidth="1"/>
    <col min="11" max="11" width="14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43</v>
      </c>
      <c r="F1" s="11" t="s">
        <v>162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3251345809</v>
      </c>
      <c r="F8" s="22">
        <v>3847198</v>
      </c>
      <c r="G8" s="22">
        <v>3255193007</v>
      </c>
      <c r="I8" s="22">
        <v>3599784793</v>
      </c>
      <c r="J8" s="22">
        <v>36043830</v>
      </c>
      <c r="K8" s="22">
        <v>3635828623</v>
      </c>
      <c r="M8" s="22">
        <v>-380635616</v>
      </c>
    </row>
    <row r="9" spans="1:13">
      <c r="B9" s="28"/>
      <c r="C9" s="29" t="s">
        <v>76</v>
      </c>
      <c r="E9" s="30">
        <v>864121311</v>
      </c>
      <c r="F9" s="30">
        <v>1000000</v>
      </c>
      <c r="G9" s="30">
        <v>865121311</v>
      </c>
      <c r="I9" s="30">
        <v>854935961</v>
      </c>
      <c r="J9" s="30">
        <v>10185350</v>
      </c>
      <c r="K9" s="30">
        <v>865121311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855993961</v>
      </c>
      <c r="F10" s="32">
        <v>0</v>
      </c>
      <c r="G10" s="32">
        <v>855993961</v>
      </c>
      <c r="I10" s="32">
        <v>853935961</v>
      </c>
      <c r="J10" s="32">
        <v>2058000</v>
      </c>
      <c r="K10" s="32">
        <v>855993961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1000000</v>
      </c>
      <c r="G12" s="32">
        <v>1000000</v>
      </c>
      <c r="I12" s="32">
        <v>1000000</v>
      </c>
      <c r="J12" s="32">
        <v>0</v>
      </c>
      <c r="K12" s="32">
        <v>1000000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>
        <v>8127350</v>
      </c>
      <c r="F14" s="32">
        <v>0</v>
      </c>
      <c r="G14" s="32">
        <v>8127350</v>
      </c>
      <c r="I14" s="32"/>
      <c r="J14" s="32">
        <v>8127350</v>
      </c>
      <c r="K14" s="32">
        <v>8127350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90314433</v>
      </c>
      <c r="F25" s="30">
        <v>0</v>
      </c>
      <c r="G25" s="30">
        <v>90314433</v>
      </c>
      <c r="I25" s="30">
        <v>90314433</v>
      </c>
      <c r="J25" s="30">
        <v>0</v>
      </c>
      <c r="K25" s="30">
        <v>90314433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>
        <v>90314433</v>
      </c>
      <c r="F35" s="33">
        <v>0</v>
      </c>
      <c r="G35" s="33">
        <v>90314433</v>
      </c>
      <c r="I35" s="33">
        <v>90314433</v>
      </c>
      <c r="J35" s="33">
        <v>0</v>
      </c>
      <c r="K35" s="33">
        <v>90314433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1777087621</v>
      </c>
      <c r="F36" s="30">
        <v>0</v>
      </c>
      <c r="G36" s="30">
        <v>1777087621</v>
      </c>
      <c r="I36" s="30">
        <v>1734522075</v>
      </c>
      <c r="J36" s="30">
        <v>25858480</v>
      </c>
      <c r="K36" s="30">
        <v>1760380555</v>
      </c>
      <c r="M36" s="30">
        <v>16707066</v>
      </c>
    </row>
    <row r="37" spans="1:13">
      <c r="A37" s="31">
        <v>27</v>
      </c>
      <c r="B37" s="23">
        <v>27</v>
      </c>
      <c r="C37" s="24" t="s">
        <v>104</v>
      </c>
      <c r="E37" s="32">
        <v>326090144</v>
      </c>
      <c r="F37" s="32">
        <v>0</v>
      </c>
      <c r="G37" s="32">
        <v>326090144</v>
      </c>
      <c r="I37" s="32">
        <v>300231664</v>
      </c>
      <c r="J37" s="32">
        <v>25858480</v>
      </c>
      <c r="K37" s="32">
        <v>326090144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331887687</v>
      </c>
      <c r="F38" s="33">
        <v>0</v>
      </c>
      <c r="G38" s="33">
        <v>331887687</v>
      </c>
      <c r="I38" s="33">
        <v>335355821</v>
      </c>
      <c r="J38" s="33">
        <v>0</v>
      </c>
      <c r="K38" s="33">
        <v>335355821</v>
      </c>
      <c r="M38" s="33">
        <v>-3468134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1027538024</v>
      </c>
      <c r="F40" s="33">
        <v>0</v>
      </c>
      <c r="G40" s="33">
        <v>1027538024</v>
      </c>
      <c r="I40" s="33">
        <v>1027538024</v>
      </c>
      <c r="J40" s="33">
        <v>0</v>
      </c>
      <c r="K40" s="33">
        <v>1027538024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67756750</v>
      </c>
      <c r="F42" s="33">
        <v>0</v>
      </c>
      <c r="G42" s="33">
        <v>67756750</v>
      </c>
      <c r="I42" s="33">
        <v>67756750</v>
      </c>
      <c r="J42" s="33">
        <v>0</v>
      </c>
      <c r="K42" s="33">
        <v>67756750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3672816</v>
      </c>
      <c r="F44" s="33">
        <v>0</v>
      </c>
      <c r="G44" s="33">
        <v>3672816</v>
      </c>
      <c r="I44" s="33">
        <v>3639816</v>
      </c>
      <c r="J44" s="33">
        <v>0</v>
      </c>
      <c r="K44" s="33">
        <v>3639816</v>
      </c>
      <c r="M44" s="33">
        <v>33000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20142200</v>
      </c>
      <c r="F49" s="32">
        <v>0</v>
      </c>
      <c r="G49" s="32">
        <v>20142200</v>
      </c>
      <c r="I49" s="32"/>
      <c r="J49" s="32">
        <v>0</v>
      </c>
      <c r="K49" s="32">
        <v>0</v>
      </c>
      <c r="M49" s="32">
        <v>20142200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275996563</v>
      </c>
      <c r="F53" s="30">
        <v>0</v>
      </c>
      <c r="G53" s="30">
        <v>275996563</v>
      </c>
      <c r="I53" s="30">
        <v>673339245</v>
      </c>
      <c r="J53" s="30">
        <v>0</v>
      </c>
      <c r="K53" s="30">
        <v>673339245</v>
      </c>
      <c r="M53" s="30">
        <v>-397342682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392450021</v>
      </c>
      <c r="J54" s="32">
        <v>0</v>
      </c>
      <c r="K54" s="32">
        <v>392450021</v>
      </c>
      <c r="M54" s="32">
        <v>-392450021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20414713</v>
      </c>
      <c r="J55" s="33">
        <v>0</v>
      </c>
      <c r="K55" s="33">
        <v>20414713</v>
      </c>
      <c r="M55" s="33">
        <v>-20414713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25518388</v>
      </c>
      <c r="J56" s="32">
        <v>0</v>
      </c>
      <c r="K56" s="32">
        <v>25518388</v>
      </c>
      <c r="M56" s="32">
        <v>-25518388</v>
      </c>
    </row>
    <row r="57" spans="1:13">
      <c r="A57" s="31"/>
      <c r="B57" s="8">
        <v>46</v>
      </c>
      <c r="C57" s="26" t="s">
        <v>124</v>
      </c>
      <c r="E57" s="33">
        <v>275996563</v>
      </c>
      <c r="F57" s="33">
        <v>0</v>
      </c>
      <c r="G57" s="33">
        <v>275996563</v>
      </c>
      <c r="I57" s="33">
        <v>161562952</v>
      </c>
      <c r="J57" s="33">
        <v>0</v>
      </c>
      <c r="K57" s="33">
        <v>161562952</v>
      </c>
      <c r="M57" s="33">
        <v>114433611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12759192</v>
      </c>
      <c r="J58" s="32">
        <v>0</v>
      </c>
      <c r="K58" s="32">
        <v>12759192</v>
      </c>
      <c r="M58" s="32">
        <v>-12759192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8593382</v>
      </c>
      <c r="J59" s="33">
        <v>0</v>
      </c>
      <c r="K59" s="33">
        <v>8593382</v>
      </c>
      <c r="M59" s="33">
        <v>-8593382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1003823</v>
      </c>
      <c r="J60" s="32">
        <v>0</v>
      </c>
      <c r="K60" s="32">
        <v>1003823</v>
      </c>
      <c r="M60" s="32">
        <v>-1003823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51036774</v>
      </c>
      <c r="J61" s="33">
        <v>0</v>
      </c>
      <c r="K61" s="33">
        <v>51036774</v>
      </c>
      <c r="M61" s="33">
        <v>-51036774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37307083</v>
      </c>
      <c r="F70" s="30">
        <v>3755578</v>
      </c>
      <c r="G70" s="30">
        <v>41062661</v>
      </c>
      <c r="I70" s="30">
        <v>41062661</v>
      </c>
      <c r="J70" s="30">
        <v>0</v>
      </c>
      <c r="K70" s="30">
        <v>41062661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37307083</v>
      </c>
      <c r="F71" s="32">
        <v>3755578</v>
      </c>
      <c r="G71" s="32">
        <v>41062661</v>
      </c>
      <c r="I71" s="32">
        <v>41062661</v>
      </c>
      <c r="J71" s="32">
        <v>0</v>
      </c>
      <c r="K71" s="32">
        <v>41062661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204261298</v>
      </c>
      <c r="F72" s="30">
        <v>-908380</v>
      </c>
      <c r="G72" s="30">
        <v>203352918</v>
      </c>
      <c r="I72" s="30">
        <v>203352918</v>
      </c>
      <c r="J72" s="30">
        <v>0</v>
      </c>
      <c r="K72" s="30">
        <v>203352918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204261298</v>
      </c>
      <c r="F73" s="33">
        <v>-908380</v>
      </c>
      <c r="G73" s="33">
        <v>203352918</v>
      </c>
      <c r="I73" s="33">
        <v>203352918</v>
      </c>
      <c r="J73" s="33">
        <v>0</v>
      </c>
      <c r="K73" s="33">
        <v>203352918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2257500</v>
      </c>
      <c r="F78" s="30">
        <v>0</v>
      </c>
      <c r="G78" s="30">
        <v>2257500</v>
      </c>
      <c r="I78" s="30">
        <v>2257500</v>
      </c>
      <c r="J78" s="30">
        <v>0</v>
      </c>
      <c r="K78" s="30">
        <v>2257500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C6BAE230-EE16-4697-8367-94412B7D74F4}"/>
  </hyperlink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B844-716C-450F-B487-FFE641C44F55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2.5429687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1.6328125" style="10" bestFit="1" customWidth="1"/>
    <col min="10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14.5">
      <c r="A1" s="7" t="s">
        <v>0</v>
      </c>
      <c r="C1" s="9" t="s">
        <v>60</v>
      </c>
      <c r="E1" s="11" t="s">
        <v>45</v>
      </c>
      <c r="F1" s="11">
        <v>2236190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313226649</v>
      </c>
      <c r="F8" s="22">
        <v>64391458</v>
      </c>
      <c r="G8" s="22">
        <v>377618107</v>
      </c>
      <c r="I8" s="22">
        <v>79365471</v>
      </c>
      <c r="J8" s="22">
        <v>271040168</v>
      </c>
      <c r="K8" s="22">
        <v>350405639</v>
      </c>
      <c r="M8" s="22">
        <v>27212468</v>
      </c>
    </row>
    <row r="9" spans="1:13">
      <c r="B9" s="28"/>
      <c r="C9" s="29" t="s">
        <v>76</v>
      </c>
      <c r="E9" s="30">
        <v>23916710</v>
      </c>
      <c r="F9" s="30">
        <v>44495723</v>
      </c>
      <c r="G9" s="30">
        <v>68412433</v>
      </c>
      <c r="I9" s="30">
        <v>68412433</v>
      </c>
      <c r="J9" s="30">
        <v>0</v>
      </c>
      <c r="K9" s="30">
        <v>68412433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>
        <v>23916710</v>
      </c>
      <c r="F10" s="32">
        <v>43439768</v>
      </c>
      <c r="G10" s="32">
        <v>67356478</v>
      </c>
      <c r="I10" s="32">
        <v>67356478</v>
      </c>
      <c r="J10" s="32">
        <v>0</v>
      </c>
      <c r="K10" s="32">
        <v>67356478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1000000</v>
      </c>
      <c r="G12" s="32">
        <v>1000000</v>
      </c>
      <c r="I12" s="32">
        <v>1000000</v>
      </c>
      <c r="J12" s="32">
        <v>0</v>
      </c>
      <c r="K12" s="32">
        <v>1000000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55955</v>
      </c>
      <c r="G14" s="32">
        <v>55955</v>
      </c>
      <c r="I14" s="32">
        <v>55955</v>
      </c>
      <c r="J14" s="32">
        <v>0</v>
      </c>
      <c r="K14" s="32">
        <v>55955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9170703</v>
      </c>
      <c r="F25" s="30">
        <v>0</v>
      </c>
      <c r="G25" s="30">
        <v>9170703</v>
      </c>
      <c r="I25" s="30">
        <v>0</v>
      </c>
      <c r="J25" s="30">
        <v>9170703</v>
      </c>
      <c r="K25" s="30">
        <v>9170703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>
        <v>9170703</v>
      </c>
      <c r="F35" s="33">
        <v>0</v>
      </c>
      <c r="G35" s="33">
        <v>9170703</v>
      </c>
      <c r="I35" s="33"/>
      <c r="J35" s="33">
        <v>9170703</v>
      </c>
      <c r="K35" s="33">
        <v>9170703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242140480</v>
      </c>
      <c r="F36" s="30">
        <v>19895735</v>
      </c>
      <c r="G36" s="30">
        <v>262036215</v>
      </c>
      <c r="I36" s="30">
        <v>166750</v>
      </c>
      <c r="J36" s="30">
        <v>261869465</v>
      </c>
      <c r="K36" s="30">
        <v>262036215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>
        <v>151937554</v>
      </c>
      <c r="F37" s="32">
        <v>0</v>
      </c>
      <c r="G37" s="32">
        <v>151937554</v>
      </c>
      <c r="I37" s="32"/>
      <c r="J37" s="32">
        <v>151937554</v>
      </c>
      <c r="K37" s="32">
        <v>151937554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30516883</v>
      </c>
      <c r="F38" s="33">
        <v>0</v>
      </c>
      <c r="G38" s="33">
        <v>30516883</v>
      </c>
      <c r="I38" s="33"/>
      <c r="J38" s="33">
        <v>30516883</v>
      </c>
      <c r="K38" s="33">
        <v>30516883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19895735</v>
      </c>
      <c r="G40" s="33">
        <v>19895735</v>
      </c>
      <c r="I40" s="33"/>
      <c r="J40" s="33">
        <v>19895735</v>
      </c>
      <c r="K40" s="33">
        <v>19895735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>
        <v>59519293</v>
      </c>
      <c r="F43" s="32">
        <v>0</v>
      </c>
      <c r="G43" s="32">
        <v>59519293</v>
      </c>
      <c r="I43" s="32"/>
      <c r="J43" s="32">
        <v>59519293</v>
      </c>
      <c r="K43" s="32">
        <v>59519293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166750</v>
      </c>
      <c r="F44" s="33">
        <v>0</v>
      </c>
      <c r="G44" s="33">
        <v>166750</v>
      </c>
      <c r="I44" s="33">
        <v>166750</v>
      </c>
      <c r="J44" s="33">
        <v>0</v>
      </c>
      <c r="K44" s="33">
        <v>166750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9663866</v>
      </c>
      <c r="F70" s="30">
        <v>0</v>
      </c>
      <c r="G70" s="30">
        <v>9663866</v>
      </c>
      <c r="I70" s="30">
        <v>10736288</v>
      </c>
      <c r="J70" s="30">
        <v>0</v>
      </c>
      <c r="K70" s="30">
        <v>10736288</v>
      </c>
      <c r="M70" s="30">
        <v>-1072422</v>
      </c>
    </row>
    <row r="71" spans="1:13">
      <c r="A71" s="31">
        <v>57</v>
      </c>
      <c r="B71" s="23">
        <v>57</v>
      </c>
      <c r="C71" s="24" t="s">
        <v>138</v>
      </c>
      <c r="E71" s="32">
        <v>9663866</v>
      </c>
      <c r="F71" s="32">
        <v>0</v>
      </c>
      <c r="G71" s="32">
        <v>9663866</v>
      </c>
      <c r="I71" s="32">
        <v>10736288</v>
      </c>
      <c r="J71" s="32">
        <v>0</v>
      </c>
      <c r="K71" s="32">
        <v>10736288</v>
      </c>
      <c r="M71" s="32">
        <v>-1072422</v>
      </c>
    </row>
    <row r="72" spans="1:13">
      <c r="A72" s="31">
        <v>0</v>
      </c>
      <c r="B72" s="28"/>
      <c r="C72" s="29" t="s">
        <v>139</v>
      </c>
      <c r="E72" s="30">
        <v>28334890</v>
      </c>
      <c r="F72" s="30">
        <v>0</v>
      </c>
      <c r="G72" s="30">
        <v>28334890</v>
      </c>
      <c r="I72" s="30">
        <v>0</v>
      </c>
      <c r="J72" s="30">
        <v>0</v>
      </c>
      <c r="K72" s="30">
        <v>0</v>
      </c>
      <c r="M72" s="30">
        <v>28334890</v>
      </c>
    </row>
    <row r="73" spans="1:13">
      <c r="A73" s="31">
        <v>58</v>
      </c>
      <c r="B73" s="8">
        <v>58</v>
      </c>
      <c r="C73" s="26" t="s">
        <v>140</v>
      </c>
      <c r="E73" s="33">
        <v>28334890</v>
      </c>
      <c r="F73" s="33">
        <v>0</v>
      </c>
      <c r="G73" s="33">
        <v>28334890</v>
      </c>
      <c r="I73" s="33"/>
      <c r="J73" s="33">
        <v>0</v>
      </c>
      <c r="K73" s="33">
        <v>0</v>
      </c>
      <c r="M73" s="33">
        <v>28334890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50000</v>
      </c>
      <c r="J78" s="30">
        <v>0</v>
      </c>
      <c r="K78" s="30">
        <v>50000</v>
      </c>
      <c r="M78" s="30">
        <v>-50000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94107A3F-CE46-41C9-8C20-C7B29B3BDE3D}"/>
  </hyperlink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077A-E2B5-40AF-8232-8A4E5D5B7791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6.90625" style="10" bestFit="1" customWidth="1"/>
    <col min="6" max="6" width="11.6328125" style="8" bestFit="1" customWidth="1"/>
    <col min="7" max="7" width="12.54296875" style="10" bestFit="1" customWidth="1"/>
    <col min="8" max="8" width="0.7265625" style="10" customWidth="1"/>
    <col min="9" max="9" width="12.54296875" style="10" bestFit="1" customWidth="1"/>
    <col min="10" max="10" width="11.0898437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47</v>
      </c>
      <c r="F1" s="11" t="s">
        <v>163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433301230</v>
      </c>
      <c r="F8" s="22">
        <v>26638155</v>
      </c>
      <c r="G8" s="22">
        <v>459939385</v>
      </c>
      <c r="I8" s="22">
        <v>610578998</v>
      </c>
      <c r="J8" s="22">
        <v>0</v>
      </c>
      <c r="K8" s="22">
        <v>610578998</v>
      </c>
      <c r="M8" s="22">
        <v>-150639613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376070356</v>
      </c>
      <c r="F36" s="30">
        <v>26638155</v>
      </c>
      <c r="G36" s="30">
        <v>402708511</v>
      </c>
      <c r="I36" s="30">
        <v>542226459</v>
      </c>
      <c r="J36" s="30">
        <v>0</v>
      </c>
      <c r="K36" s="30">
        <v>542226459</v>
      </c>
      <c r="M36" s="30">
        <v>-139517948</v>
      </c>
    </row>
    <row r="37" spans="1:13">
      <c r="A37" s="31">
        <v>27</v>
      </c>
      <c r="B37" s="23">
        <v>27</v>
      </c>
      <c r="C37" s="24" t="s">
        <v>104</v>
      </c>
      <c r="E37" s="32">
        <v>2869236</v>
      </c>
      <c r="F37" s="32">
        <v>0</v>
      </c>
      <c r="G37" s="32">
        <v>2869236</v>
      </c>
      <c r="I37" s="32"/>
      <c r="J37" s="32">
        <v>0</v>
      </c>
      <c r="K37" s="32">
        <v>0</v>
      </c>
      <c r="M37" s="32">
        <v>2869236</v>
      </c>
    </row>
    <row r="38" spans="1:13">
      <c r="A38" s="31">
        <v>28</v>
      </c>
      <c r="B38" s="8">
        <v>28</v>
      </c>
      <c r="C38" s="26" t="s">
        <v>105</v>
      </c>
      <c r="E38" s="33">
        <v>286868106</v>
      </c>
      <c r="F38" s="33">
        <v>26638155</v>
      </c>
      <c r="G38" s="33">
        <v>313506261</v>
      </c>
      <c r="I38" s="33">
        <v>447999059</v>
      </c>
      <c r="J38" s="33">
        <v>0</v>
      </c>
      <c r="K38" s="33">
        <v>447999059</v>
      </c>
      <c r="M38" s="33">
        <v>-134492798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>
        <v>5000000</v>
      </c>
      <c r="F40" s="33">
        <v>0</v>
      </c>
      <c r="G40" s="33">
        <v>5000000</v>
      </c>
      <c r="I40" s="33">
        <v>5000000</v>
      </c>
      <c r="J40" s="33">
        <v>0</v>
      </c>
      <c r="K40" s="33">
        <v>5000000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1594019</v>
      </c>
      <c r="F42" s="33">
        <v>0</v>
      </c>
      <c r="G42" s="33">
        <v>1594019</v>
      </c>
      <c r="I42" s="33">
        <v>1594019</v>
      </c>
      <c r="J42" s="33">
        <v>0</v>
      </c>
      <c r="K42" s="33">
        <v>1594019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4161131</v>
      </c>
      <c r="F44" s="33">
        <v>0</v>
      </c>
      <c r="G44" s="33">
        <v>4161131</v>
      </c>
      <c r="I44" s="33">
        <v>4256086</v>
      </c>
      <c r="J44" s="33">
        <v>0</v>
      </c>
      <c r="K44" s="33">
        <v>4256086</v>
      </c>
      <c r="M44" s="33">
        <v>-94955</v>
      </c>
    </row>
    <row r="45" spans="1:13">
      <c r="A45" s="31">
        <v>35</v>
      </c>
      <c r="B45" s="23">
        <v>35</v>
      </c>
      <c r="C45" s="24" t="s">
        <v>112</v>
      </c>
      <c r="E45" s="32">
        <v>65203621</v>
      </c>
      <c r="F45" s="32">
        <v>0</v>
      </c>
      <c r="G45" s="32">
        <v>65203621</v>
      </c>
      <c r="I45" s="32">
        <v>83377295</v>
      </c>
      <c r="J45" s="32">
        <v>0</v>
      </c>
      <c r="K45" s="32">
        <v>83377295</v>
      </c>
      <c r="M45" s="32">
        <v>-18173674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>
        <v>10374243</v>
      </c>
      <c r="F49" s="32">
        <v>0</v>
      </c>
      <c r="G49" s="32">
        <v>10374243</v>
      </c>
      <c r="I49" s="32"/>
      <c r="J49" s="32">
        <v>0</v>
      </c>
      <c r="K49" s="32">
        <v>0</v>
      </c>
      <c r="M49" s="32">
        <v>10374243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3681449</v>
      </c>
      <c r="J53" s="30">
        <v>0</v>
      </c>
      <c r="K53" s="30">
        <v>3681449</v>
      </c>
      <c r="M53" s="30">
        <v>-3681449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1959843</v>
      </c>
      <c r="J54" s="32">
        <v>0</v>
      </c>
      <c r="K54" s="32">
        <v>1959843</v>
      </c>
      <c r="M54" s="32">
        <v>-1959843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73714</v>
      </c>
      <c r="J55" s="33">
        <v>0</v>
      </c>
      <c r="K55" s="33">
        <v>73714</v>
      </c>
      <c r="M55" s="33">
        <v>-73714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92143</v>
      </c>
      <c r="J56" s="32">
        <v>0</v>
      </c>
      <c r="K56" s="32">
        <v>92143</v>
      </c>
      <c r="M56" s="32">
        <v>-92143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1220125</v>
      </c>
      <c r="J57" s="33">
        <v>0</v>
      </c>
      <c r="K57" s="33">
        <v>1220125</v>
      </c>
      <c r="M57" s="33">
        <v>-1220125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46072</v>
      </c>
      <c r="J58" s="32">
        <v>0</v>
      </c>
      <c r="K58" s="32">
        <v>46072</v>
      </c>
      <c r="M58" s="32">
        <v>-46072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105266</v>
      </c>
      <c r="J60" s="32">
        <v>0</v>
      </c>
      <c r="K60" s="32">
        <v>105266</v>
      </c>
      <c r="M60" s="32">
        <v>-105266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184286</v>
      </c>
      <c r="J61" s="33">
        <v>0</v>
      </c>
      <c r="K61" s="33">
        <v>184286</v>
      </c>
      <c r="M61" s="33">
        <v>-184286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35802298</v>
      </c>
      <c r="F70" s="30">
        <v>-32599468</v>
      </c>
      <c r="G70" s="30">
        <v>3202830</v>
      </c>
      <c r="I70" s="30">
        <v>10643046</v>
      </c>
      <c r="J70" s="30">
        <v>0</v>
      </c>
      <c r="K70" s="30">
        <v>10643046</v>
      </c>
      <c r="M70" s="30">
        <v>-7440216</v>
      </c>
    </row>
    <row r="71" spans="1:13">
      <c r="A71" s="31">
        <v>57</v>
      </c>
      <c r="B71" s="23">
        <v>57</v>
      </c>
      <c r="C71" s="24" t="s">
        <v>138</v>
      </c>
      <c r="E71" s="32">
        <v>35802298</v>
      </c>
      <c r="F71" s="32">
        <v>-32599468</v>
      </c>
      <c r="G71" s="32">
        <v>3202830</v>
      </c>
      <c r="I71" s="32">
        <v>10643046</v>
      </c>
      <c r="J71" s="32">
        <v>0</v>
      </c>
      <c r="K71" s="32">
        <v>10643046</v>
      </c>
      <c r="M71" s="32">
        <v>-7440216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32599468</v>
      </c>
      <c r="G72" s="30">
        <v>32599468</v>
      </c>
      <c r="I72" s="30">
        <v>32599468</v>
      </c>
      <c r="J72" s="30">
        <v>0</v>
      </c>
      <c r="K72" s="30">
        <v>32599468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32599468</v>
      </c>
      <c r="G73" s="33">
        <v>32599468</v>
      </c>
      <c r="I73" s="33">
        <v>32599468</v>
      </c>
      <c r="J73" s="33">
        <v>0</v>
      </c>
      <c r="K73" s="33">
        <v>32599468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21428576</v>
      </c>
      <c r="F78" s="30">
        <v>0</v>
      </c>
      <c r="G78" s="30">
        <v>21428576</v>
      </c>
      <c r="I78" s="30">
        <v>21428576</v>
      </c>
      <c r="J78" s="30">
        <v>0</v>
      </c>
      <c r="K78" s="30">
        <v>21428576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6A2570BC-FFAF-4562-8CE5-265C321F17AA}"/>
  </hyperlink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CED3-6DD6-4CEB-A4ED-C41B1724576D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8" style="10" bestFit="1" customWidth="1"/>
    <col min="6" max="6" width="11.08984375" style="8" bestFit="1" customWidth="1"/>
    <col min="7" max="7" width="12.54296875" style="10" bestFit="1" customWidth="1"/>
    <col min="8" max="8" width="0.7265625" style="10" customWidth="1"/>
    <col min="9" max="10" width="11.45312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49</v>
      </c>
      <c r="F1" s="11" t="s">
        <v>164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166907681</v>
      </c>
      <c r="F8" s="22">
        <v>0</v>
      </c>
      <c r="G8" s="22">
        <v>166907681</v>
      </c>
      <c r="I8" s="22">
        <v>63220703</v>
      </c>
      <c r="J8" s="22">
        <v>55000000</v>
      </c>
      <c r="K8" s="22">
        <v>118220703</v>
      </c>
      <c r="M8" s="22">
        <v>48686978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59907681</v>
      </c>
      <c r="F36" s="30">
        <v>0</v>
      </c>
      <c r="G36" s="30">
        <v>59907681</v>
      </c>
      <c r="I36" s="30">
        <v>0</v>
      </c>
      <c r="J36" s="30">
        <v>0</v>
      </c>
      <c r="K36" s="30">
        <v>0</v>
      </c>
      <c r="M36" s="30">
        <v>59907681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59907681</v>
      </c>
      <c r="F38" s="33">
        <v>0</v>
      </c>
      <c r="G38" s="33">
        <v>59907681</v>
      </c>
      <c r="I38" s="33"/>
      <c r="J38" s="33">
        <v>0</v>
      </c>
      <c r="K38" s="33">
        <v>0</v>
      </c>
      <c r="M38" s="33">
        <v>59907681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10989343</v>
      </c>
      <c r="J53" s="30">
        <v>0</v>
      </c>
      <c r="K53" s="30">
        <v>10989343</v>
      </c>
      <c r="M53" s="30">
        <v>-10989343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2340268</v>
      </c>
      <c r="J54" s="32">
        <v>0</v>
      </c>
      <c r="K54" s="32">
        <v>2340268</v>
      </c>
      <c r="M54" s="32">
        <v>-2340268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2144502</v>
      </c>
      <c r="J55" s="33">
        <v>0</v>
      </c>
      <c r="K55" s="33">
        <v>2144502</v>
      </c>
      <c r="M55" s="33">
        <v>-2144502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2671931</v>
      </c>
      <c r="J56" s="32">
        <v>0</v>
      </c>
      <c r="K56" s="32">
        <v>2671931</v>
      </c>
      <c r="M56" s="32">
        <v>-2671931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903735</v>
      </c>
      <c r="J57" s="33">
        <v>0</v>
      </c>
      <c r="K57" s="33">
        <v>903735</v>
      </c>
      <c r="M57" s="33">
        <v>-903735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1340314</v>
      </c>
      <c r="J58" s="32">
        <v>0</v>
      </c>
      <c r="K58" s="32">
        <v>1340314</v>
      </c>
      <c r="M58" s="32">
        <v>-1340314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>
        <v>111377</v>
      </c>
      <c r="J60" s="32">
        <v>0</v>
      </c>
      <c r="K60" s="32">
        <v>111377</v>
      </c>
      <c r="M60" s="32">
        <v>-111377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607765</v>
      </c>
      <c r="J61" s="33">
        <v>0</v>
      </c>
      <c r="K61" s="33">
        <v>607765</v>
      </c>
      <c r="M61" s="33">
        <v>-607765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>
        <v>869451</v>
      </c>
      <c r="J62" s="32">
        <v>0</v>
      </c>
      <c r="K62" s="32">
        <v>869451</v>
      </c>
      <c r="M62" s="32">
        <v>-869451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0</v>
      </c>
      <c r="J72" s="30">
        <v>0</v>
      </c>
      <c r="K72" s="30">
        <v>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/>
      <c r="J73" s="33">
        <v>0</v>
      </c>
      <c r="K73" s="33">
        <v>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107000000</v>
      </c>
      <c r="F78" s="30">
        <v>0</v>
      </c>
      <c r="G78" s="30">
        <v>107000000</v>
      </c>
      <c r="I78" s="30">
        <v>52231360</v>
      </c>
      <c r="J78" s="30">
        <v>55000000</v>
      </c>
      <c r="K78" s="30">
        <v>107231360</v>
      </c>
      <c r="M78" s="30">
        <v>-231360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C5D8B3FF-0AA0-4539-BDEB-D8AF0CF93959}"/>
  </hyperlink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4DE5-5A8F-4C89-BC38-D6A17596EFF2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3.26953125" style="10" bestFit="1" customWidth="1"/>
    <col min="6" max="6" width="12.90625" style="8" bestFit="1" customWidth="1"/>
    <col min="7" max="7" width="12.54296875" style="10" bestFit="1" customWidth="1"/>
    <col min="8" max="8" width="0.7265625" style="10" customWidth="1"/>
    <col min="9" max="9" width="11.6328125" style="10" bestFit="1" customWidth="1"/>
    <col min="10" max="10" width="11.08984375" style="10" bestFit="1" customWidth="1"/>
    <col min="11" max="11" width="11.63281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51</v>
      </c>
      <c r="F1" s="11" t="s">
        <v>165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263237931</v>
      </c>
      <c r="F8" s="22">
        <v>0</v>
      </c>
      <c r="G8" s="22">
        <v>263237931</v>
      </c>
      <c r="I8" s="22">
        <v>26994841</v>
      </c>
      <c r="J8" s="22">
        <v>0</v>
      </c>
      <c r="K8" s="22">
        <v>26994841</v>
      </c>
      <c r="M8" s="22">
        <v>236243090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0</v>
      </c>
      <c r="J15" s="30">
        <v>0</v>
      </c>
      <c r="K15" s="30">
        <v>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/>
      <c r="J18" s="33">
        <v>0</v>
      </c>
      <c r="K18" s="33">
        <v>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256331331</v>
      </c>
      <c r="F36" s="30">
        <v>0</v>
      </c>
      <c r="G36" s="30">
        <v>256331331</v>
      </c>
      <c r="I36" s="30">
        <v>18906567</v>
      </c>
      <c r="J36" s="30">
        <v>0</v>
      </c>
      <c r="K36" s="30">
        <v>18906567</v>
      </c>
      <c r="M36" s="30">
        <v>237424764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256331331</v>
      </c>
      <c r="F38" s="33">
        <v>0</v>
      </c>
      <c r="G38" s="33">
        <v>256331331</v>
      </c>
      <c r="I38" s="33">
        <v>18906567</v>
      </c>
      <c r="J38" s="33"/>
      <c r="K38" s="33">
        <v>18906567</v>
      </c>
      <c r="M38" s="33">
        <v>237424764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1501804</v>
      </c>
      <c r="J53" s="30">
        <v>0</v>
      </c>
      <c r="K53" s="30">
        <v>1501804</v>
      </c>
      <c r="M53" s="30">
        <v>-1501804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744422</v>
      </c>
      <c r="J54" s="32">
        <v>0</v>
      </c>
      <c r="K54" s="32">
        <v>744422</v>
      </c>
      <c r="M54" s="32">
        <v>-744422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27948</v>
      </c>
      <c r="J55" s="33">
        <v>0</v>
      </c>
      <c r="K55" s="33">
        <v>27948</v>
      </c>
      <c r="M55" s="33">
        <v>-27948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34935</v>
      </c>
      <c r="J56" s="32">
        <v>0</v>
      </c>
      <c r="K56" s="32">
        <v>34935</v>
      </c>
      <c r="M56" s="32">
        <v>-34935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607159</v>
      </c>
      <c r="J57" s="33">
        <v>0</v>
      </c>
      <c r="K57" s="33">
        <v>607159</v>
      </c>
      <c r="M57" s="33">
        <v>-607159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17468</v>
      </c>
      <c r="J58" s="32">
        <v>0</v>
      </c>
      <c r="K58" s="32">
        <v>17468</v>
      </c>
      <c r="M58" s="32">
        <v>-17468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69872</v>
      </c>
      <c r="J61" s="33">
        <v>0</v>
      </c>
      <c r="K61" s="33">
        <v>69872</v>
      </c>
      <c r="M61" s="33">
        <v>-69872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340200</v>
      </c>
      <c r="F70" s="30">
        <v>0</v>
      </c>
      <c r="G70" s="30">
        <v>340200</v>
      </c>
      <c r="I70" s="30">
        <v>340200</v>
      </c>
      <c r="J70" s="30">
        <v>0</v>
      </c>
      <c r="K70" s="30">
        <v>340200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340200</v>
      </c>
      <c r="F71" s="32">
        <v>0</v>
      </c>
      <c r="G71" s="32">
        <v>340200</v>
      </c>
      <c r="I71" s="32">
        <v>340200</v>
      </c>
      <c r="J71" s="32">
        <v>0</v>
      </c>
      <c r="K71" s="32">
        <v>340200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6566400</v>
      </c>
      <c r="F72" s="30">
        <v>0</v>
      </c>
      <c r="G72" s="30">
        <v>6566400</v>
      </c>
      <c r="I72" s="30">
        <v>6220800</v>
      </c>
      <c r="J72" s="30">
        <v>0</v>
      </c>
      <c r="K72" s="30">
        <v>6220800</v>
      </c>
      <c r="M72" s="30">
        <v>345600</v>
      </c>
    </row>
    <row r="73" spans="1:13">
      <c r="A73" s="31">
        <v>58</v>
      </c>
      <c r="B73" s="8">
        <v>58</v>
      </c>
      <c r="C73" s="26" t="s">
        <v>140</v>
      </c>
      <c r="E73" s="33">
        <v>6566400</v>
      </c>
      <c r="F73" s="33">
        <v>0</v>
      </c>
      <c r="G73" s="33">
        <v>6566400</v>
      </c>
      <c r="I73" s="33">
        <v>6220800</v>
      </c>
      <c r="J73" s="33">
        <v>0</v>
      </c>
      <c r="K73" s="33">
        <v>6220800</v>
      </c>
      <c r="M73" s="33">
        <v>345600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25470</v>
      </c>
      <c r="J78" s="30">
        <v>0</v>
      </c>
      <c r="K78" s="30">
        <v>25470</v>
      </c>
      <c r="M78" s="30">
        <v>-25470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43206FA4-6DEA-45CF-B42F-602AC7CA7814}"/>
  </hyperlink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448B-4EF6-4D0D-BA57-BA33B95A6BB4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9.26953125" style="10" bestFit="1" customWidth="1"/>
    <col min="6" max="6" width="11.08984375" style="8" bestFit="1" customWidth="1"/>
    <col min="7" max="7" width="6" style="10" bestFit="1" customWidth="1"/>
    <col min="8" max="8" width="0.7265625" style="10" customWidth="1"/>
    <col min="9" max="9" width="12.54296875" style="10" bestFit="1" customWidth="1"/>
    <col min="10" max="10" width="11.0898437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53</v>
      </c>
      <c r="F1" s="11">
        <v>3059434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0</v>
      </c>
      <c r="F8" s="22">
        <v>0</v>
      </c>
      <c r="G8" s="22">
        <v>0</v>
      </c>
      <c r="I8" s="22">
        <v>444380378</v>
      </c>
      <c r="J8" s="22">
        <v>0</v>
      </c>
      <c r="K8" s="22">
        <v>444380378</v>
      </c>
      <c r="M8" s="22">
        <v>-444380378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0</v>
      </c>
      <c r="F15" s="30">
        <v>0</v>
      </c>
      <c r="G15" s="30">
        <v>0</v>
      </c>
      <c r="I15" s="30">
        <v>442630778</v>
      </c>
      <c r="J15" s="30">
        <v>0</v>
      </c>
      <c r="K15" s="30">
        <v>442630778</v>
      </c>
      <c r="M15" s="30">
        <v>-442630778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0</v>
      </c>
      <c r="G18" s="33">
        <v>0</v>
      </c>
      <c r="I18" s="33">
        <v>350536778</v>
      </c>
      <c r="J18" s="33">
        <v>0</v>
      </c>
      <c r="K18" s="33">
        <v>350536778</v>
      </c>
      <c r="M18" s="33">
        <v>-350536778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>
        <v>92094000</v>
      </c>
      <c r="J21" s="32">
        <v>0</v>
      </c>
      <c r="K21" s="32">
        <v>92094000</v>
      </c>
      <c r="M21" s="32">
        <v>-92094000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0</v>
      </c>
      <c r="F36" s="30">
        <v>0</v>
      </c>
      <c r="G36" s="30">
        <v>0</v>
      </c>
      <c r="I36" s="30">
        <v>0</v>
      </c>
      <c r="J36" s="30">
        <v>0</v>
      </c>
      <c r="K36" s="30">
        <v>0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0</v>
      </c>
      <c r="G38" s="33">
        <v>0</v>
      </c>
      <c r="I38" s="33"/>
      <c r="J38" s="33">
        <v>0</v>
      </c>
      <c r="K38" s="33">
        <v>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0</v>
      </c>
      <c r="J53" s="30">
        <v>0</v>
      </c>
      <c r="K53" s="30">
        <v>0</v>
      </c>
      <c r="M53" s="30">
        <v>0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/>
      <c r="J54" s="32">
        <v>0</v>
      </c>
      <c r="K54" s="32">
        <v>0</v>
      </c>
      <c r="M54" s="32">
        <v>0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/>
      <c r="J55" s="33">
        <v>0</v>
      </c>
      <c r="K55" s="33">
        <v>0</v>
      </c>
      <c r="M55" s="33">
        <v>0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/>
      <c r="J56" s="32">
        <v>0</v>
      </c>
      <c r="K56" s="32">
        <v>0</v>
      </c>
      <c r="M56" s="32">
        <v>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/>
      <c r="J57" s="33">
        <v>0</v>
      </c>
      <c r="K57" s="33">
        <v>0</v>
      </c>
      <c r="M57" s="33">
        <v>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/>
      <c r="J58" s="32">
        <v>0</v>
      </c>
      <c r="K58" s="32">
        <v>0</v>
      </c>
      <c r="M58" s="32">
        <v>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/>
      <c r="J61" s="33">
        <v>0</v>
      </c>
      <c r="K61" s="33">
        <v>0</v>
      </c>
      <c r="M61" s="33">
        <v>0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90720</v>
      </c>
      <c r="J70" s="30">
        <v>0</v>
      </c>
      <c r="K70" s="30">
        <v>90720</v>
      </c>
      <c r="M70" s="30">
        <v>-90720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>
        <v>90720</v>
      </c>
      <c r="J71" s="32">
        <v>0</v>
      </c>
      <c r="K71" s="32">
        <v>90720</v>
      </c>
      <c r="M71" s="32">
        <v>-90720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1658880</v>
      </c>
      <c r="J72" s="30">
        <v>0</v>
      </c>
      <c r="K72" s="30">
        <v>1658880</v>
      </c>
      <c r="M72" s="30">
        <v>-1658880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>
        <v>1658880</v>
      </c>
      <c r="J73" s="33">
        <v>0</v>
      </c>
      <c r="K73" s="33">
        <v>1658880</v>
      </c>
      <c r="M73" s="33">
        <v>-1658880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3DFCA9E9-1226-4C8C-9D87-334B88D782EC}"/>
  </hyperlink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1C44-56A3-4C69-B040-A2A34D7ABA4E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5.26953125" style="10" bestFit="1" customWidth="1"/>
    <col min="6" max="6" width="11.08984375" style="8" bestFit="1" customWidth="1"/>
    <col min="7" max="7" width="12.54296875" style="10" bestFit="1" customWidth="1"/>
    <col min="8" max="8" width="0.7265625" style="10" customWidth="1"/>
    <col min="9" max="9" width="12.54296875" style="10" bestFit="1" customWidth="1"/>
    <col min="10" max="10" width="11.6328125" style="10" bestFit="1" customWidth="1"/>
    <col min="11" max="11" width="12.5429687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14.5">
      <c r="A1" s="7" t="s">
        <v>0</v>
      </c>
      <c r="C1" s="9" t="s">
        <v>60</v>
      </c>
      <c r="E1" s="11" t="s">
        <v>55</v>
      </c>
      <c r="F1" s="37">
        <v>6501383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696053333.96375</v>
      </c>
      <c r="F8" s="22">
        <v>0</v>
      </c>
      <c r="G8" s="22">
        <v>696053333.96375</v>
      </c>
      <c r="I8" s="22">
        <v>665334116</v>
      </c>
      <c r="J8" s="22">
        <v>31295008.963749997</v>
      </c>
      <c r="K8" s="22">
        <v>696629124.96375</v>
      </c>
      <c r="M8" s="22">
        <v>-575791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696053333.96375</v>
      </c>
      <c r="F15" s="30">
        <v>0</v>
      </c>
      <c r="G15" s="30">
        <v>696053333.96375</v>
      </c>
      <c r="I15" s="30">
        <v>665177330</v>
      </c>
      <c r="J15" s="30">
        <v>31295008.963749997</v>
      </c>
      <c r="K15" s="30">
        <v>696472338.96375</v>
      </c>
      <c r="M15" s="30">
        <v>-419005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>
        <v>664758325</v>
      </c>
      <c r="F18" s="33">
        <v>0</v>
      </c>
      <c r="G18" s="33">
        <v>664758325</v>
      </c>
      <c r="I18" s="33">
        <v>665177330</v>
      </c>
      <c r="J18" s="33">
        <v>0</v>
      </c>
      <c r="K18" s="33">
        <v>665177330</v>
      </c>
      <c r="M18" s="33">
        <v>-419005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>
        <v>31295008.963749997</v>
      </c>
      <c r="F21" s="32">
        <v>0</v>
      </c>
      <c r="G21" s="32">
        <v>31295008.963749997</v>
      </c>
      <c r="I21" s="32"/>
      <c r="J21" s="32">
        <v>31295008.963749997</v>
      </c>
      <c r="K21" s="32">
        <v>31295008.963749997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0</v>
      </c>
      <c r="F36" s="30">
        <v>0</v>
      </c>
      <c r="G36" s="30">
        <v>0</v>
      </c>
      <c r="I36" s="30">
        <v>0</v>
      </c>
      <c r="J36" s="30">
        <v>0</v>
      </c>
      <c r="K36" s="30">
        <v>0</v>
      </c>
      <c r="M36" s="30">
        <v>0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/>
      <c r="F38" s="33">
        <v>0</v>
      </c>
      <c r="G38" s="33">
        <v>0</v>
      </c>
      <c r="I38" s="33"/>
      <c r="J38" s="33">
        <v>0</v>
      </c>
      <c r="K38" s="33">
        <v>0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/>
      <c r="F42" s="33">
        <v>0</v>
      </c>
      <c r="G42" s="33">
        <v>0</v>
      </c>
      <c r="I42" s="33"/>
      <c r="J42" s="33">
        <v>0</v>
      </c>
      <c r="K42" s="33">
        <v>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/>
      <c r="F44" s="33">
        <v>0</v>
      </c>
      <c r="G44" s="33">
        <v>0</v>
      </c>
      <c r="I44" s="33"/>
      <c r="J44" s="33">
        <v>0</v>
      </c>
      <c r="K44" s="33">
        <v>0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156786</v>
      </c>
      <c r="J53" s="30">
        <v>0</v>
      </c>
      <c r="K53" s="30">
        <v>156786</v>
      </c>
      <c r="M53" s="30">
        <v>-156786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75919</v>
      </c>
      <c r="J54" s="32">
        <v>0</v>
      </c>
      <c r="K54" s="32">
        <v>75919</v>
      </c>
      <c r="M54" s="32">
        <v>-75919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7976</v>
      </c>
      <c r="J55" s="33">
        <v>0</v>
      </c>
      <c r="K55" s="33">
        <v>7976</v>
      </c>
      <c r="M55" s="33">
        <v>-7976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9970</v>
      </c>
      <c r="J56" s="32">
        <v>0</v>
      </c>
      <c r="K56" s="32">
        <v>9970</v>
      </c>
      <c r="M56" s="32">
        <v>-9970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37997</v>
      </c>
      <c r="J57" s="33">
        <v>0</v>
      </c>
      <c r="K57" s="33">
        <v>37997</v>
      </c>
      <c r="M57" s="33">
        <v>-37997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4985</v>
      </c>
      <c r="J58" s="32">
        <v>0</v>
      </c>
      <c r="K58" s="32">
        <v>4985</v>
      </c>
      <c r="M58" s="32">
        <v>-4985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19939</v>
      </c>
      <c r="J61" s="33">
        <v>0</v>
      </c>
      <c r="K61" s="33">
        <v>19939</v>
      </c>
      <c r="M61" s="33">
        <v>-19939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0</v>
      </c>
      <c r="F70" s="30">
        <v>0</v>
      </c>
      <c r="G70" s="30">
        <v>0</v>
      </c>
      <c r="I70" s="30">
        <v>0</v>
      </c>
      <c r="J70" s="30">
        <v>0</v>
      </c>
      <c r="K70" s="30">
        <v>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/>
      <c r="F71" s="32">
        <v>0</v>
      </c>
      <c r="G71" s="32">
        <v>0</v>
      </c>
      <c r="I71" s="32"/>
      <c r="J71" s="32">
        <v>0</v>
      </c>
      <c r="K71" s="32">
        <v>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0</v>
      </c>
      <c r="F72" s="30">
        <v>0</v>
      </c>
      <c r="G72" s="30">
        <v>0</v>
      </c>
      <c r="I72" s="30">
        <v>0</v>
      </c>
      <c r="J72" s="30">
        <v>0</v>
      </c>
      <c r="K72" s="30">
        <v>0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/>
      <c r="F73" s="33">
        <v>0</v>
      </c>
      <c r="G73" s="33">
        <v>0</v>
      </c>
      <c r="I73" s="33"/>
      <c r="J73" s="33">
        <v>0</v>
      </c>
      <c r="K73" s="33">
        <v>0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0</v>
      </c>
      <c r="J78" s="30">
        <v>0</v>
      </c>
      <c r="K78" s="30">
        <v>0</v>
      </c>
      <c r="M78" s="30">
        <v>0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876FFFFF-9652-428B-A69C-6C7331E4C6C3}"/>
  </hyperlink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33A1-BE8A-4329-8FB0-91E23260839D}">
  <dimension ref="A1:M79"/>
  <sheetViews>
    <sheetView showGridLines="0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.90625" style="10" bestFit="1" customWidth="1"/>
    <col min="6" max="6" width="12.54296875" style="8" bestFit="1" customWidth="1"/>
    <col min="7" max="7" width="14.90625" style="10" bestFit="1" customWidth="1"/>
    <col min="8" max="8" width="0.7265625" style="10" customWidth="1"/>
    <col min="9" max="10" width="14" style="10" bestFit="1" customWidth="1"/>
    <col min="11" max="11" width="14.90625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57</v>
      </c>
      <c r="F1" s="11" t="s">
        <v>166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15483383028</v>
      </c>
      <c r="F8" s="22">
        <v>29324180</v>
      </c>
      <c r="G8" s="22">
        <v>15512707208</v>
      </c>
      <c r="I8" s="22">
        <v>8209088323</v>
      </c>
      <c r="J8" s="22">
        <v>7363599728</v>
      </c>
      <c r="K8" s="22">
        <v>15572688051</v>
      </c>
      <c r="M8" s="22">
        <v>-59980843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367932000</v>
      </c>
      <c r="F15" s="30">
        <v>29324180</v>
      </c>
      <c r="G15" s="30">
        <v>397256180</v>
      </c>
      <c r="I15" s="30">
        <v>397256180</v>
      </c>
      <c r="J15" s="30">
        <v>0</v>
      </c>
      <c r="K15" s="30">
        <v>397256180</v>
      </c>
      <c r="M15" s="30">
        <v>0</v>
      </c>
    </row>
    <row r="16" spans="1:13">
      <c r="A16" s="31">
        <v>8</v>
      </c>
      <c r="B16" s="8">
        <v>8</v>
      </c>
      <c r="C16" s="26" t="s">
        <v>83</v>
      </c>
      <c r="E16" s="33">
        <v>367932000</v>
      </c>
      <c r="F16" s="33">
        <v>-367932000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/>
      <c r="F18" s="33">
        <v>397256180</v>
      </c>
      <c r="G18" s="33">
        <v>397256180</v>
      </c>
      <c r="I18" s="33">
        <v>397256180</v>
      </c>
      <c r="J18" s="33">
        <v>0</v>
      </c>
      <c r="K18" s="33">
        <v>397256180</v>
      </c>
      <c r="M18" s="33">
        <v>0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/>
      <c r="F21" s="32">
        <v>0</v>
      </c>
      <c r="G21" s="32">
        <v>0</v>
      </c>
      <c r="I21" s="32"/>
      <c r="J21" s="32">
        <v>0</v>
      </c>
      <c r="K21" s="32">
        <v>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14961496529</v>
      </c>
      <c r="F36" s="30">
        <v>0</v>
      </c>
      <c r="G36" s="30">
        <v>14961496529</v>
      </c>
      <c r="I36" s="30">
        <v>7597886529</v>
      </c>
      <c r="J36" s="30">
        <v>7363599728</v>
      </c>
      <c r="K36" s="30">
        <v>14961486257</v>
      </c>
      <c r="M36" s="30">
        <v>10272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10908120813</v>
      </c>
      <c r="F38" s="33">
        <v>0</v>
      </c>
      <c r="G38" s="33">
        <v>10908120813</v>
      </c>
      <c r="I38" s="33">
        <v>7347744047</v>
      </c>
      <c r="J38" s="33">
        <v>3560376766</v>
      </c>
      <c r="K38" s="33">
        <v>10908120813</v>
      </c>
      <c r="M38" s="33">
        <v>0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4025260507</v>
      </c>
      <c r="F42" s="33">
        <v>0</v>
      </c>
      <c r="G42" s="33">
        <v>4025260507</v>
      </c>
      <c r="I42" s="33">
        <v>222037545</v>
      </c>
      <c r="J42" s="33">
        <v>3803222962</v>
      </c>
      <c r="K42" s="33">
        <v>4025260507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28115209</v>
      </c>
      <c r="F44" s="33">
        <v>0</v>
      </c>
      <c r="G44" s="33">
        <v>28115209</v>
      </c>
      <c r="I44" s="33">
        <v>28104937</v>
      </c>
      <c r="J44" s="33">
        <v>0</v>
      </c>
      <c r="K44" s="33">
        <v>28104937</v>
      </c>
      <c r="M44" s="33">
        <v>10272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0</v>
      </c>
      <c r="F53" s="30">
        <v>0</v>
      </c>
      <c r="G53" s="30">
        <v>0</v>
      </c>
      <c r="I53" s="30">
        <v>67029604</v>
      </c>
      <c r="J53" s="30">
        <v>0</v>
      </c>
      <c r="K53" s="30">
        <v>67029604</v>
      </c>
      <c r="M53" s="30">
        <v>-67029604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36523537</v>
      </c>
      <c r="J54" s="32">
        <v>0</v>
      </c>
      <c r="K54" s="32">
        <v>36523537</v>
      </c>
      <c r="M54" s="32">
        <v>-36523537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1610076</v>
      </c>
      <c r="J55" s="33">
        <v>0</v>
      </c>
      <c r="K55" s="33">
        <v>1610076</v>
      </c>
      <c r="M55" s="33">
        <v>-1610076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2012597</v>
      </c>
      <c r="J56" s="32">
        <v>0</v>
      </c>
      <c r="K56" s="32">
        <v>2012597</v>
      </c>
      <c r="M56" s="32">
        <v>-2012597</v>
      </c>
    </row>
    <row r="57" spans="1:13">
      <c r="A57" s="31"/>
      <c r="B57" s="8">
        <v>46</v>
      </c>
      <c r="C57" s="26" t="s">
        <v>124</v>
      </c>
      <c r="E57" s="33"/>
      <c r="F57" s="33">
        <v>0</v>
      </c>
      <c r="G57" s="33">
        <v>0</v>
      </c>
      <c r="I57" s="33">
        <v>21688090</v>
      </c>
      <c r="J57" s="33">
        <v>0</v>
      </c>
      <c r="K57" s="33">
        <v>21688090</v>
      </c>
      <c r="M57" s="33">
        <v>-21688090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1006300</v>
      </c>
      <c r="J58" s="32">
        <v>0</v>
      </c>
      <c r="K58" s="32">
        <v>1006300</v>
      </c>
      <c r="M58" s="32">
        <v>-1006300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>
        <v>163811</v>
      </c>
      <c r="J59" s="33">
        <v>0</v>
      </c>
      <c r="K59" s="33">
        <v>163811</v>
      </c>
      <c r="M59" s="33">
        <v>-163811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4025193</v>
      </c>
      <c r="J61" s="33">
        <v>0</v>
      </c>
      <c r="K61" s="33">
        <v>4025193</v>
      </c>
      <c r="M61" s="33">
        <v>-4025193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7983360</v>
      </c>
      <c r="F70" s="30">
        <v>0</v>
      </c>
      <c r="G70" s="30">
        <v>7983360</v>
      </c>
      <c r="I70" s="30">
        <v>7838133</v>
      </c>
      <c r="J70" s="30">
        <v>0</v>
      </c>
      <c r="K70" s="30">
        <v>7838133</v>
      </c>
      <c r="M70" s="30">
        <v>145227</v>
      </c>
    </row>
    <row r="71" spans="1:13">
      <c r="A71" s="31">
        <v>57</v>
      </c>
      <c r="B71" s="23">
        <v>57</v>
      </c>
      <c r="C71" s="24" t="s">
        <v>138</v>
      </c>
      <c r="E71" s="32">
        <v>7983360</v>
      </c>
      <c r="F71" s="32">
        <v>0</v>
      </c>
      <c r="G71" s="32">
        <v>7983360</v>
      </c>
      <c r="I71" s="32">
        <v>7838133</v>
      </c>
      <c r="J71" s="32">
        <v>0</v>
      </c>
      <c r="K71" s="32">
        <v>7838133</v>
      </c>
      <c r="M71" s="32">
        <v>145227</v>
      </c>
    </row>
    <row r="72" spans="1:13">
      <c r="A72" s="31">
        <v>0</v>
      </c>
      <c r="B72" s="28"/>
      <c r="C72" s="29" t="s">
        <v>139</v>
      </c>
      <c r="E72" s="30">
        <v>145971139</v>
      </c>
      <c r="F72" s="30">
        <v>0</v>
      </c>
      <c r="G72" s="30">
        <v>145971139</v>
      </c>
      <c r="I72" s="30">
        <v>137257171</v>
      </c>
      <c r="J72" s="30">
        <v>0</v>
      </c>
      <c r="K72" s="30">
        <v>137257171</v>
      </c>
      <c r="M72" s="30">
        <v>8713968</v>
      </c>
    </row>
    <row r="73" spans="1:13">
      <c r="A73" s="31">
        <v>58</v>
      </c>
      <c r="B73" s="8">
        <v>58</v>
      </c>
      <c r="C73" s="26" t="s">
        <v>140</v>
      </c>
      <c r="E73" s="33">
        <v>145971139</v>
      </c>
      <c r="F73" s="33">
        <v>0</v>
      </c>
      <c r="G73" s="33">
        <v>145971139</v>
      </c>
      <c r="I73" s="33">
        <v>137257171</v>
      </c>
      <c r="J73" s="33">
        <v>0</v>
      </c>
      <c r="K73" s="33">
        <v>137257171</v>
      </c>
      <c r="M73" s="33">
        <v>8713968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1820706</v>
      </c>
      <c r="J78" s="30">
        <v>0</v>
      </c>
      <c r="K78" s="30">
        <v>1820706</v>
      </c>
      <c r="M78" s="30">
        <v>-1820706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5F9CF36A-40FC-4759-9737-B76EFEA723C2}"/>
  </hyperlink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476-5780-48F3-B086-4B271CA94CE3}">
  <dimension ref="A1:M79"/>
  <sheetViews>
    <sheetView showGridLines="0" topLeftCell="A56" zoomScale="63" zoomScaleNormal="63" workbookViewId="0">
      <selection activeCell="N170" activeCellId="1" sqref="B1 N170"/>
    </sheetView>
  </sheetViews>
  <sheetFormatPr baseColWidth="10" defaultColWidth="12.36328125" defaultRowHeight="12"/>
  <cols>
    <col min="1" max="1" width="11.08984375" style="8" bestFit="1" customWidth="1"/>
    <col min="2" max="2" width="20.7265625" style="8" bestFit="1" customWidth="1"/>
    <col min="3" max="3" width="59.453125" style="35" bestFit="1" customWidth="1"/>
    <col min="4" max="4" width="0.7265625" style="10" customWidth="1"/>
    <col min="5" max="5" width="14" style="10" bestFit="1" customWidth="1"/>
    <col min="6" max="6" width="12.54296875" style="8" bestFit="1" customWidth="1"/>
    <col min="7" max="7" width="14" style="10" bestFit="1" customWidth="1"/>
    <col min="8" max="8" width="0.7265625" style="10" customWidth="1"/>
    <col min="9" max="9" width="14" style="10" bestFit="1" customWidth="1"/>
    <col min="10" max="10" width="13.81640625" style="10" bestFit="1" customWidth="1"/>
    <col min="11" max="11" width="14" style="10" bestFit="1" customWidth="1"/>
    <col min="12" max="12" width="0.7265625" style="10" customWidth="1"/>
    <col min="13" max="13" width="15.08984375" style="10" bestFit="1" customWidth="1"/>
    <col min="14" max="16384" width="12.36328125" style="10"/>
  </cols>
  <sheetData>
    <row r="1" spans="1:13" ht="24">
      <c r="A1" s="7" t="s">
        <v>0</v>
      </c>
      <c r="C1" s="9" t="s">
        <v>60</v>
      </c>
      <c r="E1" s="11" t="s">
        <v>59</v>
      </c>
      <c r="F1" s="37">
        <v>6011291</v>
      </c>
      <c r="G1" s="12"/>
      <c r="J1" s="12" t="s">
        <v>62</v>
      </c>
      <c r="K1" s="12">
        <v>2023</v>
      </c>
    </row>
    <row r="2" spans="1:13">
      <c r="C2" s="13"/>
      <c r="F2" s="10"/>
      <c r="I2" s="10" t="s">
        <v>63</v>
      </c>
      <c r="J2" s="14">
        <v>604.32574999999997</v>
      </c>
    </row>
    <row r="3" spans="1:13">
      <c r="B3" s="15" t="s">
        <v>64</v>
      </c>
      <c r="C3" s="16" t="s">
        <v>65</v>
      </c>
      <c r="E3" s="17" t="s">
        <v>66</v>
      </c>
      <c r="F3" s="17"/>
      <c r="G3" s="17"/>
      <c r="I3" s="17" t="s">
        <v>67</v>
      </c>
      <c r="J3" s="17"/>
      <c r="K3" s="17"/>
      <c r="M3" s="18" t="s">
        <v>68</v>
      </c>
    </row>
    <row r="4" spans="1:13">
      <c r="B4" s="15"/>
      <c r="C4" s="16"/>
      <c r="E4" s="19" t="s">
        <v>69</v>
      </c>
      <c r="F4" s="19" t="s">
        <v>70</v>
      </c>
      <c r="G4" s="19" t="s">
        <v>71</v>
      </c>
      <c r="I4" s="19" t="s">
        <v>69</v>
      </c>
      <c r="J4" s="19" t="s">
        <v>70</v>
      </c>
      <c r="K4" s="19" t="s">
        <v>71</v>
      </c>
      <c r="M4" s="18"/>
    </row>
    <row r="5" spans="1:13">
      <c r="B5" s="20" t="s">
        <v>72</v>
      </c>
      <c r="C5" s="21"/>
      <c r="E5" s="22">
        <v>0</v>
      </c>
      <c r="F5" s="22">
        <v>0</v>
      </c>
      <c r="G5" s="22">
        <v>0</v>
      </c>
      <c r="I5" s="22">
        <v>0</v>
      </c>
      <c r="J5" s="22">
        <v>0</v>
      </c>
      <c r="K5" s="22">
        <v>0</v>
      </c>
      <c r="M5" s="22">
        <v>0</v>
      </c>
    </row>
    <row r="6" spans="1:13">
      <c r="B6" s="23">
        <v>1</v>
      </c>
      <c r="C6" s="24" t="s">
        <v>73</v>
      </c>
      <c r="E6" s="25"/>
      <c r="F6" s="25">
        <v>0</v>
      </c>
      <c r="G6" s="25">
        <v>0</v>
      </c>
      <c r="I6" s="25"/>
      <c r="J6" s="25">
        <v>0</v>
      </c>
      <c r="K6" s="25">
        <v>0</v>
      </c>
      <c r="M6" s="25">
        <v>0</v>
      </c>
    </row>
    <row r="7" spans="1:13">
      <c r="B7" s="8">
        <v>2</v>
      </c>
      <c r="C7" s="26" t="s">
        <v>74</v>
      </c>
      <c r="E7" s="27"/>
      <c r="F7" s="27">
        <v>0</v>
      </c>
      <c r="G7" s="27">
        <v>0</v>
      </c>
      <c r="I7" s="27"/>
      <c r="J7" s="27">
        <v>0</v>
      </c>
      <c r="K7" s="27">
        <v>0</v>
      </c>
      <c r="M7" s="27">
        <v>0</v>
      </c>
    </row>
    <row r="8" spans="1:13">
      <c r="B8" s="20" t="s">
        <v>75</v>
      </c>
      <c r="C8" s="21"/>
      <c r="E8" s="22">
        <v>13936243381</v>
      </c>
      <c r="F8" s="22">
        <v>-388138980</v>
      </c>
      <c r="G8" s="22">
        <v>13548104401</v>
      </c>
      <c r="I8" s="22">
        <v>11449617425</v>
      </c>
      <c r="J8" s="22">
        <v>1718566150</v>
      </c>
      <c r="K8" s="22">
        <v>13168183575</v>
      </c>
      <c r="M8" s="22">
        <v>379920826</v>
      </c>
    </row>
    <row r="9" spans="1:13">
      <c r="B9" s="28"/>
      <c r="C9" s="29" t="s">
        <v>76</v>
      </c>
      <c r="E9" s="30">
        <v>0</v>
      </c>
      <c r="F9" s="30">
        <v>0</v>
      </c>
      <c r="G9" s="30">
        <v>0</v>
      </c>
      <c r="I9" s="30">
        <v>0</v>
      </c>
      <c r="J9" s="30">
        <v>0</v>
      </c>
      <c r="K9" s="30">
        <v>0</v>
      </c>
      <c r="M9" s="30">
        <v>0</v>
      </c>
    </row>
    <row r="10" spans="1:13">
      <c r="A10" s="31">
        <v>3</v>
      </c>
      <c r="B10" s="23">
        <v>3</v>
      </c>
      <c r="C10" s="24" t="s">
        <v>77</v>
      </c>
      <c r="E10" s="32"/>
      <c r="F10" s="32">
        <v>0</v>
      </c>
      <c r="G10" s="32">
        <v>0</v>
      </c>
      <c r="I10" s="32"/>
      <c r="J10" s="32">
        <v>0</v>
      </c>
      <c r="K10" s="32">
        <v>0</v>
      </c>
      <c r="M10" s="32">
        <v>0</v>
      </c>
    </row>
    <row r="11" spans="1:13">
      <c r="A11" s="31">
        <v>4</v>
      </c>
      <c r="B11" s="8">
        <v>4</v>
      </c>
      <c r="C11" s="26" t="s">
        <v>78</v>
      </c>
      <c r="E11" s="33"/>
      <c r="F11" s="33">
        <v>0</v>
      </c>
      <c r="G11" s="33">
        <v>0</v>
      </c>
      <c r="I11" s="33"/>
      <c r="J11" s="33">
        <v>0</v>
      </c>
      <c r="K11" s="33">
        <v>0</v>
      </c>
      <c r="M11" s="33">
        <v>0</v>
      </c>
    </row>
    <row r="12" spans="1:13">
      <c r="A12" s="31">
        <v>5</v>
      </c>
      <c r="B12" s="23">
        <v>5</v>
      </c>
      <c r="C12" s="24" t="s">
        <v>79</v>
      </c>
      <c r="E12" s="32"/>
      <c r="F12" s="32">
        <v>0</v>
      </c>
      <c r="G12" s="32">
        <v>0</v>
      </c>
      <c r="I12" s="32"/>
      <c r="J12" s="32">
        <v>0</v>
      </c>
      <c r="K12" s="32">
        <v>0</v>
      </c>
      <c r="M12" s="32">
        <v>0</v>
      </c>
    </row>
    <row r="13" spans="1:13">
      <c r="A13" s="31">
        <v>6</v>
      </c>
      <c r="B13" s="8">
        <v>6</v>
      </c>
      <c r="C13" s="26" t="s">
        <v>80</v>
      </c>
      <c r="E13" s="33"/>
      <c r="F13" s="33">
        <v>0</v>
      </c>
      <c r="G13" s="33">
        <v>0</v>
      </c>
      <c r="I13" s="33"/>
      <c r="J13" s="33">
        <v>0</v>
      </c>
      <c r="K13" s="33">
        <v>0</v>
      </c>
      <c r="M13" s="33">
        <v>0</v>
      </c>
    </row>
    <row r="14" spans="1:13">
      <c r="A14" s="31">
        <v>7</v>
      </c>
      <c r="B14" s="23">
        <v>7</v>
      </c>
      <c r="C14" s="24" t="s">
        <v>81</v>
      </c>
      <c r="E14" s="32"/>
      <c r="F14" s="32">
        <v>0</v>
      </c>
      <c r="G14" s="32">
        <v>0</v>
      </c>
      <c r="I14" s="32"/>
      <c r="J14" s="32">
        <v>0</v>
      </c>
      <c r="K14" s="32">
        <v>0</v>
      </c>
      <c r="M14" s="32">
        <v>0</v>
      </c>
    </row>
    <row r="15" spans="1:13">
      <c r="A15" s="31">
        <v>0</v>
      </c>
      <c r="B15" s="28"/>
      <c r="C15" s="29" t="s">
        <v>82</v>
      </c>
      <c r="E15" s="30">
        <v>313472250</v>
      </c>
      <c r="F15" s="30">
        <v>0</v>
      </c>
      <c r="G15" s="30">
        <v>313472250</v>
      </c>
      <c r="I15" s="30">
        <v>312545825</v>
      </c>
      <c r="J15" s="30">
        <v>0</v>
      </c>
      <c r="K15" s="30">
        <v>312545825</v>
      </c>
      <c r="M15" s="30">
        <v>926425</v>
      </c>
    </row>
    <row r="16" spans="1:13">
      <c r="A16" s="31">
        <v>8</v>
      </c>
      <c r="B16" s="8">
        <v>8</v>
      </c>
      <c r="C16" s="26" t="s">
        <v>83</v>
      </c>
      <c r="E16" s="33"/>
      <c r="F16" s="33">
        <v>0</v>
      </c>
      <c r="G16" s="33">
        <v>0</v>
      </c>
      <c r="I16" s="33"/>
      <c r="J16" s="33">
        <v>0</v>
      </c>
      <c r="K16" s="33">
        <v>0</v>
      </c>
      <c r="M16" s="33">
        <v>0</v>
      </c>
    </row>
    <row r="17" spans="1:13">
      <c r="A17" s="31">
        <v>9</v>
      </c>
      <c r="B17" s="23">
        <v>9</v>
      </c>
      <c r="C17" s="24" t="s">
        <v>84</v>
      </c>
      <c r="E17" s="32"/>
      <c r="F17" s="32">
        <v>0</v>
      </c>
      <c r="G17" s="32">
        <v>0</v>
      </c>
      <c r="I17" s="32"/>
      <c r="J17" s="32">
        <v>0</v>
      </c>
      <c r="K17" s="32">
        <v>0</v>
      </c>
      <c r="M17" s="32">
        <v>0</v>
      </c>
    </row>
    <row r="18" spans="1:13">
      <c r="A18" s="31"/>
      <c r="B18" s="8">
        <v>10</v>
      </c>
      <c r="C18" s="26" t="s">
        <v>85</v>
      </c>
      <c r="E18" s="33">
        <v>299250000</v>
      </c>
      <c r="F18" s="33">
        <v>0</v>
      </c>
      <c r="G18" s="33">
        <v>299250000</v>
      </c>
      <c r="I18" s="33">
        <v>312545825</v>
      </c>
      <c r="J18" s="33">
        <v>-14222250</v>
      </c>
      <c r="K18" s="33">
        <v>298323575</v>
      </c>
      <c r="M18" s="33">
        <v>926425</v>
      </c>
    </row>
    <row r="19" spans="1:13">
      <c r="A19" s="31">
        <v>11</v>
      </c>
      <c r="B19" s="23">
        <v>11</v>
      </c>
      <c r="C19" s="24" t="s">
        <v>86</v>
      </c>
      <c r="E19" s="32"/>
      <c r="F19" s="32">
        <v>0</v>
      </c>
      <c r="G19" s="32">
        <v>0</v>
      </c>
      <c r="I19" s="32"/>
      <c r="J19" s="32">
        <v>0</v>
      </c>
      <c r="K19" s="32">
        <v>0</v>
      </c>
      <c r="M19" s="32">
        <v>0</v>
      </c>
    </row>
    <row r="20" spans="1:13">
      <c r="A20" s="31">
        <v>12</v>
      </c>
      <c r="B20" s="8">
        <v>12</v>
      </c>
      <c r="C20" s="26" t="s">
        <v>87</v>
      </c>
      <c r="E20" s="33"/>
      <c r="F20" s="33">
        <v>0</v>
      </c>
      <c r="G20" s="33">
        <v>0</v>
      </c>
      <c r="I20" s="33"/>
      <c r="J20" s="33">
        <v>0</v>
      </c>
      <c r="K20" s="33">
        <v>0</v>
      </c>
      <c r="M20" s="33">
        <v>0</v>
      </c>
    </row>
    <row r="21" spans="1:13">
      <c r="A21" s="31">
        <v>13</v>
      </c>
      <c r="B21" s="23">
        <v>13</v>
      </c>
      <c r="C21" s="24" t="s">
        <v>88</v>
      </c>
      <c r="E21" s="32">
        <v>14222250</v>
      </c>
      <c r="F21" s="32">
        <v>0</v>
      </c>
      <c r="G21" s="32">
        <v>14222250</v>
      </c>
      <c r="I21" s="32"/>
      <c r="J21" s="32">
        <v>14222250</v>
      </c>
      <c r="K21" s="32">
        <v>14222250</v>
      </c>
      <c r="M21" s="32">
        <v>0</v>
      </c>
    </row>
    <row r="22" spans="1:13">
      <c r="A22" s="31">
        <v>14</v>
      </c>
      <c r="B22" s="8">
        <v>14</v>
      </c>
      <c r="C22" s="26" t="s">
        <v>89</v>
      </c>
      <c r="E22" s="33"/>
      <c r="F22" s="33">
        <v>0</v>
      </c>
      <c r="G22" s="33">
        <v>0</v>
      </c>
      <c r="I22" s="33"/>
      <c r="J22" s="33">
        <v>0</v>
      </c>
      <c r="K22" s="33">
        <v>0</v>
      </c>
      <c r="M22" s="33">
        <v>0</v>
      </c>
    </row>
    <row r="23" spans="1:13">
      <c r="A23" s="31">
        <v>15</v>
      </c>
      <c r="B23" s="23">
        <v>15</v>
      </c>
      <c r="C23" s="24" t="s">
        <v>90</v>
      </c>
      <c r="E23" s="32"/>
      <c r="F23" s="32">
        <v>0</v>
      </c>
      <c r="G23" s="32">
        <v>0</v>
      </c>
      <c r="I23" s="32"/>
      <c r="J23" s="32">
        <v>0</v>
      </c>
      <c r="K23" s="32">
        <v>0</v>
      </c>
      <c r="M23" s="32">
        <v>0</v>
      </c>
    </row>
    <row r="24" spans="1:13">
      <c r="A24" s="31">
        <v>16</v>
      </c>
      <c r="B24" s="8">
        <v>16</v>
      </c>
      <c r="C24" s="26" t="s">
        <v>91</v>
      </c>
      <c r="E24" s="33"/>
      <c r="F24" s="33">
        <v>0</v>
      </c>
      <c r="G24" s="33">
        <v>0</v>
      </c>
      <c r="I24" s="33"/>
      <c r="J24" s="33">
        <v>0</v>
      </c>
      <c r="K24" s="33">
        <v>0</v>
      </c>
      <c r="M24" s="33">
        <v>0</v>
      </c>
    </row>
    <row r="25" spans="1:13">
      <c r="A25" s="31">
        <v>0</v>
      </c>
      <c r="B25" s="28"/>
      <c r="C25" s="29" t="s">
        <v>92</v>
      </c>
      <c r="E25" s="30">
        <v>0</v>
      </c>
      <c r="F25" s="30">
        <v>0</v>
      </c>
      <c r="G25" s="30">
        <v>0</v>
      </c>
      <c r="I25" s="30">
        <v>0</v>
      </c>
      <c r="J25" s="30">
        <v>0</v>
      </c>
      <c r="K25" s="30">
        <v>0</v>
      </c>
      <c r="M25" s="30">
        <v>0</v>
      </c>
    </row>
    <row r="26" spans="1:13">
      <c r="A26" s="31">
        <v>17</v>
      </c>
      <c r="B26" s="23">
        <v>17</v>
      </c>
      <c r="C26" s="24" t="s">
        <v>93</v>
      </c>
      <c r="E26" s="32"/>
      <c r="F26" s="32">
        <v>0</v>
      </c>
      <c r="G26" s="32">
        <v>0</v>
      </c>
      <c r="I26" s="32"/>
      <c r="J26" s="32">
        <v>0</v>
      </c>
      <c r="K26" s="32">
        <v>0</v>
      </c>
      <c r="M26" s="32">
        <v>0</v>
      </c>
    </row>
    <row r="27" spans="1:13">
      <c r="A27" s="31">
        <v>18</v>
      </c>
      <c r="B27" s="8">
        <v>18</v>
      </c>
      <c r="C27" s="26" t="s">
        <v>94</v>
      </c>
      <c r="E27" s="33"/>
      <c r="F27" s="33">
        <v>0</v>
      </c>
      <c r="G27" s="33">
        <v>0</v>
      </c>
      <c r="I27" s="33"/>
      <c r="J27" s="33">
        <v>0</v>
      </c>
      <c r="K27" s="33">
        <v>0</v>
      </c>
      <c r="M27" s="33">
        <v>0</v>
      </c>
    </row>
    <row r="28" spans="1:13">
      <c r="A28" s="31">
        <v>19</v>
      </c>
      <c r="B28" s="23">
        <v>19</v>
      </c>
      <c r="C28" s="24" t="s">
        <v>95</v>
      </c>
      <c r="E28" s="32"/>
      <c r="F28" s="32">
        <v>0</v>
      </c>
      <c r="G28" s="32">
        <v>0</v>
      </c>
      <c r="I28" s="32"/>
      <c r="J28" s="32">
        <v>0</v>
      </c>
      <c r="K28" s="32">
        <v>0</v>
      </c>
      <c r="M28" s="32">
        <v>0</v>
      </c>
    </row>
    <row r="29" spans="1:13">
      <c r="A29" s="31">
        <v>20</v>
      </c>
      <c r="B29" s="8">
        <v>20</v>
      </c>
      <c r="C29" s="26" t="s">
        <v>96</v>
      </c>
      <c r="E29" s="33"/>
      <c r="F29" s="33">
        <v>0</v>
      </c>
      <c r="G29" s="33">
        <v>0</v>
      </c>
      <c r="I29" s="33"/>
      <c r="J29" s="33">
        <v>0</v>
      </c>
      <c r="K29" s="33">
        <v>0</v>
      </c>
      <c r="M29" s="33">
        <v>0</v>
      </c>
    </row>
    <row r="30" spans="1:13">
      <c r="A30" s="31">
        <v>21</v>
      </c>
      <c r="B30" s="23">
        <v>21</v>
      </c>
      <c r="C30" s="24" t="s">
        <v>97</v>
      </c>
      <c r="E30" s="32"/>
      <c r="F30" s="32">
        <v>0</v>
      </c>
      <c r="G30" s="32">
        <v>0</v>
      </c>
      <c r="I30" s="32"/>
      <c r="J30" s="32">
        <v>0</v>
      </c>
      <c r="K30" s="32">
        <v>0</v>
      </c>
      <c r="M30" s="32">
        <v>0</v>
      </c>
    </row>
    <row r="31" spans="1:13">
      <c r="A31" s="31">
        <v>22</v>
      </c>
      <c r="B31" s="8">
        <v>22</v>
      </c>
      <c r="C31" s="26" t="s">
        <v>98</v>
      </c>
      <c r="E31" s="33"/>
      <c r="F31" s="33">
        <v>0</v>
      </c>
      <c r="G31" s="33">
        <v>0</v>
      </c>
      <c r="I31" s="33"/>
      <c r="J31" s="33">
        <v>0</v>
      </c>
      <c r="K31" s="33">
        <v>0</v>
      </c>
      <c r="M31" s="33">
        <v>0</v>
      </c>
    </row>
    <row r="32" spans="1:13">
      <c r="A32" s="31">
        <v>23</v>
      </c>
      <c r="B32" s="23">
        <v>23</v>
      </c>
      <c r="C32" s="24" t="s">
        <v>99</v>
      </c>
      <c r="E32" s="32"/>
      <c r="F32" s="32">
        <v>0</v>
      </c>
      <c r="G32" s="32">
        <v>0</v>
      </c>
      <c r="I32" s="32"/>
      <c r="J32" s="32">
        <v>0</v>
      </c>
      <c r="K32" s="32">
        <v>0</v>
      </c>
      <c r="M32" s="32">
        <v>0</v>
      </c>
    </row>
    <row r="33" spans="1:13">
      <c r="A33" s="31">
        <v>24</v>
      </c>
      <c r="B33" s="8">
        <v>24</v>
      </c>
      <c r="C33" s="26" t="s">
        <v>100</v>
      </c>
      <c r="E33" s="33"/>
      <c r="F33" s="33">
        <v>0</v>
      </c>
      <c r="G33" s="33">
        <v>0</v>
      </c>
      <c r="I33" s="33"/>
      <c r="J33" s="33">
        <v>0</v>
      </c>
      <c r="K33" s="33">
        <v>0</v>
      </c>
      <c r="M33" s="33">
        <v>0</v>
      </c>
    </row>
    <row r="34" spans="1:13" s="34" customFormat="1">
      <c r="A34" s="31">
        <v>25</v>
      </c>
      <c r="B34" s="23">
        <v>25</v>
      </c>
      <c r="C34" s="24" t="s">
        <v>101</v>
      </c>
      <c r="D34" s="10"/>
      <c r="E34" s="32"/>
      <c r="F34" s="32">
        <v>0</v>
      </c>
      <c r="G34" s="32">
        <v>0</v>
      </c>
      <c r="H34" s="10"/>
      <c r="I34" s="32"/>
      <c r="J34" s="32">
        <v>0</v>
      </c>
      <c r="K34" s="32">
        <v>0</v>
      </c>
      <c r="L34" s="10"/>
      <c r="M34" s="32">
        <v>0</v>
      </c>
    </row>
    <row r="35" spans="1:13">
      <c r="A35" s="31">
        <v>26</v>
      </c>
      <c r="B35" s="8">
        <v>26</v>
      </c>
      <c r="C35" s="26" t="s">
        <v>102</v>
      </c>
      <c r="E35" s="33"/>
      <c r="F35" s="33">
        <v>0</v>
      </c>
      <c r="G35" s="33">
        <v>0</v>
      </c>
      <c r="I35" s="33"/>
      <c r="J35" s="33">
        <v>0</v>
      </c>
      <c r="K35" s="33">
        <v>0</v>
      </c>
      <c r="M35" s="33">
        <v>0</v>
      </c>
    </row>
    <row r="36" spans="1:13">
      <c r="A36" s="31">
        <v>0</v>
      </c>
      <c r="B36" s="28"/>
      <c r="C36" s="29" t="s">
        <v>103</v>
      </c>
      <c r="E36" s="30">
        <v>9877301497</v>
      </c>
      <c r="F36" s="30">
        <v>0</v>
      </c>
      <c r="G36" s="30">
        <v>9877301497</v>
      </c>
      <c r="I36" s="30">
        <v>8158468732</v>
      </c>
      <c r="J36" s="30">
        <v>1718566150</v>
      </c>
      <c r="K36" s="30">
        <v>9877034882</v>
      </c>
      <c r="M36" s="30">
        <v>266615</v>
      </c>
    </row>
    <row r="37" spans="1:13">
      <c r="A37" s="31">
        <v>27</v>
      </c>
      <c r="B37" s="23">
        <v>27</v>
      </c>
      <c r="C37" s="24" t="s">
        <v>104</v>
      </c>
      <c r="E37" s="32"/>
      <c r="F37" s="32">
        <v>0</v>
      </c>
      <c r="G37" s="32">
        <v>0</v>
      </c>
      <c r="I37" s="32"/>
      <c r="J37" s="32">
        <v>0</v>
      </c>
      <c r="K37" s="32">
        <v>0</v>
      </c>
      <c r="M37" s="32">
        <v>0</v>
      </c>
    </row>
    <row r="38" spans="1:13">
      <c r="A38" s="31">
        <v>28</v>
      </c>
      <c r="B38" s="8">
        <v>28</v>
      </c>
      <c r="C38" s="26" t="s">
        <v>105</v>
      </c>
      <c r="E38" s="33">
        <v>5040924148</v>
      </c>
      <c r="F38" s="33">
        <v>0</v>
      </c>
      <c r="G38" s="33">
        <v>5040924148</v>
      </c>
      <c r="I38" s="33">
        <v>4232196628</v>
      </c>
      <c r="J38" s="33">
        <v>808460905</v>
      </c>
      <c r="K38" s="33">
        <v>5040657533</v>
      </c>
      <c r="M38" s="33">
        <v>266615</v>
      </c>
    </row>
    <row r="39" spans="1:13">
      <c r="A39" s="31">
        <v>29</v>
      </c>
      <c r="B39" s="23">
        <v>29</v>
      </c>
      <c r="C39" s="24" t="s">
        <v>106</v>
      </c>
      <c r="E39" s="32"/>
      <c r="F39" s="32">
        <v>0</v>
      </c>
      <c r="G39" s="32">
        <v>0</v>
      </c>
      <c r="I39" s="32"/>
      <c r="J39" s="32">
        <v>0</v>
      </c>
      <c r="K39" s="32">
        <v>0</v>
      </c>
      <c r="M39" s="32">
        <v>0</v>
      </c>
    </row>
    <row r="40" spans="1:13">
      <c r="A40" s="31">
        <v>30</v>
      </c>
      <c r="B40" s="8">
        <v>30</v>
      </c>
      <c r="C40" s="26" t="s">
        <v>107</v>
      </c>
      <c r="E40" s="33"/>
      <c r="F40" s="33">
        <v>0</v>
      </c>
      <c r="G40" s="33">
        <v>0</v>
      </c>
      <c r="I40" s="33"/>
      <c r="J40" s="33">
        <v>0</v>
      </c>
      <c r="K40" s="33">
        <v>0</v>
      </c>
      <c r="M40" s="33">
        <v>0</v>
      </c>
    </row>
    <row r="41" spans="1:13">
      <c r="A41" s="31">
        <v>31</v>
      </c>
      <c r="B41" s="23">
        <v>31</v>
      </c>
      <c r="C41" s="24" t="s">
        <v>108</v>
      </c>
      <c r="E41" s="32"/>
      <c r="F41" s="32">
        <v>0</v>
      </c>
      <c r="G41" s="32">
        <v>0</v>
      </c>
      <c r="I41" s="32"/>
      <c r="J41" s="32">
        <v>0</v>
      </c>
      <c r="K41" s="32">
        <v>0</v>
      </c>
      <c r="M41" s="32">
        <v>0</v>
      </c>
    </row>
    <row r="42" spans="1:13">
      <c r="A42" s="31">
        <v>32</v>
      </c>
      <c r="B42" s="8">
        <v>32</v>
      </c>
      <c r="C42" s="26" t="s">
        <v>109</v>
      </c>
      <c r="E42" s="33">
        <v>4834381070</v>
      </c>
      <c r="F42" s="33">
        <v>0</v>
      </c>
      <c r="G42" s="33">
        <v>4834381070</v>
      </c>
      <c r="I42" s="33">
        <v>3924275825</v>
      </c>
      <c r="J42" s="33">
        <v>910105245</v>
      </c>
      <c r="K42" s="33">
        <v>4834381070</v>
      </c>
      <c r="M42" s="33">
        <v>0</v>
      </c>
    </row>
    <row r="43" spans="1:13">
      <c r="A43" s="31">
        <v>33</v>
      </c>
      <c r="B43" s="23">
        <v>33</v>
      </c>
      <c r="C43" s="24" t="s">
        <v>110</v>
      </c>
      <c r="E43" s="32"/>
      <c r="F43" s="32">
        <v>0</v>
      </c>
      <c r="G43" s="32">
        <v>0</v>
      </c>
      <c r="I43" s="32"/>
      <c r="J43" s="32">
        <v>0</v>
      </c>
      <c r="K43" s="32">
        <v>0</v>
      </c>
      <c r="M43" s="32">
        <v>0</v>
      </c>
    </row>
    <row r="44" spans="1:13">
      <c r="A44" s="31">
        <v>34</v>
      </c>
      <c r="B44" s="8">
        <v>34</v>
      </c>
      <c r="C44" s="26" t="s">
        <v>111</v>
      </c>
      <c r="E44" s="33">
        <v>1996279</v>
      </c>
      <c r="F44" s="33">
        <v>0</v>
      </c>
      <c r="G44" s="33">
        <v>1996279</v>
      </c>
      <c r="I44" s="33">
        <v>1996279</v>
      </c>
      <c r="J44" s="33">
        <v>0</v>
      </c>
      <c r="K44" s="33">
        <v>1996279</v>
      </c>
      <c r="M44" s="33">
        <v>0</v>
      </c>
    </row>
    <row r="45" spans="1:13">
      <c r="A45" s="31">
        <v>35</v>
      </c>
      <c r="B45" s="23">
        <v>35</v>
      </c>
      <c r="C45" s="24" t="s">
        <v>112</v>
      </c>
      <c r="E45" s="32"/>
      <c r="F45" s="32">
        <v>0</v>
      </c>
      <c r="G45" s="32">
        <v>0</v>
      </c>
      <c r="I45" s="32"/>
      <c r="J45" s="32">
        <v>0</v>
      </c>
      <c r="K45" s="32">
        <v>0</v>
      </c>
      <c r="M45" s="32">
        <v>0</v>
      </c>
    </row>
    <row r="46" spans="1:13">
      <c r="A46" s="31">
        <v>36</v>
      </c>
      <c r="B46" s="8">
        <v>36</v>
      </c>
      <c r="C46" s="26" t="s">
        <v>113</v>
      </c>
      <c r="E46" s="33"/>
      <c r="F46" s="33">
        <v>0</v>
      </c>
      <c r="G46" s="33">
        <v>0</v>
      </c>
      <c r="I46" s="33"/>
      <c r="J46" s="33">
        <v>0</v>
      </c>
      <c r="K46" s="33">
        <v>0</v>
      </c>
      <c r="M46" s="33">
        <v>0</v>
      </c>
    </row>
    <row r="47" spans="1:13">
      <c r="A47" s="31">
        <v>37</v>
      </c>
      <c r="B47" s="23">
        <v>37</v>
      </c>
      <c r="C47" s="24" t="s">
        <v>114</v>
      </c>
      <c r="E47" s="32"/>
      <c r="F47" s="32">
        <v>0</v>
      </c>
      <c r="G47" s="32">
        <v>0</v>
      </c>
      <c r="I47" s="32"/>
      <c r="J47" s="32">
        <v>0</v>
      </c>
      <c r="K47" s="32">
        <v>0</v>
      </c>
      <c r="M47" s="32">
        <v>0</v>
      </c>
    </row>
    <row r="48" spans="1:13">
      <c r="A48" s="31">
        <v>38</v>
      </c>
      <c r="B48" s="8">
        <v>38</v>
      </c>
      <c r="C48" s="26" t="s">
        <v>115</v>
      </c>
      <c r="E48" s="33"/>
      <c r="F48" s="33">
        <v>0</v>
      </c>
      <c r="G48" s="33">
        <v>0</v>
      </c>
      <c r="I48" s="33"/>
      <c r="J48" s="33">
        <v>0</v>
      </c>
      <c r="K48" s="33">
        <v>0</v>
      </c>
      <c r="M48" s="33">
        <v>0</v>
      </c>
    </row>
    <row r="49" spans="1:13">
      <c r="A49" s="31">
        <v>39</v>
      </c>
      <c r="B49" s="23">
        <v>39</v>
      </c>
      <c r="C49" s="24" t="s">
        <v>116</v>
      </c>
      <c r="E49" s="32"/>
      <c r="F49" s="32">
        <v>0</v>
      </c>
      <c r="G49" s="32">
        <v>0</v>
      </c>
      <c r="I49" s="32"/>
      <c r="J49" s="32">
        <v>0</v>
      </c>
      <c r="K49" s="32">
        <v>0</v>
      </c>
      <c r="M49" s="32">
        <v>0</v>
      </c>
    </row>
    <row r="50" spans="1:13">
      <c r="A50" s="31">
        <v>40</v>
      </c>
      <c r="B50" s="8">
        <v>40</v>
      </c>
      <c r="C50" s="26" t="s">
        <v>117</v>
      </c>
      <c r="E50" s="33"/>
      <c r="F50" s="33">
        <v>0</v>
      </c>
      <c r="G50" s="33">
        <v>0</v>
      </c>
      <c r="I50" s="33"/>
      <c r="J50" s="33">
        <v>0</v>
      </c>
      <c r="K50" s="33">
        <v>0</v>
      </c>
      <c r="M50" s="33">
        <v>0</v>
      </c>
    </row>
    <row r="51" spans="1:13">
      <c r="A51" s="31">
        <v>41</v>
      </c>
      <c r="B51" s="23">
        <v>41</v>
      </c>
      <c r="C51" s="24" t="s">
        <v>118</v>
      </c>
      <c r="E51" s="32"/>
      <c r="F51" s="32">
        <v>0</v>
      </c>
      <c r="G51" s="32">
        <v>0</v>
      </c>
      <c r="I51" s="32"/>
      <c r="J51" s="32">
        <v>0</v>
      </c>
      <c r="K51" s="32">
        <v>0</v>
      </c>
      <c r="M51" s="32">
        <v>0</v>
      </c>
    </row>
    <row r="52" spans="1:13">
      <c r="A52" s="31"/>
      <c r="B52" s="8">
        <v>42</v>
      </c>
      <c r="C52" s="26" t="s">
        <v>119</v>
      </c>
      <c r="E52" s="33"/>
      <c r="F52" s="33">
        <v>0</v>
      </c>
      <c r="G52" s="33">
        <v>0</v>
      </c>
      <c r="I52" s="33"/>
      <c r="J52" s="33">
        <v>0</v>
      </c>
      <c r="K52" s="33">
        <v>0</v>
      </c>
      <c r="M52" s="33">
        <v>0</v>
      </c>
    </row>
    <row r="53" spans="1:13">
      <c r="A53" s="31">
        <v>0</v>
      </c>
      <c r="B53" s="28"/>
      <c r="C53" s="29" t="s">
        <v>120</v>
      </c>
      <c r="E53" s="30">
        <v>3646276705</v>
      </c>
      <c r="F53" s="30">
        <v>-388138980</v>
      </c>
      <c r="G53" s="30">
        <v>3258137725</v>
      </c>
      <c r="I53" s="30">
        <v>2878544047</v>
      </c>
      <c r="J53" s="30">
        <v>0</v>
      </c>
      <c r="K53" s="30">
        <v>2878544047</v>
      </c>
      <c r="M53" s="30">
        <v>379593678</v>
      </c>
    </row>
    <row r="54" spans="1:13">
      <c r="A54" s="31">
        <v>43</v>
      </c>
      <c r="B54" s="23">
        <v>43</v>
      </c>
      <c r="C54" s="24" t="s">
        <v>121</v>
      </c>
      <c r="E54" s="32"/>
      <c r="F54" s="32">
        <v>0</v>
      </c>
      <c r="G54" s="32">
        <v>0</v>
      </c>
      <c r="I54" s="32">
        <v>3205309</v>
      </c>
      <c r="J54" s="32">
        <v>0</v>
      </c>
      <c r="K54" s="32">
        <v>3205309</v>
      </c>
      <c r="M54" s="32">
        <v>-3205309</v>
      </c>
    </row>
    <row r="55" spans="1:13">
      <c r="A55" s="31">
        <v>44</v>
      </c>
      <c r="B55" s="8">
        <v>44</v>
      </c>
      <c r="C55" s="26" t="s">
        <v>122</v>
      </c>
      <c r="E55" s="33"/>
      <c r="F55" s="33">
        <v>0</v>
      </c>
      <c r="G55" s="33">
        <v>0</v>
      </c>
      <c r="I55" s="33">
        <v>999002239</v>
      </c>
      <c r="J55" s="33">
        <v>0</v>
      </c>
      <c r="K55" s="33">
        <v>999002239</v>
      </c>
      <c r="M55" s="33">
        <v>-999002239</v>
      </c>
    </row>
    <row r="56" spans="1:13">
      <c r="A56" s="31"/>
      <c r="B56" s="23">
        <v>45</v>
      </c>
      <c r="C56" s="24" t="s">
        <v>123</v>
      </c>
      <c r="E56" s="32"/>
      <c r="F56" s="32">
        <v>0</v>
      </c>
      <c r="G56" s="32">
        <v>0</v>
      </c>
      <c r="I56" s="32">
        <v>1248752786</v>
      </c>
      <c r="J56" s="32">
        <v>0</v>
      </c>
      <c r="K56" s="32">
        <v>1248752786</v>
      </c>
      <c r="M56" s="32">
        <v>-1248752786</v>
      </c>
    </row>
    <row r="57" spans="1:13">
      <c r="A57" s="31"/>
      <c r="B57" s="8">
        <v>46</v>
      </c>
      <c r="C57" s="26" t="s">
        <v>124</v>
      </c>
      <c r="E57" s="33">
        <v>3646276705</v>
      </c>
      <c r="F57" s="33">
        <v>-388138980</v>
      </c>
      <c r="G57" s="33">
        <v>3258137725</v>
      </c>
      <c r="I57" s="33">
        <v>2915754</v>
      </c>
      <c r="J57" s="33">
        <v>0</v>
      </c>
      <c r="K57" s="33">
        <v>2915754</v>
      </c>
      <c r="M57" s="33">
        <v>3255221971</v>
      </c>
    </row>
    <row r="58" spans="1:13">
      <c r="A58" s="31"/>
      <c r="B58" s="23">
        <v>47</v>
      </c>
      <c r="C58" s="24" t="s">
        <v>125</v>
      </c>
      <c r="E58" s="32"/>
      <c r="F58" s="32">
        <v>0</v>
      </c>
      <c r="G58" s="32">
        <v>0</v>
      </c>
      <c r="I58" s="32">
        <v>624376384</v>
      </c>
      <c r="J58" s="32">
        <v>0</v>
      </c>
      <c r="K58" s="32">
        <v>624376384</v>
      </c>
      <c r="M58" s="32">
        <v>-624376384</v>
      </c>
    </row>
    <row r="59" spans="1:13">
      <c r="A59" s="31"/>
      <c r="B59" s="8">
        <v>48</v>
      </c>
      <c r="C59" s="26" t="s">
        <v>126</v>
      </c>
      <c r="E59" s="33"/>
      <c r="F59" s="33">
        <v>0</v>
      </c>
      <c r="G59" s="33">
        <v>0</v>
      </c>
      <c r="I59" s="33"/>
      <c r="J59" s="33">
        <v>0</v>
      </c>
      <c r="K59" s="33">
        <v>0</v>
      </c>
      <c r="M59" s="33">
        <v>0</v>
      </c>
    </row>
    <row r="60" spans="1:13">
      <c r="A60" s="31"/>
      <c r="B60" s="23">
        <v>49</v>
      </c>
      <c r="C60" s="24" t="s">
        <v>127</v>
      </c>
      <c r="E60" s="32"/>
      <c r="F60" s="32">
        <v>0</v>
      </c>
      <c r="G60" s="32">
        <v>0</v>
      </c>
      <c r="I60" s="32"/>
      <c r="J60" s="32">
        <v>0</v>
      </c>
      <c r="K60" s="32">
        <v>0</v>
      </c>
      <c r="M60" s="32">
        <v>0</v>
      </c>
    </row>
    <row r="61" spans="1:13">
      <c r="A61" s="31"/>
      <c r="B61" s="8">
        <v>50</v>
      </c>
      <c r="C61" s="26" t="s">
        <v>128</v>
      </c>
      <c r="E61" s="33"/>
      <c r="F61" s="33">
        <v>0</v>
      </c>
      <c r="G61" s="33">
        <v>0</v>
      </c>
      <c r="I61" s="33">
        <v>291575</v>
      </c>
      <c r="J61" s="33">
        <v>0</v>
      </c>
      <c r="K61" s="33">
        <v>291575</v>
      </c>
      <c r="M61" s="33">
        <v>-291575</v>
      </c>
    </row>
    <row r="62" spans="1:13">
      <c r="A62" s="31"/>
      <c r="B62" s="23">
        <v>51</v>
      </c>
      <c r="C62" s="24" t="s">
        <v>129</v>
      </c>
      <c r="E62" s="32"/>
      <c r="F62" s="32">
        <v>0</v>
      </c>
      <c r="G62" s="32">
        <v>0</v>
      </c>
      <c r="I62" s="32"/>
      <c r="J62" s="32">
        <v>0</v>
      </c>
      <c r="K62" s="32">
        <v>0</v>
      </c>
      <c r="M62" s="32">
        <v>0</v>
      </c>
    </row>
    <row r="63" spans="1:13">
      <c r="A63" s="31">
        <v>0</v>
      </c>
      <c r="B63" s="28"/>
      <c r="C63" s="29" t="s">
        <v>130</v>
      </c>
      <c r="E63" s="30">
        <v>0</v>
      </c>
      <c r="F63" s="30">
        <v>0</v>
      </c>
      <c r="G63" s="30">
        <v>0</v>
      </c>
      <c r="I63" s="30">
        <v>0</v>
      </c>
      <c r="J63" s="30">
        <v>0</v>
      </c>
      <c r="K63" s="30">
        <v>0</v>
      </c>
      <c r="M63" s="30">
        <v>0</v>
      </c>
    </row>
    <row r="64" spans="1:13">
      <c r="A64" s="31">
        <v>52</v>
      </c>
      <c r="B64" s="8">
        <v>52</v>
      </c>
      <c r="C64" s="26" t="s">
        <v>131</v>
      </c>
      <c r="E64" s="33"/>
      <c r="F64" s="33">
        <v>0</v>
      </c>
      <c r="G64" s="33">
        <v>0</v>
      </c>
      <c r="I64" s="33"/>
      <c r="J64" s="33">
        <v>0</v>
      </c>
      <c r="K64" s="33">
        <v>0</v>
      </c>
      <c r="M64" s="33">
        <v>0</v>
      </c>
    </row>
    <row r="65" spans="1:13">
      <c r="A65" s="31">
        <v>53</v>
      </c>
      <c r="B65" s="23">
        <v>53</v>
      </c>
      <c r="C65" s="24" t="s">
        <v>132</v>
      </c>
      <c r="E65" s="32"/>
      <c r="F65" s="32">
        <v>0</v>
      </c>
      <c r="G65" s="32">
        <v>0</v>
      </c>
      <c r="I65" s="32"/>
      <c r="J65" s="32">
        <v>0</v>
      </c>
      <c r="K65" s="32">
        <v>0</v>
      </c>
      <c r="M65" s="32">
        <v>0</v>
      </c>
    </row>
    <row r="66" spans="1:13">
      <c r="A66" s="31">
        <v>54</v>
      </c>
      <c r="B66" s="8">
        <v>54</v>
      </c>
      <c r="C66" s="26" t="s">
        <v>133</v>
      </c>
      <c r="E66" s="33"/>
      <c r="F66" s="33">
        <v>0</v>
      </c>
      <c r="G66" s="33">
        <v>0</v>
      </c>
      <c r="I66" s="33"/>
      <c r="J66" s="33">
        <v>0</v>
      </c>
      <c r="K66" s="33">
        <v>0</v>
      </c>
      <c r="M66" s="33">
        <v>0</v>
      </c>
    </row>
    <row r="67" spans="1:13">
      <c r="A67" s="31"/>
      <c r="B67" s="28"/>
      <c r="C67" s="29" t="s">
        <v>134</v>
      </c>
      <c r="E67" s="30">
        <v>0</v>
      </c>
      <c r="F67" s="30">
        <v>0</v>
      </c>
      <c r="G67" s="30">
        <v>0</v>
      </c>
      <c r="I67" s="30">
        <v>0</v>
      </c>
      <c r="J67" s="30">
        <v>0</v>
      </c>
      <c r="K67" s="30">
        <v>0</v>
      </c>
      <c r="M67" s="30">
        <v>0</v>
      </c>
    </row>
    <row r="68" spans="1:13">
      <c r="A68" s="31"/>
      <c r="B68" s="23">
        <v>55</v>
      </c>
      <c r="C68" s="24" t="s">
        <v>135</v>
      </c>
      <c r="E68" s="32"/>
      <c r="F68" s="32">
        <v>0</v>
      </c>
      <c r="G68" s="32">
        <v>0</v>
      </c>
      <c r="I68" s="32"/>
      <c r="J68" s="32">
        <v>0</v>
      </c>
      <c r="K68" s="32">
        <v>0</v>
      </c>
      <c r="M68" s="32">
        <v>0</v>
      </c>
    </row>
    <row r="69" spans="1:13">
      <c r="A69" s="31"/>
      <c r="B69" s="8">
        <v>56</v>
      </c>
      <c r="C69" s="26" t="s">
        <v>136</v>
      </c>
      <c r="E69" s="33"/>
      <c r="F69" s="33">
        <v>0</v>
      </c>
      <c r="G69" s="33">
        <v>0</v>
      </c>
      <c r="I69" s="33"/>
      <c r="J69" s="33">
        <v>0</v>
      </c>
      <c r="K69" s="33">
        <v>0</v>
      </c>
      <c r="M69" s="33">
        <v>0</v>
      </c>
    </row>
    <row r="70" spans="1:13">
      <c r="A70" s="31">
        <v>0</v>
      </c>
      <c r="B70" s="28"/>
      <c r="C70" s="29" t="s">
        <v>137</v>
      </c>
      <c r="E70" s="30">
        <v>5194100</v>
      </c>
      <c r="F70" s="30">
        <v>0</v>
      </c>
      <c r="G70" s="30">
        <v>5194100</v>
      </c>
      <c r="I70" s="30">
        <v>5194100</v>
      </c>
      <c r="J70" s="30">
        <v>0</v>
      </c>
      <c r="K70" s="30">
        <v>5194100</v>
      </c>
      <c r="M70" s="30">
        <v>0</v>
      </c>
    </row>
    <row r="71" spans="1:13">
      <c r="A71" s="31">
        <v>57</v>
      </c>
      <c r="B71" s="23">
        <v>57</v>
      </c>
      <c r="C71" s="24" t="s">
        <v>138</v>
      </c>
      <c r="E71" s="32">
        <v>5194100</v>
      </c>
      <c r="F71" s="32">
        <v>0</v>
      </c>
      <c r="G71" s="32">
        <v>5194100</v>
      </c>
      <c r="I71" s="32">
        <v>5194100</v>
      </c>
      <c r="J71" s="32">
        <v>0</v>
      </c>
      <c r="K71" s="32">
        <v>5194100</v>
      </c>
      <c r="M71" s="32">
        <v>0</v>
      </c>
    </row>
    <row r="72" spans="1:13">
      <c r="A72" s="31">
        <v>0</v>
      </c>
      <c r="B72" s="28"/>
      <c r="C72" s="29" t="s">
        <v>139</v>
      </c>
      <c r="E72" s="30">
        <v>93998829</v>
      </c>
      <c r="F72" s="30">
        <v>0</v>
      </c>
      <c r="G72" s="30">
        <v>93998829</v>
      </c>
      <c r="I72" s="30">
        <v>93998829</v>
      </c>
      <c r="J72" s="30">
        <v>0</v>
      </c>
      <c r="K72" s="30">
        <v>93998829</v>
      </c>
      <c r="M72" s="30">
        <v>0</v>
      </c>
    </row>
    <row r="73" spans="1:13">
      <c r="A73" s="31">
        <v>58</v>
      </c>
      <c r="B73" s="8">
        <v>58</v>
      </c>
      <c r="C73" s="26" t="s">
        <v>140</v>
      </c>
      <c r="E73" s="33">
        <v>93998829</v>
      </c>
      <c r="F73" s="33">
        <v>0</v>
      </c>
      <c r="G73" s="33">
        <v>93998829</v>
      </c>
      <c r="I73" s="33">
        <v>93998829</v>
      </c>
      <c r="J73" s="33">
        <v>0</v>
      </c>
      <c r="K73" s="33">
        <v>93998829</v>
      </c>
      <c r="M73" s="33">
        <v>0</v>
      </c>
    </row>
    <row r="74" spans="1:13">
      <c r="A74" s="31"/>
      <c r="B74" s="28"/>
      <c r="C74" s="29" t="s">
        <v>141</v>
      </c>
      <c r="E74" s="30">
        <v>0</v>
      </c>
      <c r="F74" s="30">
        <v>0</v>
      </c>
      <c r="G74" s="30">
        <v>0</v>
      </c>
      <c r="I74" s="30">
        <v>0</v>
      </c>
      <c r="J74" s="30">
        <v>0</v>
      </c>
      <c r="K74" s="30">
        <v>0</v>
      </c>
      <c r="M74" s="30">
        <v>0</v>
      </c>
    </row>
    <row r="75" spans="1:13">
      <c r="A75" s="31"/>
      <c r="B75" s="8">
        <v>59</v>
      </c>
      <c r="C75" s="26" t="s">
        <v>142</v>
      </c>
      <c r="E75" s="33"/>
      <c r="F75" s="33">
        <v>0</v>
      </c>
      <c r="G75" s="33">
        <v>0</v>
      </c>
      <c r="I75" s="33"/>
      <c r="J75" s="33">
        <v>0</v>
      </c>
      <c r="K75" s="33">
        <v>0</v>
      </c>
      <c r="M75" s="33"/>
    </row>
    <row r="76" spans="1:13">
      <c r="A76" s="31"/>
      <c r="B76" s="28"/>
      <c r="C76" s="29" t="s">
        <v>143</v>
      </c>
      <c r="E76" s="30">
        <v>0</v>
      </c>
      <c r="F76" s="30">
        <v>0</v>
      </c>
      <c r="G76" s="30">
        <v>0</v>
      </c>
      <c r="I76" s="30">
        <v>0</v>
      </c>
      <c r="J76" s="30">
        <v>0</v>
      </c>
      <c r="K76" s="30">
        <v>0</v>
      </c>
      <c r="M76" s="30">
        <v>0</v>
      </c>
    </row>
    <row r="77" spans="1:13">
      <c r="A77" s="31"/>
      <c r="B77" s="8">
        <v>60</v>
      </c>
      <c r="C77" s="26" t="s">
        <v>144</v>
      </c>
      <c r="E77" s="33"/>
      <c r="F77" s="33">
        <v>0</v>
      </c>
      <c r="G77" s="33">
        <v>0</v>
      </c>
      <c r="I77" s="33"/>
      <c r="J77" s="33">
        <v>0</v>
      </c>
      <c r="K77" s="33">
        <v>0</v>
      </c>
      <c r="M77" s="33"/>
    </row>
    <row r="78" spans="1:13">
      <c r="A78" s="31"/>
      <c r="B78" s="28"/>
      <c r="C78" s="29" t="s">
        <v>145</v>
      </c>
      <c r="E78" s="30">
        <v>0</v>
      </c>
      <c r="F78" s="30">
        <v>0</v>
      </c>
      <c r="G78" s="30">
        <v>0</v>
      </c>
      <c r="I78" s="30">
        <v>865892</v>
      </c>
      <c r="J78" s="30">
        <v>0</v>
      </c>
      <c r="K78" s="30">
        <v>865892</v>
      </c>
      <c r="M78" s="30">
        <v>-865892</v>
      </c>
    </row>
    <row r="79" spans="1:13">
      <c r="A79" s="31"/>
      <c r="B79" s="23">
        <v>61</v>
      </c>
      <c r="C79" s="24" t="s">
        <v>146</v>
      </c>
      <c r="E79" s="32"/>
      <c r="F79" s="32"/>
      <c r="G79" s="32"/>
      <c r="I79" s="32"/>
      <c r="J79" s="32"/>
      <c r="K79" s="32"/>
      <c r="M79" s="32"/>
    </row>
  </sheetData>
  <mergeCells count="5">
    <mergeCell ref="B3:B4"/>
    <mergeCell ref="C3:C4"/>
    <mergeCell ref="E3:G3"/>
    <mergeCell ref="I3:K3"/>
    <mergeCell ref="M3:M4"/>
  </mergeCells>
  <hyperlinks>
    <hyperlink ref="A1" location="Sommaire!A1" display="Sommaire!A1" xr:uid="{EF207D8E-1583-4A68-9D98-37B87A368877}"/>
  </hyperlink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4FD7-9727-4B35-9964-E714E4E573D0}">
  <dimension ref="A1:D124"/>
  <sheetViews>
    <sheetView showGridLines="0" zoomScale="63" zoomScaleNormal="63" workbookViewId="0">
      <selection activeCell="N170" activeCellId="1" sqref="B1 N170"/>
    </sheetView>
  </sheetViews>
  <sheetFormatPr baseColWidth="10" defaultColWidth="12" defaultRowHeight="13"/>
  <cols>
    <col min="1" max="1" width="18.1796875" style="39" customWidth="1"/>
    <col min="2" max="2" width="62.54296875" style="39" bestFit="1" customWidth="1"/>
    <col min="3" max="3" width="25.453125" style="39" bestFit="1" customWidth="1"/>
    <col min="4" max="4" width="21.81640625" style="39" bestFit="1" customWidth="1"/>
    <col min="5" max="6" width="12" style="39"/>
    <col min="7" max="7" width="17.453125" style="39" bestFit="1" customWidth="1"/>
    <col min="8" max="16384" width="12" style="39"/>
  </cols>
  <sheetData>
    <row r="1" spans="1:4" ht="14.5">
      <c r="A1" s="38" t="s">
        <v>0</v>
      </c>
    </row>
    <row r="2" spans="1:4" s="41" customFormat="1" ht="21">
      <c r="A2" s="40" t="s">
        <v>167</v>
      </c>
    </row>
    <row r="4" spans="1:4" ht="13.5" thickBot="1">
      <c r="A4" s="42" t="s">
        <v>168</v>
      </c>
      <c r="B4" s="42" t="s">
        <v>169</v>
      </c>
      <c r="C4" s="42" t="s">
        <v>170</v>
      </c>
      <c r="D4" s="43" t="s">
        <v>171</v>
      </c>
    </row>
    <row r="5" spans="1:4" ht="14.5">
      <c r="A5" s="44" t="s">
        <v>168</v>
      </c>
      <c r="B5" s="44" t="s">
        <v>7</v>
      </c>
      <c r="C5" s="44" t="s">
        <v>172</v>
      </c>
      <c r="D5" s="45">
        <v>123843218357</v>
      </c>
    </row>
    <row r="6" spans="1:4" ht="14.5">
      <c r="A6" s="46" t="s">
        <v>168</v>
      </c>
      <c r="B6" s="46" t="s">
        <v>5</v>
      </c>
      <c r="C6" s="46" t="s">
        <v>172</v>
      </c>
      <c r="D6" s="47">
        <v>45138166712</v>
      </c>
    </row>
    <row r="7" spans="1:4" ht="14.5">
      <c r="A7" s="44" t="s">
        <v>168</v>
      </c>
      <c r="B7" s="44" t="s">
        <v>9</v>
      </c>
      <c r="C7" s="44" t="s">
        <v>172</v>
      </c>
      <c r="D7" s="45">
        <v>43135109589</v>
      </c>
    </row>
    <row r="8" spans="1:4" ht="14.5">
      <c r="A8" s="46" t="s">
        <v>168</v>
      </c>
      <c r="B8" s="46" t="s">
        <v>15</v>
      </c>
      <c r="C8" s="46" t="s">
        <v>172</v>
      </c>
      <c r="D8" s="47">
        <v>30245122790</v>
      </c>
    </row>
    <row r="9" spans="1:4" ht="14.5">
      <c r="A9" s="44" t="s">
        <v>168</v>
      </c>
      <c r="B9" s="44" t="s">
        <v>11</v>
      </c>
      <c r="C9" s="44" t="s">
        <v>172</v>
      </c>
      <c r="D9" s="45">
        <v>26075109610</v>
      </c>
    </row>
    <row r="10" spans="1:4" ht="14.5">
      <c r="A10" s="46" t="s">
        <v>168</v>
      </c>
      <c r="B10" s="46" t="s">
        <v>17</v>
      </c>
      <c r="C10" s="46" t="s">
        <v>172</v>
      </c>
      <c r="D10" s="47">
        <v>20757046295</v>
      </c>
    </row>
    <row r="11" spans="1:4" ht="14.5">
      <c r="A11" s="44" t="s">
        <v>168</v>
      </c>
      <c r="B11" s="44" t="s">
        <v>57</v>
      </c>
      <c r="C11" s="44" t="s">
        <v>173</v>
      </c>
      <c r="D11" s="45">
        <v>15025543783</v>
      </c>
    </row>
    <row r="12" spans="1:4" ht="14.5">
      <c r="A12" s="46" t="s">
        <v>168</v>
      </c>
      <c r="B12" s="46" t="s">
        <v>19</v>
      </c>
      <c r="C12" s="46" t="s">
        <v>172</v>
      </c>
      <c r="D12" s="47">
        <v>13414305740</v>
      </c>
    </row>
    <row r="13" spans="1:4" ht="14.5">
      <c r="A13" s="44" t="s">
        <v>168</v>
      </c>
      <c r="B13" s="44" t="s">
        <v>59</v>
      </c>
      <c r="C13" s="44" t="s">
        <v>173</v>
      </c>
      <c r="D13" s="45">
        <v>9884313412</v>
      </c>
    </row>
    <row r="14" spans="1:4" ht="14.5">
      <c r="A14" s="46" t="s">
        <v>168</v>
      </c>
      <c r="B14" s="46" t="s">
        <v>21</v>
      </c>
      <c r="C14" s="46" t="s">
        <v>172</v>
      </c>
      <c r="D14" s="47">
        <v>5205324917</v>
      </c>
    </row>
    <row r="15" spans="1:4" ht="14.5">
      <c r="A15" s="44" t="s">
        <v>168</v>
      </c>
      <c r="B15" s="44" t="s">
        <v>43</v>
      </c>
      <c r="C15" s="44" t="s">
        <v>172</v>
      </c>
      <c r="D15" s="45">
        <v>3324127369</v>
      </c>
    </row>
    <row r="16" spans="1:4" ht="14.5">
      <c r="A16" s="46" t="s">
        <v>168</v>
      </c>
      <c r="B16" s="46" t="s">
        <v>41</v>
      </c>
      <c r="C16" s="46" t="s">
        <v>172</v>
      </c>
      <c r="D16" s="47">
        <v>3269409417</v>
      </c>
    </row>
    <row r="17" spans="1:4" ht="14.5">
      <c r="A17" s="44" t="s">
        <v>168</v>
      </c>
      <c r="B17" s="44" t="s">
        <v>25</v>
      </c>
      <c r="C17" s="44" t="s">
        <v>172</v>
      </c>
      <c r="D17" s="45">
        <v>791789236</v>
      </c>
    </row>
    <row r="18" spans="1:4" ht="14.5">
      <c r="A18" s="46" t="s">
        <v>168</v>
      </c>
      <c r="B18" s="46" t="s">
        <v>37</v>
      </c>
      <c r="C18" s="46" t="s">
        <v>172</v>
      </c>
      <c r="D18" s="47">
        <v>621489618</v>
      </c>
    </row>
    <row r="19" spans="1:4" ht="14.5">
      <c r="A19" s="44" t="s">
        <v>168</v>
      </c>
      <c r="B19" s="44" t="s">
        <v>31</v>
      </c>
      <c r="C19" s="44" t="s">
        <v>172</v>
      </c>
      <c r="D19" s="45">
        <v>588465510</v>
      </c>
    </row>
    <row r="20" spans="1:4" ht="14.5">
      <c r="A20" s="46" t="s">
        <v>168</v>
      </c>
      <c r="B20" s="46" t="s">
        <v>47</v>
      </c>
      <c r="C20" s="46" t="s">
        <v>173</v>
      </c>
      <c r="D20" s="47">
        <v>567124555</v>
      </c>
    </row>
    <row r="21" spans="1:4" ht="14.5">
      <c r="A21" s="44" t="s">
        <v>174</v>
      </c>
      <c r="B21" s="44" t="s">
        <v>175</v>
      </c>
      <c r="C21" s="44" t="s">
        <v>172</v>
      </c>
      <c r="D21" s="45">
        <v>558220700</v>
      </c>
    </row>
    <row r="22" spans="1:4" ht="14.5">
      <c r="A22" s="46" t="s">
        <v>174</v>
      </c>
      <c r="B22" s="46" t="s">
        <v>176</v>
      </c>
      <c r="C22" s="46" t="s">
        <v>172</v>
      </c>
      <c r="D22" s="47">
        <v>492645956</v>
      </c>
    </row>
    <row r="23" spans="1:4" ht="14.5">
      <c r="A23" s="44" t="s">
        <v>168</v>
      </c>
      <c r="B23" s="44" t="s">
        <v>13</v>
      </c>
      <c r="C23" s="44" t="s">
        <v>172</v>
      </c>
      <c r="D23" s="45">
        <v>399438496</v>
      </c>
    </row>
    <row r="24" spans="1:4" ht="14.5">
      <c r="A24" s="46" t="s">
        <v>174</v>
      </c>
      <c r="B24" s="46" t="s">
        <v>177</v>
      </c>
      <c r="C24" s="46" t="s">
        <v>172</v>
      </c>
      <c r="D24" s="47">
        <v>380759335</v>
      </c>
    </row>
    <row r="25" spans="1:4" ht="14.5">
      <c r="A25" s="44" t="s">
        <v>168</v>
      </c>
      <c r="B25" s="44" t="s">
        <v>45</v>
      </c>
      <c r="C25" s="44" t="s">
        <v>172</v>
      </c>
      <c r="D25" s="45">
        <v>339669351</v>
      </c>
    </row>
    <row r="26" spans="1:4" ht="14.5">
      <c r="A26" s="46" t="s">
        <v>168</v>
      </c>
      <c r="B26" s="46" t="s">
        <v>35</v>
      </c>
      <c r="C26" s="46" t="s">
        <v>172</v>
      </c>
      <c r="D26" s="47">
        <v>246421196</v>
      </c>
    </row>
    <row r="27" spans="1:4" ht="14.5">
      <c r="A27" s="44" t="s">
        <v>168</v>
      </c>
      <c r="B27" s="44" t="s">
        <v>33</v>
      </c>
      <c r="C27" s="44" t="s">
        <v>172</v>
      </c>
      <c r="D27" s="45">
        <v>240048953</v>
      </c>
    </row>
    <row r="28" spans="1:4" ht="14.5">
      <c r="A28" s="46" t="s">
        <v>174</v>
      </c>
      <c r="B28" s="46" t="s">
        <v>178</v>
      </c>
      <c r="C28" s="46" t="s">
        <v>172</v>
      </c>
      <c r="D28" s="47">
        <v>166869667</v>
      </c>
    </row>
    <row r="29" spans="1:4" ht="14.5">
      <c r="A29" s="44" t="s">
        <v>168</v>
      </c>
      <c r="B29" s="44" t="s">
        <v>29</v>
      </c>
      <c r="C29" s="44" t="s">
        <v>172</v>
      </c>
      <c r="D29" s="45">
        <v>149115795</v>
      </c>
    </row>
    <row r="30" spans="1:4" ht="14.5">
      <c r="A30" s="46" t="s">
        <v>174</v>
      </c>
      <c r="B30" s="46" t="s">
        <v>179</v>
      </c>
      <c r="C30" s="46" t="s">
        <v>172</v>
      </c>
      <c r="D30" s="47">
        <v>114860427</v>
      </c>
    </row>
    <row r="31" spans="1:4" ht="14.5">
      <c r="A31" s="44" t="s">
        <v>174</v>
      </c>
      <c r="B31" s="44" t="s">
        <v>180</v>
      </c>
      <c r="C31" s="44" t="s">
        <v>172</v>
      </c>
      <c r="D31" s="45">
        <v>105671867</v>
      </c>
    </row>
    <row r="32" spans="1:4" ht="14.5">
      <c r="A32" s="46" t="s">
        <v>174</v>
      </c>
      <c r="B32" s="46" t="s">
        <v>181</v>
      </c>
      <c r="C32" s="46" t="s">
        <v>172</v>
      </c>
      <c r="D32" s="47">
        <v>84889996</v>
      </c>
    </row>
    <row r="33" spans="1:4" ht="14.5">
      <c r="A33" s="44" t="s">
        <v>174</v>
      </c>
      <c r="B33" s="44" t="s">
        <v>182</v>
      </c>
      <c r="C33" s="44" t="s">
        <v>172</v>
      </c>
      <c r="D33" s="45">
        <v>80000000</v>
      </c>
    </row>
    <row r="34" spans="1:4" ht="14.5">
      <c r="A34" s="46" t="s">
        <v>174</v>
      </c>
      <c r="B34" s="46" t="s">
        <v>183</v>
      </c>
      <c r="C34" s="46" t="s">
        <v>172</v>
      </c>
      <c r="D34" s="47">
        <v>65337319</v>
      </c>
    </row>
    <row r="35" spans="1:4" ht="14.5">
      <c r="A35" s="44" t="s">
        <v>174</v>
      </c>
      <c r="B35" s="44" t="s">
        <v>184</v>
      </c>
      <c r="C35" s="44" t="s">
        <v>172</v>
      </c>
      <c r="D35" s="45">
        <v>64520390</v>
      </c>
    </row>
    <row r="36" spans="1:4" ht="14.5">
      <c r="A36" s="46" t="s">
        <v>174</v>
      </c>
      <c r="B36" s="46" t="s">
        <v>185</v>
      </c>
      <c r="C36" s="46" t="s">
        <v>172</v>
      </c>
      <c r="D36" s="47">
        <v>55621826</v>
      </c>
    </row>
    <row r="37" spans="1:4" ht="14.5">
      <c r="A37" s="44" t="s">
        <v>174</v>
      </c>
      <c r="B37" s="44" t="s">
        <v>186</v>
      </c>
      <c r="C37" s="44" t="s">
        <v>172</v>
      </c>
      <c r="D37" s="45">
        <v>48837247</v>
      </c>
    </row>
    <row r="38" spans="1:4" ht="14.5">
      <c r="A38" s="46" t="s">
        <v>174</v>
      </c>
      <c r="B38" s="46" t="s">
        <v>187</v>
      </c>
      <c r="C38" s="46" t="s">
        <v>172</v>
      </c>
      <c r="D38" s="47">
        <v>43089347</v>
      </c>
    </row>
    <row r="39" spans="1:4" ht="14.5">
      <c r="A39" s="44" t="s">
        <v>174</v>
      </c>
      <c r="B39" s="44" t="s">
        <v>188</v>
      </c>
      <c r="C39" s="44" t="s">
        <v>172</v>
      </c>
      <c r="D39" s="45">
        <v>41616550</v>
      </c>
    </row>
    <row r="40" spans="1:4" ht="14.5">
      <c r="A40" s="46" t="s">
        <v>174</v>
      </c>
      <c r="B40" s="46" t="s">
        <v>189</v>
      </c>
      <c r="C40" s="46" t="s">
        <v>172</v>
      </c>
      <c r="D40" s="47">
        <v>38298086</v>
      </c>
    </row>
    <row r="41" spans="1:4" ht="14.5">
      <c r="A41" s="44" t="s">
        <v>174</v>
      </c>
      <c r="B41" s="44" t="s">
        <v>190</v>
      </c>
      <c r="C41" s="44" t="s">
        <v>172</v>
      </c>
      <c r="D41" s="45">
        <v>32165500</v>
      </c>
    </row>
    <row r="42" spans="1:4" ht="14.5">
      <c r="A42" s="46" t="s">
        <v>174</v>
      </c>
      <c r="B42" s="46" t="s">
        <v>191</v>
      </c>
      <c r="C42" s="46" t="s">
        <v>172</v>
      </c>
      <c r="D42" s="47">
        <v>30350000</v>
      </c>
    </row>
    <row r="43" spans="1:4" ht="14.5">
      <c r="A43" s="44" t="s">
        <v>174</v>
      </c>
      <c r="B43" s="44" t="s">
        <v>192</v>
      </c>
      <c r="C43" s="44" t="s">
        <v>172</v>
      </c>
      <c r="D43" s="45">
        <v>28491469</v>
      </c>
    </row>
    <row r="44" spans="1:4" ht="14.5">
      <c r="A44" s="46" t="s">
        <v>174</v>
      </c>
      <c r="B44" s="46" t="s">
        <v>193</v>
      </c>
      <c r="C44" s="46" t="s">
        <v>172</v>
      </c>
      <c r="D44" s="47">
        <v>27500000</v>
      </c>
    </row>
    <row r="45" spans="1:4" ht="14.5">
      <c r="A45" s="44" t="s">
        <v>168</v>
      </c>
      <c r="B45" s="44" t="s">
        <v>3</v>
      </c>
      <c r="C45" s="44" t="s">
        <v>172</v>
      </c>
      <c r="D45" s="45">
        <v>27327383</v>
      </c>
    </row>
    <row r="46" spans="1:4" ht="14.5">
      <c r="A46" s="46" t="s">
        <v>174</v>
      </c>
      <c r="B46" s="46" t="s">
        <v>194</v>
      </c>
      <c r="C46" s="46" t="s">
        <v>172</v>
      </c>
      <c r="D46" s="47">
        <v>21235000</v>
      </c>
    </row>
    <row r="47" spans="1:4" ht="14.5">
      <c r="A47" s="44" t="s">
        <v>168</v>
      </c>
      <c r="B47" s="44" t="s">
        <v>51</v>
      </c>
      <c r="C47" s="44" t="s">
        <v>173</v>
      </c>
      <c r="D47" s="45">
        <v>20353490</v>
      </c>
    </row>
    <row r="48" spans="1:4" ht="14.5">
      <c r="A48" s="46" t="s">
        <v>174</v>
      </c>
      <c r="B48" s="46" t="s">
        <v>195</v>
      </c>
      <c r="C48" s="46" t="s">
        <v>172</v>
      </c>
      <c r="D48" s="47">
        <v>20032614</v>
      </c>
    </row>
    <row r="49" spans="1:4" ht="14.5">
      <c r="A49" s="44" t="s">
        <v>174</v>
      </c>
      <c r="B49" s="44" t="s">
        <v>196</v>
      </c>
      <c r="C49" s="44" t="s">
        <v>172</v>
      </c>
      <c r="D49" s="45">
        <v>20003500</v>
      </c>
    </row>
    <row r="50" spans="1:4" ht="14.5">
      <c r="A50" s="46" t="s">
        <v>174</v>
      </c>
      <c r="B50" s="46" t="s">
        <v>197</v>
      </c>
      <c r="C50" s="46" t="s">
        <v>172</v>
      </c>
      <c r="D50" s="47">
        <v>19500000</v>
      </c>
    </row>
    <row r="51" spans="1:4" ht="14.5">
      <c r="A51" s="44" t="s">
        <v>174</v>
      </c>
      <c r="B51" s="44" t="s">
        <v>198</v>
      </c>
      <c r="C51" s="44" t="s">
        <v>172</v>
      </c>
      <c r="D51" s="45">
        <v>18000000</v>
      </c>
    </row>
    <row r="52" spans="1:4" ht="14.5">
      <c r="A52" s="46" t="s">
        <v>174</v>
      </c>
      <c r="B52" s="46" t="s">
        <v>199</v>
      </c>
      <c r="C52" s="46" t="s">
        <v>172</v>
      </c>
      <c r="D52" s="47">
        <v>17324500</v>
      </c>
    </row>
    <row r="53" spans="1:4" ht="14.5">
      <c r="A53" s="44" t="s">
        <v>174</v>
      </c>
      <c r="B53" s="44" t="s">
        <v>200</v>
      </c>
      <c r="C53" s="44" t="s">
        <v>172</v>
      </c>
      <c r="D53" s="45">
        <v>16123997</v>
      </c>
    </row>
    <row r="54" spans="1:4" ht="14.5">
      <c r="A54" s="46" t="s">
        <v>174</v>
      </c>
      <c r="B54" s="46" t="s">
        <v>201</v>
      </c>
      <c r="C54" s="46" t="s">
        <v>172</v>
      </c>
      <c r="D54" s="47">
        <v>15075500</v>
      </c>
    </row>
    <row r="55" spans="1:4" ht="14.5">
      <c r="A55" s="44" t="s">
        <v>174</v>
      </c>
      <c r="B55" s="44" t="s">
        <v>202</v>
      </c>
      <c r="C55" s="44" t="s">
        <v>172</v>
      </c>
      <c r="D55" s="45">
        <v>14767622</v>
      </c>
    </row>
    <row r="56" spans="1:4" ht="14.5">
      <c r="A56" s="46" t="s">
        <v>174</v>
      </c>
      <c r="B56" s="46" t="s">
        <v>203</v>
      </c>
      <c r="C56" s="46" t="s">
        <v>172</v>
      </c>
      <c r="D56" s="47">
        <v>12324577</v>
      </c>
    </row>
    <row r="57" spans="1:4" ht="14.5">
      <c r="A57" s="44" t="s">
        <v>174</v>
      </c>
      <c r="B57" s="44" t="s">
        <v>204</v>
      </c>
      <c r="C57" s="44" t="s">
        <v>172</v>
      </c>
      <c r="D57" s="45">
        <v>12010000</v>
      </c>
    </row>
    <row r="58" spans="1:4" ht="14.5">
      <c r="A58" s="46" t="s">
        <v>174</v>
      </c>
      <c r="B58" s="46" t="s">
        <v>205</v>
      </c>
      <c r="C58" s="46" t="s">
        <v>172</v>
      </c>
      <c r="D58" s="47">
        <v>10713325</v>
      </c>
    </row>
    <row r="59" spans="1:4" ht="14.5">
      <c r="A59" s="44" t="s">
        <v>174</v>
      </c>
      <c r="B59" s="44" t="s">
        <v>206</v>
      </c>
      <c r="C59" s="44" t="s">
        <v>172</v>
      </c>
      <c r="D59" s="45">
        <v>9995175</v>
      </c>
    </row>
    <row r="60" spans="1:4" ht="14.5">
      <c r="A60" s="46" t="s">
        <v>174</v>
      </c>
      <c r="B60" s="46" t="s">
        <v>207</v>
      </c>
      <c r="C60" s="46" t="s">
        <v>172</v>
      </c>
      <c r="D60" s="47">
        <v>9493200</v>
      </c>
    </row>
    <row r="61" spans="1:4" ht="14.5">
      <c r="A61" s="44" t="s">
        <v>174</v>
      </c>
      <c r="B61" s="44" t="s">
        <v>208</v>
      </c>
      <c r="C61" s="44" t="s">
        <v>173</v>
      </c>
      <c r="D61" s="45">
        <v>9080859</v>
      </c>
    </row>
    <row r="62" spans="1:4" ht="14.5">
      <c r="A62" s="46" t="s">
        <v>174</v>
      </c>
      <c r="B62" s="46" t="s">
        <v>209</v>
      </c>
      <c r="C62" s="46" t="s">
        <v>172</v>
      </c>
      <c r="D62" s="47">
        <v>9000000</v>
      </c>
    </row>
    <row r="63" spans="1:4" ht="14.5">
      <c r="A63" s="44" t="s">
        <v>174</v>
      </c>
      <c r="B63" s="44" t="s">
        <v>210</v>
      </c>
      <c r="C63" s="44" t="s">
        <v>172</v>
      </c>
      <c r="D63" s="45">
        <v>9000000</v>
      </c>
    </row>
    <row r="64" spans="1:4" ht="14.5">
      <c r="A64" s="46" t="s">
        <v>174</v>
      </c>
      <c r="B64" s="46" t="s">
        <v>211</v>
      </c>
      <c r="C64" s="46" t="s">
        <v>172</v>
      </c>
      <c r="D64" s="47">
        <v>8713960</v>
      </c>
    </row>
    <row r="65" spans="1:4" ht="14.5">
      <c r="A65" s="44" t="s">
        <v>174</v>
      </c>
      <c r="B65" s="44" t="s">
        <v>212</v>
      </c>
      <c r="C65" s="44" t="s">
        <v>172</v>
      </c>
      <c r="D65" s="45">
        <v>8324500</v>
      </c>
    </row>
    <row r="66" spans="1:4" ht="14.5">
      <c r="A66" s="46" t="s">
        <v>174</v>
      </c>
      <c r="B66" s="46" t="s">
        <v>213</v>
      </c>
      <c r="C66" s="46" t="s">
        <v>172</v>
      </c>
      <c r="D66" s="47">
        <v>8135772</v>
      </c>
    </row>
    <row r="67" spans="1:4" ht="14.5">
      <c r="A67" s="44" t="s">
        <v>174</v>
      </c>
      <c r="B67" s="44" t="s">
        <v>214</v>
      </c>
      <c r="C67" s="44" t="s">
        <v>172</v>
      </c>
      <c r="D67" s="45">
        <v>8106000</v>
      </c>
    </row>
    <row r="68" spans="1:4" ht="14.5">
      <c r="A68" s="46" t="s">
        <v>174</v>
      </c>
      <c r="B68" s="46" t="s">
        <v>215</v>
      </c>
      <c r="C68" s="46" t="s">
        <v>172</v>
      </c>
      <c r="D68" s="47">
        <v>7008000</v>
      </c>
    </row>
    <row r="69" spans="1:4" ht="14.5">
      <c r="A69" s="44" t="s">
        <v>174</v>
      </c>
      <c r="B69" s="44" t="s">
        <v>216</v>
      </c>
      <c r="C69" s="44" t="s">
        <v>172</v>
      </c>
      <c r="D69" s="45">
        <v>6733115</v>
      </c>
    </row>
    <row r="70" spans="1:4" ht="14.5">
      <c r="A70" s="46" t="s">
        <v>174</v>
      </c>
      <c r="B70" s="46" t="s">
        <v>217</v>
      </c>
      <c r="C70" s="46" t="s">
        <v>172</v>
      </c>
      <c r="D70" s="47">
        <v>6700000</v>
      </c>
    </row>
    <row r="71" spans="1:4" ht="14.5">
      <c r="A71" s="44" t="s">
        <v>174</v>
      </c>
      <c r="B71" s="44" t="s">
        <v>218</v>
      </c>
      <c r="C71" s="44" t="s">
        <v>172</v>
      </c>
      <c r="D71" s="45">
        <v>6698066</v>
      </c>
    </row>
    <row r="72" spans="1:4" ht="14.5">
      <c r="A72" s="46" t="s">
        <v>174</v>
      </c>
      <c r="B72" s="46" t="s">
        <v>219</v>
      </c>
      <c r="C72" s="46" t="s">
        <v>172</v>
      </c>
      <c r="D72" s="47">
        <v>6500000</v>
      </c>
    </row>
    <row r="73" spans="1:4" ht="14.5">
      <c r="A73" s="44" t="s">
        <v>174</v>
      </c>
      <c r="B73" s="44" t="s">
        <v>220</v>
      </c>
      <c r="C73" s="44" t="s">
        <v>172</v>
      </c>
      <c r="D73" s="45">
        <v>6485000</v>
      </c>
    </row>
    <row r="74" spans="1:4" ht="14.5">
      <c r="A74" s="46" t="s">
        <v>174</v>
      </c>
      <c r="B74" s="46" t="s">
        <v>221</v>
      </c>
      <c r="C74" s="46" t="s">
        <v>172</v>
      </c>
      <c r="D74" s="47">
        <v>6050500</v>
      </c>
    </row>
    <row r="75" spans="1:4" ht="14.5">
      <c r="A75" s="44" t="s">
        <v>174</v>
      </c>
      <c r="B75" s="44" t="s">
        <v>222</v>
      </c>
      <c r="C75" s="44" t="s">
        <v>172</v>
      </c>
      <c r="D75" s="45">
        <v>5980000</v>
      </c>
    </row>
    <row r="76" spans="1:4" ht="14.5">
      <c r="A76" s="46" t="s">
        <v>174</v>
      </c>
      <c r="B76" s="46" t="s">
        <v>223</v>
      </c>
      <c r="C76" s="46" t="s">
        <v>172</v>
      </c>
      <c r="D76" s="47">
        <v>5265900</v>
      </c>
    </row>
    <row r="77" spans="1:4" ht="14.5">
      <c r="A77" s="44" t="s">
        <v>174</v>
      </c>
      <c r="B77" s="44" t="s">
        <v>224</v>
      </c>
      <c r="C77" s="44" t="s">
        <v>172</v>
      </c>
      <c r="D77" s="45">
        <v>5078720</v>
      </c>
    </row>
    <row r="78" spans="1:4" ht="14.5">
      <c r="A78" s="46" t="s">
        <v>168</v>
      </c>
      <c r="B78" s="46" t="s">
        <v>49</v>
      </c>
      <c r="C78" s="46" t="s">
        <v>173</v>
      </c>
      <c r="D78" s="47">
        <v>4832596</v>
      </c>
    </row>
    <row r="79" spans="1:4" ht="14.5">
      <c r="A79" s="44" t="s">
        <v>174</v>
      </c>
      <c r="B79" s="44" t="s">
        <v>225</v>
      </c>
      <c r="C79" s="44" t="s">
        <v>172</v>
      </c>
      <c r="D79" s="45">
        <v>4732000</v>
      </c>
    </row>
    <row r="80" spans="1:4" ht="14.5">
      <c r="A80" s="46" t="s">
        <v>174</v>
      </c>
      <c r="B80" s="46" t="s">
        <v>226</v>
      </c>
      <c r="C80" s="46" t="s">
        <v>172</v>
      </c>
      <c r="D80" s="47">
        <v>4522600</v>
      </c>
    </row>
    <row r="81" spans="1:4" ht="14.5">
      <c r="A81" s="44" t="s">
        <v>174</v>
      </c>
      <c r="B81" s="44" t="s">
        <v>227</v>
      </c>
      <c r="C81" s="44" t="s">
        <v>172</v>
      </c>
      <c r="D81" s="45">
        <v>4471550</v>
      </c>
    </row>
    <row r="82" spans="1:4" ht="14.5">
      <c r="A82" s="46" t="s">
        <v>174</v>
      </c>
      <c r="B82" s="46" t="s">
        <v>228</v>
      </c>
      <c r="C82" s="46" t="s">
        <v>172</v>
      </c>
      <c r="D82" s="47">
        <v>3184942</v>
      </c>
    </row>
    <row r="83" spans="1:4" ht="14.5">
      <c r="A83" s="44" t="s">
        <v>174</v>
      </c>
      <c r="B83" s="44" t="s">
        <v>229</v>
      </c>
      <c r="C83" s="44" t="s">
        <v>172</v>
      </c>
      <c r="D83" s="45">
        <v>3136888</v>
      </c>
    </row>
    <row r="84" spans="1:4" ht="14.5">
      <c r="A84" s="46" t="s">
        <v>174</v>
      </c>
      <c r="B84" s="46" t="s">
        <v>230</v>
      </c>
      <c r="C84" s="46" t="s">
        <v>172</v>
      </c>
      <c r="D84" s="47">
        <v>3076870</v>
      </c>
    </row>
    <row r="85" spans="1:4" ht="14.5">
      <c r="A85" s="44" t="s">
        <v>174</v>
      </c>
      <c r="B85" s="44" t="s">
        <v>231</v>
      </c>
      <c r="C85" s="44" t="s">
        <v>172</v>
      </c>
      <c r="D85" s="45">
        <v>3000000</v>
      </c>
    </row>
    <row r="86" spans="1:4" ht="14.5">
      <c r="A86" s="46" t="s">
        <v>174</v>
      </c>
      <c r="B86" s="46" t="s">
        <v>232</v>
      </c>
      <c r="C86" s="46" t="s">
        <v>172</v>
      </c>
      <c r="D86" s="47">
        <v>3000000</v>
      </c>
    </row>
    <row r="87" spans="1:4" ht="14.5">
      <c r="A87" s="44" t="s">
        <v>174</v>
      </c>
      <c r="B87" s="44" t="s">
        <v>233</v>
      </c>
      <c r="C87" s="44" t="s">
        <v>172</v>
      </c>
      <c r="D87" s="45">
        <v>2817066</v>
      </c>
    </row>
    <row r="88" spans="1:4" ht="14.5">
      <c r="A88" s="46" t="s">
        <v>174</v>
      </c>
      <c r="B88" s="46" t="s">
        <v>234</v>
      </c>
      <c r="C88" s="46" t="s">
        <v>172</v>
      </c>
      <c r="D88" s="47">
        <v>2755407</v>
      </c>
    </row>
    <row r="89" spans="1:4" ht="14.5">
      <c r="A89" s="44" t="s">
        <v>174</v>
      </c>
      <c r="B89" s="44" t="s">
        <v>235</v>
      </c>
      <c r="C89" s="44" t="s">
        <v>172</v>
      </c>
      <c r="D89" s="45">
        <v>2697417</v>
      </c>
    </row>
    <row r="90" spans="1:4" ht="14.5">
      <c r="A90" s="46" t="s">
        <v>174</v>
      </c>
      <c r="B90" s="46" t="s">
        <v>236</v>
      </c>
      <c r="C90" s="46" t="s">
        <v>172</v>
      </c>
      <c r="D90" s="47">
        <v>2633500</v>
      </c>
    </row>
    <row r="91" spans="1:4" ht="14.5">
      <c r="A91" s="44" t="s">
        <v>174</v>
      </c>
      <c r="B91" s="44" t="s">
        <v>237</v>
      </c>
      <c r="C91" s="44" t="s">
        <v>172</v>
      </c>
      <c r="D91" s="45">
        <v>2565000</v>
      </c>
    </row>
    <row r="92" spans="1:4" ht="14.5">
      <c r="A92" s="46" t="s">
        <v>174</v>
      </c>
      <c r="B92" s="46" t="s">
        <v>238</v>
      </c>
      <c r="C92" s="46" t="s">
        <v>172</v>
      </c>
      <c r="D92" s="47">
        <v>2489754</v>
      </c>
    </row>
    <row r="93" spans="1:4" ht="14.5">
      <c r="A93" s="44" t="s">
        <v>174</v>
      </c>
      <c r="B93" s="44" t="s">
        <v>239</v>
      </c>
      <c r="C93" s="44" t="s">
        <v>172</v>
      </c>
      <c r="D93" s="45">
        <v>2400000</v>
      </c>
    </row>
    <row r="94" spans="1:4" ht="14.5">
      <c r="A94" s="46" t="s">
        <v>174</v>
      </c>
      <c r="B94" s="46" t="s">
        <v>240</v>
      </c>
      <c r="C94" s="46" t="s">
        <v>172</v>
      </c>
      <c r="D94" s="47">
        <v>2222502</v>
      </c>
    </row>
    <row r="95" spans="1:4" ht="14.5">
      <c r="A95" s="44" t="s">
        <v>174</v>
      </c>
      <c r="B95" s="44" t="s">
        <v>241</v>
      </c>
      <c r="C95" s="44" t="s">
        <v>172</v>
      </c>
      <c r="D95" s="45">
        <v>2100761</v>
      </c>
    </row>
    <row r="96" spans="1:4" ht="14.5">
      <c r="A96" s="46" t="s">
        <v>174</v>
      </c>
      <c r="B96" s="46" t="s">
        <v>242</v>
      </c>
      <c r="C96" s="46" t="s">
        <v>172</v>
      </c>
      <c r="D96" s="47">
        <v>2091500</v>
      </c>
    </row>
    <row r="97" spans="1:4" ht="14.5">
      <c r="A97" s="44" t="s">
        <v>174</v>
      </c>
      <c r="B97" s="44" t="s">
        <v>243</v>
      </c>
      <c r="C97" s="44" t="s">
        <v>172</v>
      </c>
      <c r="D97" s="45">
        <v>1922000</v>
      </c>
    </row>
    <row r="98" spans="1:4" ht="14.5">
      <c r="A98" s="46" t="s">
        <v>174</v>
      </c>
      <c r="B98" s="46" t="s">
        <v>244</v>
      </c>
      <c r="C98" s="46" t="s">
        <v>172</v>
      </c>
      <c r="D98" s="47">
        <v>1801026</v>
      </c>
    </row>
    <row r="99" spans="1:4" ht="14.5">
      <c r="A99" s="44" t="s">
        <v>174</v>
      </c>
      <c r="B99" s="44" t="s">
        <v>245</v>
      </c>
      <c r="C99" s="44" t="s">
        <v>172</v>
      </c>
      <c r="D99" s="45">
        <v>1430000</v>
      </c>
    </row>
    <row r="100" spans="1:4" ht="14.5">
      <c r="A100" s="46" t="s">
        <v>174</v>
      </c>
      <c r="B100" s="46" t="s">
        <v>246</v>
      </c>
      <c r="C100" s="46" t="s">
        <v>172</v>
      </c>
      <c r="D100" s="47">
        <v>1400000</v>
      </c>
    </row>
    <row r="101" spans="1:4" ht="14.5">
      <c r="A101" s="44" t="s">
        <v>174</v>
      </c>
      <c r="B101" s="44" t="s">
        <v>247</v>
      </c>
      <c r="C101" s="44" t="s">
        <v>172</v>
      </c>
      <c r="D101" s="45">
        <v>1361160</v>
      </c>
    </row>
    <row r="102" spans="1:4" ht="14.5">
      <c r="A102" s="46" t="s">
        <v>174</v>
      </c>
      <c r="B102" s="46" t="s">
        <v>248</v>
      </c>
      <c r="C102" s="46" t="s">
        <v>172</v>
      </c>
      <c r="D102" s="47">
        <v>1275690</v>
      </c>
    </row>
    <row r="103" spans="1:4" ht="14.5">
      <c r="A103" s="44" t="s">
        <v>174</v>
      </c>
      <c r="B103" s="44" t="s">
        <v>249</v>
      </c>
      <c r="C103" s="44" t="s">
        <v>172</v>
      </c>
      <c r="D103" s="45">
        <v>1221600</v>
      </c>
    </row>
    <row r="104" spans="1:4" ht="14.5">
      <c r="A104" s="46" t="s">
        <v>174</v>
      </c>
      <c r="B104" s="46" t="s">
        <v>250</v>
      </c>
      <c r="C104" s="46" t="s">
        <v>172</v>
      </c>
      <c r="D104" s="47">
        <v>1200000</v>
      </c>
    </row>
    <row r="105" spans="1:4" ht="14.5">
      <c r="A105" s="44" t="s">
        <v>174</v>
      </c>
      <c r="B105" s="44" t="s">
        <v>251</v>
      </c>
      <c r="C105" s="44" t="s">
        <v>172</v>
      </c>
      <c r="D105" s="45">
        <v>1170506</v>
      </c>
    </row>
    <row r="106" spans="1:4" ht="14.5">
      <c r="A106" s="46" t="s">
        <v>174</v>
      </c>
      <c r="B106" s="46" t="s">
        <v>252</v>
      </c>
      <c r="C106" s="46" t="s">
        <v>172</v>
      </c>
      <c r="D106" s="47">
        <v>1067688</v>
      </c>
    </row>
    <row r="107" spans="1:4" ht="14.5">
      <c r="A107" s="44" t="s">
        <v>174</v>
      </c>
      <c r="B107" s="44" t="s">
        <v>253</v>
      </c>
      <c r="C107" s="44" t="s">
        <v>172</v>
      </c>
      <c r="D107" s="45">
        <v>1000000</v>
      </c>
    </row>
    <row r="108" spans="1:4" ht="14.5">
      <c r="A108" s="46" t="s">
        <v>174</v>
      </c>
      <c r="B108" s="46" t="s">
        <v>254</v>
      </c>
      <c r="C108" s="46" t="s">
        <v>172</v>
      </c>
      <c r="D108" s="47">
        <v>1000000</v>
      </c>
    </row>
    <row r="109" spans="1:4" ht="14.5">
      <c r="A109" s="44" t="s">
        <v>174</v>
      </c>
      <c r="B109" s="44" t="s">
        <v>255</v>
      </c>
      <c r="C109" s="44" t="s">
        <v>172</v>
      </c>
      <c r="D109" s="45">
        <v>995996</v>
      </c>
    </row>
    <row r="110" spans="1:4" ht="14.5">
      <c r="A110" s="46" t="s">
        <v>174</v>
      </c>
      <c r="B110" s="46" t="s">
        <v>256</v>
      </c>
      <c r="C110" s="46" t="s">
        <v>172</v>
      </c>
      <c r="D110" s="47">
        <v>840000</v>
      </c>
    </row>
    <row r="111" spans="1:4" ht="14.5">
      <c r="A111" s="44" t="s">
        <v>174</v>
      </c>
      <c r="B111" s="44" t="s">
        <v>257</v>
      </c>
      <c r="C111" s="44" t="s">
        <v>172</v>
      </c>
      <c r="D111" s="45">
        <v>668620</v>
      </c>
    </row>
    <row r="112" spans="1:4" ht="14.5">
      <c r="A112" s="46" t="s">
        <v>174</v>
      </c>
      <c r="B112" s="46" t="s">
        <v>258</v>
      </c>
      <c r="C112" s="46" t="s">
        <v>172</v>
      </c>
      <c r="D112" s="47">
        <v>650000</v>
      </c>
    </row>
    <row r="113" spans="1:4" ht="14.5">
      <c r="A113" s="44" t="s">
        <v>174</v>
      </c>
      <c r="B113" s="44" t="s">
        <v>259</v>
      </c>
      <c r="C113" s="44" t="s">
        <v>172</v>
      </c>
      <c r="D113" s="45">
        <v>600000</v>
      </c>
    </row>
    <row r="114" spans="1:4" ht="14.5">
      <c r="A114" s="46" t="s">
        <v>174</v>
      </c>
      <c r="B114" s="46" t="s">
        <v>260</v>
      </c>
      <c r="C114" s="46" t="s">
        <v>172</v>
      </c>
      <c r="D114" s="47">
        <v>572280</v>
      </c>
    </row>
    <row r="115" spans="1:4" ht="14.5">
      <c r="A115" s="44" t="s">
        <v>174</v>
      </c>
      <c r="B115" s="44" t="s">
        <v>261</v>
      </c>
      <c r="C115" s="44" t="s">
        <v>172</v>
      </c>
      <c r="D115" s="45">
        <v>508865</v>
      </c>
    </row>
    <row r="116" spans="1:4" ht="14.5">
      <c r="A116" s="46" t="s">
        <v>174</v>
      </c>
      <c r="B116" s="46" t="s">
        <v>262</v>
      </c>
      <c r="C116" s="46" t="s">
        <v>172</v>
      </c>
      <c r="D116" s="47">
        <v>500000</v>
      </c>
    </row>
    <row r="117" spans="1:4" ht="14.5">
      <c r="A117" s="44" t="s">
        <v>174</v>
      </c>
      <c r="B117" s="44" t="s">
        <v>263</v>
      </c>
      <c r="C117" s="44" t="s">
        <v>173</v>
      </c>
      <c r="D117" s="45">
        <v>402000</v>
      </c>
    </row>
    <row r="118" spans="1:4" ht="14.5">
      <c r="A118" s="46" t="s">
        <v>174</v>
      </c>
      <c r="B118" s="46" t="s">
        <v>264</v>
      </c>
      <c r="C118" s="46" t="s">
        <v>172</v>
      </c>
      <c r="D118" s="47">
        <v>390000</v>
      </c>
    </row>
    <row r="119" spans="1:4" ht="14.5">
      <c r="A119" s="44" t="s">
        <v>174</v>
      </c>
      <c r="B119" s="44" t="s">
        <v>265</v>
      </c>
      <c r="C119" s="44" t="s">
        <v>172</v>
      </c>
      <c r="D119" s="45">
        <v>389026</v>
      </c>
    </row>
    <row r="120" spans="1:4" ht="14.5">
      <c r="A120" s="46" t="s">
        <v>174</v>
      </c>
      <c r="B120" s="46" t="s">
        <v>266</v>
      </c>
      <c r="C120" s="46" t="s">
        <v>172</v>
      </c>
      <c r="D120" s="47">
        <v>323000</v>
      </c>
    </row>
    <row r="121" spans="1:4" ht="14.5">
      <c r="A121" s="44" t="s">
        <v>174</v>
      </c>
      <c r="B121" s="44" t="s">
        <v>267</v>
      </c>
      <c r="C121" s="44" t="s">
        <v>172</v>
      </c>
      <c r="D121" s="45">
        <v>200000</v>
      </c>
    </row>
    <row r="122" spans="1:4" ht="14.5">
      <c r="A122" s="46" t="s">
        <v>174</v>
      </c>
      <c r="B122" s="46" t="s">
        <v>268</v>
      </c>
      <c r="C122" s="46" t="s">
        <v>172</v>
      </c>
      <c r="D122" s="47">
        <v>169180</v>
      </c>
    </row>
    <row r="123" spans="1:4" ht="14.5">
      <c r="A123" s="44" t="s">
        <v>168</v>
      </c>
      <c r="B123" s="44" t="s">
        <v>55</v>
      </c>
      <c r="C123" s="44" t="s">
        <v>173</v>
      </c>
      <c r="D123" s="45">
        <v>133855</v>
      </c>
    </row>
    <row r="124" spans="1:4">
      <c r="A124" s="48"/>
      <c r="B124" s="48"/>
      <c r="C124" s="48"/>
      <c r="D124" s="49">
        <f>SUM(D5:D123)</f>
        <v>346189169503</v>
      </c>
    </row>
  </sheetData>
  <hyperlinks>
    <hyperlink ref="A1" location="Sommaire!A1" display="Sommaire!A1" xr:uid="{79E4031B-E4AA-4567-896D-F146A97DB42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786F-152A-45BD-920C-81DF37D02677}">
  <dimension ref="A1:D41"/>
  <sheetViews>
    <sheetView zoomScale="63" zoomScaleNormal="63" workbookViewId="0">
      <selection activeCell="N170" activeCellId="1" sqref="B1 N170"/>
    </sheetView>
  </sheetViews>
  <sheetFormatPr baseColWidth="10" defaultColWidth="12" defaultRowHeight="13"/>
  <cols>
    <col min="1" max="1" width="7.6328125" style="39" customWidth="1"/>
    <col min="2" max="2" width="90.7265625" style="39" bestFit="1" customWidth="1"/>
    <col min="3" max="3" width="8" style="39" bestFit="1" customWidth="1"/>
    <col min="4" max="4" width="24" style="39" bestFit="1" customWidth="1"/>
    <col min="5" max="16384" width="12" style="39"/>
  </cols>
  <sheetData>
    <row r="1" spans="1:4" ht="14.5">
      <c r="A1" s="38" t="s">
        <v>0</v>
      </c>
    </row>
    <row r="2" spans="1:4" s="41" customFormat="1" ht="21">
      <c r="B2" s="40" t="s">
        <v>269</v>
      </c>
    </row>
    <row r="4" spans="1:4" ht="34.5" customHeight="1" thickBot="1">
      <c r="B4" s="42" t="s">
        <v>270</v>
      </c>
      <c r="C4" s="42" t="s">
        <v>271</v>
      </c>
      <c r="D4" s="42" t="s">
        <v>272</v>
      </c>
    </row>
    <row r="5" spans="1:4">
      <c r="B5" s="50" t="s">
        <v>107</v>
      </c>
      <c r="C5" s="50" t="s">
        <v>103</v>
      </c>
      <c r="D5" s="51">
        <v>62727665742</v>
      </c>
    </row>
    <row r="6" spans="1:4">
      <c r="B6" s="52" t="s">
        <v>104</v>
      </c>
      <c r="C6" s="52" t="s">
        <v>103</v>
      </c>
      <c r="D6" s="53">
        <v>50789970820</v>
      </c>
    </row>
    <row r="7" spans="1:4">
      <c r="B7" s="50" t="s">
        <v>77</v>
      </c>
      <c r="C7" s="50" t="s">
        <v>273</v>
      </c>
      <c r="D7" s="51">
        <v>47199495932</v>
      </c>
    </row>
    <row r="8" spans="1:4">
      <c r="B8" s="52" t="s">
        <v>105</v>
      </c>
      <c r="C8" s="52" t="s">
        <v>103</v>
      </c>
      <c r="D8" s="53">
        <v>45859664010</v>
      </c>
    </row>
    <row r="9" spans="1:4">
      <c r="B9" s="50" t="s">
        <v>99</v>
      </c>
      <c r="C9" s="50" t="s">
        <v>92</v>
      </c>
      <c r="D9" s="51">
        <v>29852407029</v>
      </c>
    </row>
    <row r="10" spans="1:4">
      <c r="B10" s="52" t="s">
        <v>124</v>
      </c>
      <c r="C10" s="52" t="s">
        <v>120</v>
      </c>
      <c r="D10" s="53">
        <v>21364927199</v>
      </c>
    </row>
    <row r="11" spans="1:4">
      <c r="B11" s="50" t="s">
        <v>117</v>
      </c>
      <c r="C11" s="50" t="s">
        <v>103</v>
      </c>
      <c r="D11" s="51">
        <v>20883206994</v>
      </c>
    </row>
    <row r="12" spans="1:4">
      <c r="B12" s="52" t="s">
        <v>106</v>
      </c>
      <c r="C12" s="52" t="s">
        <v>103</v>
      </c>
      <c r="D12" s="53">
        <v>16831732581</v>
      </c>
    </row>
    <row r="13" spans="1:4">
      <c r="B13" s="50" t="s">
        <v>119</v>
      </c>
      <c r="C13" s="50" t="s">
        <v>103</v>
      </c>
      <c r="D13" s="51">
        <v>13922137996</v>
      </c>
    </row>
    <row r="14" spans="1:4">
      <c r="B14" s="52" t="s">
        <v>109</v>
      </c>
      <c r="C14" s="52" t="s">
        <v>103</v>
      </c>
      <c r="D14" s="53">
        <v>12745512007</v>
      </c>
    </row>
    <row r="15" spans="1:4">
      <c r="B15" s="50" t="s">
        <v>121</v>
      </c>
      <c r="C15" s="50" t="s">
        <v>120</v>
      </c>
      <c r="D15" s="51">
        <v>12649190918</v>
      </c>
    </row>
    <row r="16" spans="1:4">
      <c r="B16" s="52" t="s">
        <v>129</v>
      </c>
      <c r="C16" s="52" t="s">
        <v>120</v>
      </c>
      <c r="D16" s="53">
        <v>2554408692</v>
      </c>
    </row>
    <row r="17" spans="2:4">
      <c r="B17" s="50" t="s">
        <v>102</v>
      </c>
      <c r="C17" s="50" t="s">
        <v>92</v>
      </c>
      <c r="D17" s="51">
        <v>1776772256</v>
      </c>
    </row>
    <row r="18" spans="2:4">
      <c r="B18" s="52" t="s">
        <v>131</v>
      </c>
      <c r="C18" s="52" t="s">
        <v>130</v>
      </c>
      <c r="D18" s="53">
        <v>1235902225</v>
      </c>
    </row>
    <row r="19" spans="2:4">
      <c r="B19" s="50" t="s">
        <v>116</v>
      </c>
      <c r="C19" s="50" t="s">
        <v>103</v>
      </c>
      <c r="D19" s="51">
        <v>924546967</v>
      </c>
    </row>
    <row r="20" spans="2:4">
      <c r="B20" s="52" t="s">
        <v>81</v>
      </c>
      <c r="C20" s="52" t="s">
        <v>273</v>
      </c>
      <c r="D20" s="53">
        <v>723021990</v>
      </c>
    </row>
    <row r="21" spans="2:4">
      <c r="B21" s="50" t="s">
        <v>111</v>
      </c>
      <c r="C21" s="50" t="s">
        <v>103</v>
      </c>
      <c r="D21" s="51">
        <v>705231145</v>
      </c>
    </row>
    <row r="22" spans="2:4">
      <c r="B22" s="52" t="s">
        <v>94</v>
      </c>
      <c r="C22" s="52" t="s">
        <v>92</v>
      </c>
      <c r="D22" s="53">
        <v>700210162</v>
      </c>
    </row>
    <row r="23" spans="2:4">
      <c r="B23" s="50" t="s">
        <v>112</v>
      </c>
      <c r="C23" s="50" t="s">
        <v>103</v>
      </c>
      <c r="D23" s="51">
        <v>678785759</v>
      </c>
    </row>
    <row r="24" spans="2:4">
      <c r="B24" s="52" t="s">
        <v>110</v>
      </c>
      <c r="C24" s="52" t="s">
        <v>103</v>
      </c>
      <c r="D24" s="53">
        <v>589975356</v>
      </c>
    </row>
    <row r="25" spans="2:4">
      <c r="B25" s="50" t="s">
        <v>128</v>
      </c>
      <c r="C25" s="50" t="s">
        <v>120</v>
      </c>
      <c r="D25" s="51">
        <v>585874719</v>
      </c>
    </row>
    <row r="26" spans="2:4">
      <c r="B26" s="52" t="s">
        <v>136</v>
      </c>
      <c r="C26" s="52" t="s">
        <v>134</v>
      </c>
      <c r="D26" s="53">
        <v>430416334.99999994</v>
      </c>
    </row>
    <row r="27" spans="2:4">
      <c r="B27" s="50" t="s">
        <v>135</v>
      </c>
      <c r="C27" s="50" t="s">
        <v>134</v>
      </c>
      <c r="D27" s="51">
        <v>96346175.000000015</v>
      </c>
    </row>
    <row r="28" spans="2:4">
      <c r="B28" s="52" t="s">
        <v>146</v>
      </c>
      <c r="C28" s="52" t="s">
        <v>120</v>
      </c>
      <c r="D28" s="53">
        <v>65730409</v>
      </c>
    </row>
    <row r="29" spans="2:4">
      <c r="B29" s="50" t="s">
        <v>79</v>
      </c>
      <c r="C29" s="50" t="s">
        <v>273</v>
      </c>
      <c r="D29" s="51">
        <v>60941000</v>
      </c>
    </row>
    <row r="30" spans="2:4">
      <c r="B30" s="52" t="s">
        <v>127</v>
      </c>
      <c r="C30" s="52" t="s">
        <v>120</v>
      </c>
      <c r="D30" s="53">
        <v>57624046</v>
      </c>
    </row>
    <row r="31" spans="2:4">
      <c r="B31" s="50" t="s">
        <v>146</v>
      </c>
      <c r="C31" s="50" t="s">
        <v>92</v>
      </c>
      <c r="D31" s="51">
        <v>50271367</v>
      </c>
    </row>
    <row r="32" spans="2:4">
      <c r="B32" s="52" t="s">
        <v>274</v>
      </c>
      <c r="C32" s="52" t="s">
        <v>92</v>
      </c>
      <c r="D32" s="53">
        <v>41166550</v>
      </c>
    </row>
    <row r="33" spans="2:4">
      <c r="B33" s="50" t="s">
        <v>115</v>
      </c>
      <c r="C33" s="50" t="s">
        <v>103</v>
      </c>
      <c r="D33" s="51">
        <v>34053586</v>
      </c>
    </row>
    <row r="34" spans="2:4">
      <c r="B34" s="52" t="s">
        <v>275</v>
      </c>
      <c r="C34" s="52" t="s">
        <v>92</v>
      </c>
      <c r="D34" s="53">
        <v>32684500</v>
      </c>
    </row>
    <row r="35" spans="2:4">
      <c r="B35" s="50" t="s">
        <v>276</v>
      </c>
      <c r="C35" s="50" t="s">
        <v>92</v>
      </c>
      <c r="D35" s="51">
        <v>9493200</v>
      </c>
    </row>
    <row r="36" spans="2:4">
      <c r="B36" s="52" t="s">
        <v>277</v>
      </c>
      <c r="C36" s="52" t="s">
        <v>92</v>
      </c>
      <c r="D36" s="53">
        <v>3586888</v>
      </c>
    </row>
    <row r="37" spans="2:4">
      <c r="B37" s="50" t="s">
        <v>146</v>
      </c>
      <c r="C37" s="50" t="s">
        <v>103</v>
      </c>
      <c r="D37" s="51">
        <v>3307500</v>
      </c>
    </row>
    <row r="38" spans="2:4">
      <c r="B38" s="52" t="s">
        <v>275</v>
      </c>
      <c r="C38" s="52" t="s">
        <v>103</v>
      </c>
      <c r="D38" s="53">
        <v>1657448</v>
      </c>
    </row>
    <row r="39" spans="2:4" ht="13.5" thickBot="1">
      <c r="B39" s="50" t="s">
        <v>278</v>
      </c>
      <c r="C39" s="50" t="s">
        <v>92</v>
      </c>
      <c r="D39" s="51">
        <v>1250000</v>
      </c>
    </row>
    <row r="40" spans="2:4" ht="14" thickTop="1" thickBot="1">
      <c r="B40" s="54" t="s">
        <v>279</v>
      </c>
      <c r="C40" s="54"/>
      <c r="D40" s="55">
        <f>SUM(D5:D39)</f>
        <v>346189169503</v>
      </c>
    </row>
    <row r="41" spans="2:4" ht="13.5" thickTop="1"/>
  </sheetData>
  <mergeCells count="1">
    <mergeCell ref="B40:C40"/>
  </mergeCells>
  <hyperlinks>
    <hyperlink ref="A1" location="Sommaire!A1" display="Sommaire!A1" xr:uid="{845502CF-09E9-4027-9A9B-A70B9E8D3D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F6FB-E287-4665-A54C-70589557A718}">
  <dimension ref="A1:D160"/>
  <sheetViews>
    <sheetView topLeftCell="A4" zoomScale="63" zoomScaleNormal="63" workbookViewId="0">
      <selection activeCell="N170" activeCellId="1" sqref="B1 N170"/>
    </sheetView>
  </sheetViews>
  <sheetFormatPr baseColWidth="10" defaultColWidth="12.36328125" defaultRowHeight="13"/>
  <cols>
    <col min="1" max="1" width="19.26953125" style="56" customWidth="1"/>
    <col min="2" max="2" width="82" style="56" bestFit="1" customWidth="1"/>
    <col min="3" max="3" width="22.1796875" style="56" bestFit="1" customWidth="1"/>
    <col min="4" max="4" width="20.7265625" style="56" bestFit="1" customWidth="1"/>
    <col min="5" max="16384" width="12.36328125" style="56"/>
  </cols>
  <sheetData>
    <row r="1" spans="1:4" ht="14.5">
      <c r="A1" s="38" t="s">
        <v>0</v>
      </c>
    </row>
    <row r="2" spans="1:4" s="57" customFormat="1" ht="23.5">
      <c r="A2" s="40" t="s">
        <v>280</v>
      </c>
    </row>
    <row r="4" spans="1:4" ht="28.5" customHeight="1" thickBot="1">
      <c r="A4" s="42" t="s">
        <v>168</v>
      </c>
      <c r="B4" s="42" t="s">
        <v>169</v>
      </c>
      <c r="C4" s="42" t="s">
        <v>170</v>
      </c>
      <c r="D4" s="42" t="s">
        <v>171</v>
      </c>
    </row>
    <row r="5" spans="1:4">
      <c r="A5" s="58" t="s">
        <v>168</v>
      </c>
      <c r="B5" s="58" t="s">
        <v>7</v>
      </c>
      <c r="C5" s="58" t="s">
        <v>172</v>
      </c>
      <c r="D5" s="59">
        <v>127291968565.71243</v>
      </c>
    </row>
    <row r="6" spans="1:4">
      <c r="A6" s="60" t="s">
        <v>168</v>
      </c>
      <c r="B6" s="60" t="s">
        <v>5</v>
      </c>
      <c r="C6" s="60" t="s">
        <v>172</v>
      </c>
      <c r="D6" s="61">
        <v>46190344703</v>
      </c>
    </row>
    <row r="7" spans="1:4">
      <c r="A7" s="58" t="s">
        <v>168</v>
      </c>
      <c r="B7" s="58" t="s">
        <v>9</v>
      </c>
      <c r="C7" s="58" t="s">
        <v>172</v>
      </c>
      <c r="D7" s="59">
        <v>44594952341</v>
      </c>
    </row>
    <row r="8" spans="1:4">
      <c r="A8" s="60" t="s">
        <v>168</v>
      </c>
      <c r="B8" s="60" t="s">
        <v>15</v>
      </c>
      <c r="C8" s="60" t="s">
        <v>172</v>
      </c>
      <c r="D8" s="61">
        <v>40095367040</v>
      </c>
    </row>
    <row r="9" spans="1:4">
      <c r="A9" s="58" t="s">
        <v>168</v>
      </c>
      <c r="B9" s="58" t="s">
        <v>11</v>
      </c>
      <c r="C9" s="58" t="s">
        <v>172</v>
      </c>
      <c r="D9" s="59">
        <v>27747383486.599998</v>
      </c>
    </row>
    <row r="10" spans="1:4">
      <c r="A10" s="60" t="s">
        <v>168</v>
      </c>
      <c r="B10" s="60" t="s">
        <v>17</v>
      </c>
      <c r="C10" s="60" t="s">
        <v>172</v>
      </c>
      <c r="D10" s="61">
        <v>22235640569</v>
      </c>
    </row>
    <row r="11" spans="1:4">
      <c r="A11" s="58" t="s">
        <v>168</v>
      </c>
      <c r="B11" s="58" t="s">
        <v>57</v>
      </c>
      <c r="C11" s="58" t="s">
        <v>173</v>
      </c>
      <c r="D11" s="59">
        <v>17620698489.244751</v>
      </c>
    </row>
    <row r="12" spans="1:4">
      <c r="A12" s="60" t="s">
        <v>168</v>
      </c>
      <c r="B12" s="60" t="s">
        <v>19</v>
      </c>
      <c r="C12" s="60" t="s">
        <v>172</v>
      </c>
      <c r="D12" s="61">
        <v>15314751563.49</v>
      </c>
    </row>
    <row r="13" spans="1:4">
      <c r="A13" s="58" t="s">
        <v>168</v>
      </c>
      <c r="B13" s="58" t="s">
        <v>59</v>
      </c>
      <c r="C13" s="58" t="s">
        <v>173</v>
      </c>
      <c r="D13" s="59">
        <v>13342946463</v>
      </c>
    </row>
    <row r="14" spans="1:4">
      <c r="A14" s="60" t="s">
        <v>168</v>
      </c>
      <c r="B14" s="60" t="s">
        <v>21</v>
      </c>
      <c r="C14" s="60" t="s">
        <v>172</v>
      </c>
      <c r="D14" s="61">
        <v>5601643028</v>
      </c>
    </row>
    <row r="15" spans="1:4">
      <c r="A15" s="58" t="s">
        <v>168</v>
      </c>
      <c r="B15" s="58" t="s">
        <v>43</v>
      </c>
      <c r="C15" s="58" t="s">
        <v>172</v>
      </c>
      <c r="D15" s="59">
        <v>3651288216</v>
      </c>
    </row>
    <row r="16" spans="1:4">
      <c r="A16" s="60" t="s">
        <v>168</v>
      </c>
      <c r="B16" s="60" t="s">
        <v>41</v>
      </c>
      <c r="C16" s="60" t="s">
        <v>172</v>
      </c>
      <c r="D16" s="61">
        <v>3547634538</v>
      </c>
    </row>
    <row r="17" spans="1:4">
      <c r="A17" s="58" t="s">
        <v>168</v>
      </c>
      <c r="B17" s="58" t="s">
        <v>25</v>
      </c>
      <c r="C17" s="58" t="s">
        <v>172</v>
      </c>
      <c r="D17" s="59">
        <v>2041371241</v>
      </c>
    </row>
    <row r="18" spans="1:4">
      <c r="A18" s="60" t="s">
        <v>168</v>
      </c>
      <c r="B18" s="60" t="s">
        <v>31</v>
      </c>
      <c r="C18" s="60" t="s">
        <v>172</v>
      </c>
      <c r="D18" s="61">
        <v>870003900</v>
      </c>
    </row>
    <row r="19" spans="1:4">
      <c r="A19" s="58" t="s">
        <v>168</v>
      </c>
      <c r="B19" s="58" t="s">
        <v>55</v>
      </c>
      <c r="C19" s="58" t="s">
        <v>173</v>
      </c>
      <c r="D19" s="59">
        <v>789216624.96375</v>
      </c>
    </row>
    <row r="20" spans="1:4">
      <c r="A20" s="60" t="s">
        <v>174</v>
      </c>
      <c r="B20" s="60" t="s">
        <v>175</v>
      </c>
      <c r="C20" s="60" t="s">
        <v>172</v>
      </c>
      <c r="D20" s="61">
        <v>727068276</v>
      </c>
    </row>
    <row r="21" spans="1:4">
      <c r="A21" s="58" t="s">
        <v>168</v>
      </c>
      <c r="B21" s="58" t="s">
        <v>37</v>
      </c>
      <c r="C21" s="58" t="s">
        <v>172</v>
      </c>
      <c r="D21" s="59">
        <v>695887602</v>
      </c>
    </row>
    <row r="22" spans="1:4">
      <c r="A22" s="60" t="s">
        <v>168</v>
      </c>
      <c r="B22" s="60" t="s">
        <v>47</v>
      </c>
      <c r="C22" s="60" t="s">
        <v>173</v>
      </c>
      <c r="D22" s="61">
        <v>623108998</v>
      </c>
    </row>
    <row r="23" spans="1:4">
      <c r="A23" s="58" t="s">
        <v>168</v>
      </c>
      <c r="B23" s="58" t="s">
        <v>13</v>
      </c>
      <c r="C23" s="58" t="s">
        <v>172</v>
      </c>
      <c r="D23" s="59">
        <v>532865431</v>
      </c>
    </row>
    <row r="24" spans="1:4">
      <c r="A24" s="60" t="s">
        <v>168</v>
      </c>
      <c r="B24" s="60" t="s">
        <v>33</v>
      </c>
      <c r="C24" s="60" t="s">
        <v>172</v>
      </c>
      <c r="D24" s="61">
        <v>521778974.5</v>
      </c>
    </row>
    <row r="25" spans="1:4">
      <c r="A25" s="58" t="s">
        <v>168</v>
      </c>
      <c r="B25" s="58" t="s">
        <v>27</v>
      </c>
      <c r="C25" s="58" t="s">
        <v>172</v>
      </c>
      <c r="D25" s="59">
        <v>515416870</v>
      </c>
    </row>
    <row r="26" spans="1:4">
      <c r="A26" s="60" t="s">
        <v>174</v>
      </c>
      <c r="B26" s="60" t="s">
        <v>176</v>
      </c>
      <c r="C26" s="60" t="s">
        <v>172</v>
      </c>
      <c r="D26" s="61">
        <v>492645956</v>
      </c>
    </row>
    <row r="27" spans="1:4">
      <c r="A27" s="58" t="s">
        <v>168</v>
      </c>
      <c r="B27" s="58" t="s">
        <v>35</v>
      </c>
      <c r="C27" s="58" t="s">
        <v>172</v>
      </c>
      <c r="D27" s="59">
        <v>489943514</v>
      </c>
    </row>
    <row r="28" spans="1:4">
      <c r="A28" s="60" t="s">
        <v>168</v>
      </c>
      <c r="B28" s="60" t="s">
        <v>29</v>
      </c>
      <c r="C28" s="60" t="s">
        <v>172</v>
      </c>
      <c r="D28" s="61">
        <v>464988257</v>
      </c>
    </row>
    <row r="29" spans="1:4">
      <c r="A29" s="58" t="s">
        <v>168</v>
      </c>
      <c r="B29" s="58" t="s">
        <v>53</v>
      </c>
      <c r="C29" s="58" t="s">
        <v>173</v>
      </c>
      <c r="D29" s="59">
        <v>444380378</v>
      </c>
    </row>
    <row r="30" spans="1:4">
      <c r="A30" s="60" t="s">
        <v>174</v>
      </c>
      <c r="B30" s="60" t="s">
        <v>177</v>
      </c>
      <c r="C30" s="60" t="s">
        <v>172</v>
      </c>
      <c r="D30" s="61">
        <v>380759335</v>
      </c>
    </row>
    <row r="31" spans="1:4">
      <c r="A31" s="58" t="s">
        <v>174</v>
      </c>
      <c r="B31" s="58" t="s">
        <v>212</v>
      </c>
      <c r="C31" s="58" t="s">
        <v>172</v>
      </c>
      <c r="D31" s="59">
        <v>352441020</v>
      </c>
    </row>
    <row r="32" spans="1:4">
      <c r="A32" s="60" t="s">
        <v>168</v>
      </c>
      <c r="B32" s="60" t="s">
        <v>45</v>
      </c>
      <c r="C32" s="60" t="s">
        <v>172</v>
      </c>
      <c r="D32" s="61">
        <v>350405639</v>
      </c>
    </row>
    <row r="33" spans="1:4">
      <c r="A33" s="58" t="s">
        <v>174</v>
      </c>
      <c r="B33" s="58" t="s">
        <v>181</v>
      </c>
      <c r="C33" s="58" t="s">
        <v>172</v>
      </c>
      <c r="D33" s="59">
        <v>222168552</v>
      </c>
    </row>
    <row r="34" spans="1:4">
      <c r="A34" s="60" t="s">
        <v>168</v>
      </c>
      <c r="B34" s="60" t="s">
        <v>51</v>
      </c>
      <c r="C34" s="60" t="s">
        <v>173</v>
      </c>
      <c r="D34" s="61">
        <v>219573054</v>
      </c>
    </row>
    <row r="35" spans="1:4">
      <c r="A35" s="58" t="s">
        <v>174</v>
      </c>
      <c r="B35" s="58" t="s">
        <v>178</v>
      </c>
      <c r="C35" s="58" t="s">
        <v>172</v>
      </c>
      <c r="D35" s="59">
        <v>166869667</v>
      </c>
    </row>
    <row r="36" spans="1:4">
      <c r="A36" s="60" t="s">
        <v>174</v>
      </c>
      <c r="B36" s="60" t="s">
        <v>190</v>
      </c>
      <c r="C36" s="60" t="s">
        <v>172</v>
      </c>
      <c r="D36" s="61">
        <v>143994149</v>
      </c>
    </row>
    <row r="37" spans="1:4">
      <c r="A37" s="58" t="s">
        <v>168</v>
      </c>
      <c r="B37" s="58" t="s">
        <v>49</v>
      </c>
      <c r="C37" s="58" t="s">
        <v>173</v>
      </c>
      <c r="D37" s="59">
        <v>118220703</v>
      </c>
    </row>
    <row r="38" spans="1:4">
      <c r="A38" s="60" t="s">
        <v>174</v>
      </c>
      <c r="B38" s="60" t="s">
        <v>179</v>
      </c>
      <c r="C38" s="60" t="s">
        <v>172</v>
      </c>
      <c r="D38" s="61">
        <v>114860427</v>
      </c>
    </row>
    <row r="39" spans="1:4">
      <c r="A39" s="58" t="s">
        <v>174</v>
      </c>
      <c r="B39" s="58" t="s">
        <v>180</v>
      </c>
      <c r="C39" s="58" t="s">
        <v>172</v>
      </c>
      <c r="D39" s="59">
        <v>105671867</v>
      </c>
    </row>
    <row r="40" spans="1:4">
      <c r="A40" s="60" t="s">
        <v>174</v>
      </c>
      <c r="B40" s="60" t="s">
        <v>182</v>
      </c>
      <c r="C40" s="60" t="s">
        <v>172</v>
      </c>
      <c r="D40" s="61">
        <v>80000000</v>
      </c>
    </row>
    <row r="41" spans="1:4">
      <c r="A41" s="58" t="s">
        <v>174</v>
      </c>
      <c r="B41" s="58" t="s">
        <v>281</v>
      </c>
      <c r="C41" s="58" t="s">
        <v>172</v>
      </c>
      <c r="D41" s="59">
        <v>73765867</v>
      </c>
    </row>
    <row r="42" spans="1:4">
      <c r="A42" s="60" t="s">
        <v>174</v>
      </c>
      <c r="B42" s="60" t="s">
        <v>188</v>
      </c>
      <c r="C42" s="60" t="s">
        <v>172</v>
      </c>
      <c r="D42" s="61">
        <v>71253019</v>
      </c>
    </row>
    <row r="43" spans="1:4">
      <c r="A43" s="58" t="s">
        <v>174</v>
      </c>
      <c r="B43" s="58" t="s">
        <v>183</v>
      </c>
      <c r="C43" s="58" t="s">
        <v>172</v>
      </c>
      <c r="D43" s="59">
        <v>65337319</v>
      </c>
    </row>
    <row r="44" spans="1:4">
      <c r="A44" s="60" t="s">
        <v>174</v>
      </c>
      <c r="B44" s="60" t="s">
        <v>184</v>
      </c>
      <c r="C44" s="60" t="s">
        <v>172</v>
      </c>
      <c r="D44" s="61">
        <v>64520390</v>
      </c>
    </row>
    <row r="45" spans="1:4">
      <c r="A45" s="58" t="s">
        <v>174</v>
      </c>
      <c r="B45" s="58" t="s">
        <v>185</v>
      </c>
      <c r="C45" s="58" t="s">
        <v>172</v>
      </c>
      <c r="D45" s="59">
        <v>55621826</v>
      </c>
    </row>
    <row r="46" spans="1:4">
      <c r="A46" s="60" t="s">
        <v>174</v>
      </c>
      <c r="B46" s="60" t="s">
        <v>186</v>
      </c>
      <c r="C46" s="60" t="s">
        <v>172</v>
      </c>
      <c r="D46" s="61">
        <v>54486568</v>
      </c>
    </row>
    <row r="47" spans="1:4">
      <c r="A47" s="58" t="s">
        <v>174</v>
      </c>
      <c r="B47" s="58" t="s">
        <v>187</v>
      </c>
      <c r="C47" s="58" t="s">
        <v>172</v>
      </c>
      <c r="D47" s="59">
        <v>43089347</v>
      </c>
    </row>
    <row r="48" spans="1:4">
      <c r="A48" s="60" t="s">
        <v>174</v>
      </c>
      <c r="B48" s="60" t="s">
        <v>282</v>
      </c>
      <c r="C48" s="60" t="s">
        <v>172</v>
      </c>
      <c r="D48" s="61">
        <v>42508467</v>
      </c>
    </row>
    <row r="49" spans="1:4">
      <c r="A49" s="58" t="s">
        <v>174</v>
      </c>
      <c r="B49" s="58" t="s">
        <v>189</v>
      </c>
      <c r="C49" s="58" t="s">
        <v>172</v>
      </c>
      <c r="D49" s="59">
        <v>38298086</v>
      </c>
    </row>
    <row r="50" spans="1:4">
      <c r="A50" s="60" t="s">
        <v>174</v>
      </c>
      <c r="B50" s="60" t="s">
        <v>283</v>
      </c>
      <c r="C50" s="60" t="s">
        <v>172</v>
      </c>
      <c r="D50" s="61">
        <v>35855834</v>
      </c>
    </row>
    <row r="51" spans="1:4">
      <c r="A51" s="58" t="s">
        <v>174</v>
      </c>
      <c r="B51" s="58" t="s">
        <v>284</v>
      </c>
      <c r="C51" s="58" t="s">
        <v>172</v>
      </c>
      <c r="D51" s="59">
        <v>34932579</v>
      </c>
    </row>
    <row r="52" spans="1:4">
      <c r="A52" s="60" t="s">
        <v>174</v>
      </c>
      <c r="B52" s="60" t="s">
        <v>285</v>
      </c>
      <c r="C52" s="60" t="s">
        <v>172</v>
      </c>
      <c r="D52" s="61">
        <v>31226257</v>
      </c>
    </row>
    <row r="53" spans="1:4">
      <c r="A53" s="58" t="s">
        <v>174</v>
      </c>
      <c r="B53" s="58" t="s">
        <v>191</v>
      </c>
      <c r="C53" s="58" t="s">
        <v>172</v>
      </c>
      <c r="D53" s="59">
        <v>30350000</v>
      </c>
    </row>
    <row r="54" spans="1:4">
      <c r="A54" s="60" t="s">
        <v>174</v>
      </c>
      <c r="B54" s="60" t="s">
        <v>286</v>
      </c>
      <c r="C54" s="60" t="s">
        <v>172</v>
      </c>
      <c r="D54" s="61">
        <v>30233182</v>
      </c>
    </row>
    <row r="55" spans="1:4">
      <c r="A55" s="58" t="s">
        <v>168</v>
      </c>
      <c r="B55" s="58" t="s">
        <v>3</v>
      </c>
      <c r="C55" s="58" t="s">
        <v>172</v>
      </c>
      <c r="D55" s="59">
        <v>29437106</v>
      </c>
    </row>
    <row r="56" spans="1:4">
      <c r="A56" s="60" t="s">
        <v>174</v>
      </c>
      <c r="B56" s="60" t="s">
        <v>192</v>
      </c>
      <c r="C56" s="60" t="s">
        <v>172</v>
      </c>
      <c r="D56" s="61">
        <v>28491469</v>
      </c>
    </row>
    <row r="57" spans="1:4">
      <c r="A57" s="58" t="s">
        <v>174</v>
      </c>
      <c r="B57" s="58" t="s">
        <v>193</v>
      </c>
      <c r="C57" s="58" t="s">
        <v>172</v>
      </c>
      <c r="D57" s="59">
        <v>27500000</v>
      </c>
    </row>
    <row r="58" spans="1:4">
      <c r="A58" s="60" t="s">
        <v>174</v>
      </c>
      <c r="B58" s="60" t="s">
        <v>287</v>
      </c>
      <c r="C58" s="60" t="s">
        <v>172</v>
      </c>
      <c r="D58" s="61">
        <v>24731677</v>
      </c>
    </row>
    <row r="59" spans="1:4">
      <c r="A59" s="58" t="s">
        <v>174</v>
      </c>
      <c r="B59" s="58" t="s">
        <v>194</v>
      </c>
      <c r="C59" s="58" t="s">
        <v>172</v>
      </c>
      <c r="D59" s="59">
        <v>21235000</v>
      </c>
    </row>
    <row r="60" spans="1:4">
      <c r="A60" s="60" t="s">
        <v>174</v>
      </c>
      <c r="B60" s="60" t="s">
        <v>195</v>
      </c>
      <c r="C60" s="60" t="s">
        <v>172</v>
      </c>
      <c r="D60" s="61">
        <v>20032614</v>
      </c>
    </row>
    <row r="61" spans="1:4">
      <c r="A61" s="58" t="s">
        <v>174</v>
      </c>
      <c r="B61" s="58" t="s">
        <v>196</v>
      </c>
      <c r="C61" s="58" t="s">
        <v>172</v>
      </c>
      <c r="D61" s="59">
        <v>20003500</v>
      </c>
    </row>
    <row r="62" spans="1:4">
      <c r="A62" s="60" t="s">
        <v>174</v>
      </c>
      <c r="B62" s="60" t="s">
        <v>197</v>
      </c>
      <c r="C62" s="60" t="s">
        <v>172</v>
      </c>
      <c r="D62" s="61">
        <v>19500000</v>
      </c>
    </row>
    <row r="63" spans="1:4">
      <c r="A63" s="58" t="s">
        <v>174</v>
      </c>
      <c r="B63" s="58" t="s">
        <v>198</v>
      </c>
      <c r="C63" s="58" t="s">
        <v>172</v>
      </c>
      <c r="D63" s="59">
        <v>18000000</v>
      </c>
    </row>
    <row r="64" spans="1:4">
      <c r="A64" s="60" t="s">
        <v>174</v>
      </c>
      <c r="B64" s="60" t="s">
        <v>199</v>
      </c>
      <c r="C64" s="60" t="s">
        <v>172</v>
      </c>
      <c r="D64" s="61">
        <v>17324500</v>
      </c>
    </row>
    <row r="65" spans="1:4">
      <c r="A65" s="58" t="s">
        <v>174</v>
      </c>
      <c r="B65" s="58" t="s">
        <v>200</v>
      </c>
      <c r="C65" s="58" t="s">
        <v>172</v>
      </c>
      <c r="D65" s="59">
        <v>16123997</v>
      </c>
    </row>
    <row r="66" spans="1:4">
      <c r="A66" s="60" t="s">
        <v>174</v>
      </c>
      <c r="B66" s="60" t="s">
        <v>201</v>
      </c>
      <c r="C66" s="60" t="s">
        <v>172</v>
      </c>
      <c r="D66" s="61">
        <v>15075500</v>
      </c>
    </row>
    <row r="67" spans="1:4">
      <c r="A67" s="58" t="s">
        <v>174</v>
      </c>
      <c r="B67" s="58" t="s">
        <v>202</v>
      </c>
      <c r="C67" s="58" t="s">
        <v>172</v>
      </c>
      <c r="D67" s="59">
        <v>14767622</v>
      </c>
    </row>
    <row r="68" spans="1:4">
      <c r="A68" s="60" t="s">
        <v>174</v>
      </c>
      <c r="B68" s="60" t="s">
        <v>288</v>
      </c>
      <c r="C68" s="60" t="s">
        <v>172</v>
      </c>
      <c r="D68" s="61">
        <v>13712847</v>
      </c>
    </row>
    <row r="69" spans="1:4">
      <c r="A69" s="58" t="s">
        <v>174</v>
      </c>
      <c r="B69" s="58" t="s">
        <v>289</v>
      </c>
      <c r="C69" s="58" t="s">
        <v>172</v>
      </c>
      <c r="D69" s="59">
        <v>12786635</v>
      </c>
    </row>
    <row r="70" spans="1:4">
      <c r="A70" s="60" t="s">
        <v>174</v>
      </c>
      <c r="B70" s="60" t="s">
        <v>203</v>
      </c>
      <c r="C70" s="60" t="s">
        <v>172</v>
      </c>
      <c r="D70" s="61">
        <v>12324577</v>
      </c>
    </row>
    <row r="71" spans="1:4">
      <c r="A71" s="58" t="s">
        <v>174</v>
      </c>
      <c r="B71" s="58" t="s">
        <v>204</v>
      </c>
      <c r="C71" s="58" t="s">
        <v>172</v>
      </c>
      <c r="D71" s="59">
        <v>12010000</v>
      </c>
    </row>
    <row r="72" spans="1:4">
      <c r="A72" s="60" t="s">
        <v>174</v>
      </c>
      <c r="B72" s="60" t="s">
        <v>290</v>
      </c>
      <c r="C72" s="60" t="s">
        <v>172</v>
      </c>
      <c r="D72" s="61">
        <v>11933678</v>
      </c>
    </row>
    <row r="73" spans="1:4">
      <c r="A73" s="58" t="s">
        <v>174</v>
      </c>
      <c r="B73" s="58" t="s">
        <v>291</v>
      </c>
      <c r="C73" s="58" t="s">
        <v>172</v>
      </c>
      <c r="D73" s="59">
        <v>11164650</v>
      </c>
    </row>
    <row r="74" spans="1:4">
      <c r="A74" s="60" t="s">
        <v>174</v>
      </c>
      <c r="B74" s="60" t="s">
        <v>205</v>
      </c>
      <c r="C74" s="60" t="s">
        <v>172</v>
      </c>
      <c r="D74" s="61">
        <v>10713325</v>
      </c>
    </row>
    <row r="75" spans="1:4">
      <c r="A75" s="58" t="s">
        <v>174</v>
      </c>
      <c r="B75" s="58" t="s">
        <v>206</v>
      </c>
      <c r="C75" s="58" t="s">
        <v>172</v>
      </c>
      <c r="D75" s="59">
        <v>9995175</v>
      </c>
    </row>
    <row r="76" spans="1:4">
      <c r="A76" s="60" t="s">
        <v>174</v>
      </c>
      <c r="B76" s="60" t="s">
        <v>213</v>
      </c>
      <c r="C76" s="60" t="s">
        <v>172</v>
      </c>
      <c r="D76" s="61">
        <v>9852163</v>
      </c>
    </row>
    <row r="77" spans="1:4">
      <c r="A77" s="58" t="s">
        <v>174</v>
      </c>
      <c r="B77" s="58" t="s">
        <v>292</v>
      </c>
      <c r="C77" s="58" t="s">
        <v>172</v>
      </c>
      <c r="D77" s="59">
        <v>9531266</v>
      </c>
    </row>
    <row r="78" spans="1:4">
      <c r="A78" s="60" t="s">
        <v>174</v>
      </c>
      <c r="B78" s="60" t="s">
        <v>207</v>
      </c>
      <c r="C78" s="60" t="s">
        <v>172</v>
      </c>
      <c r="D78" s="61">
        <v>9493200</v>
      </c>
    </row>
    <row r="79" spans="1:4">
      <c r="A79" s="58" t="s">
        <v>174</v>
      </c>
      <c r="B79" s="58" t="s">
        <v>208</v>
      </c>
      <c r="C79" s="58" t="s">
        <v>173</v>
      </c>
      <c r="D79" s="59">
        <v>9080859</v>
      </c>
    </row>
    <row r="80" spans="1:4">
      <c r="A80" s="60" t="s">
        <v>174</v>
      </c>
      <c r="B80" s="60" t="s">
        <v>293</v>
      </c>
      <c r="C80" s="60" t="s">
        <v>172</v>
      </c>
      <c r="D80" s="61">
        <v>9009350</v>
      </c>
    </row>
    <row r="81" spans="1:4">
      <c r="A81" s="58" t="s">
        <v>174</v>
      </c>
      <c r="B81" s="58" t="s">
        <v>209</v>
      </c>
      <c r="C81" s="58" t="s">
        <v>172</v>
      </c>
      <c r="D81" s="59">
        <v>9000000</v>
      </c>
    </row>
    <row r="82" spans="1:4">
      <c r="A82" s="60" t="s">
        <v>174</v>
      </c>
      <c r="B82" s="60" t="s">
        <v>210</v>
      </c>
      <c r="C82" s="60" t="s">
        <v>172</v>
      </c>
      <c r="D82" s="61">
        <v>9000000</v>
      </c>
    </row>
    <row r="83" spans="1:4">
      <c r="A83" s="58" t="s">
        <v>174</v>
      </c>
      <c r="B83" s="58" t="s">
        <v>211</v>
      </c>
      <c r="C83" s="58" t="s">
        <v>172</v>
      </c>
      <c r="D83" s="59">
        <v>8713960</v>
      </c>
    </row>
    <row r="84" spans="1:4">
      <c r="A84" s="60" t="s">
        <v>174</v>
      </c>
      <c r="B84" s="60" t="s">
        <v>214</v>
      </c>
      <c r="C84" s="60" t="s">
        <v>172</v>
      </c>
      <c r="D84" s="61">
        <v>8106000</v>
      </c>
    </row>
    <row r="85" spans="1:4">
      <c r="A85" s="58" t="s">
        <v>174</v>
      </c>
      <c r="B85" s="58" t="s">
        <v>227</v>
      </c>
      <c r="C85" s="58" t="s">
        <v>172</v>
      </c>
      <c r="D85" s="59">
        <v>7401496</v>
      </c>
    </row>
    <row r="86" spans="1:4">
      <c r="A86" s="60" t="s">
        <v>174</v>
      </c>
      <c r="B86" s="60" t="s">
        <v>216</v>
      </c>
      <c r="C86" s="60" t="s">
        <v>172</v>
      </c>
      <c r="D86" s="61">
        <v>7080784</v>
      </c>
    </row>
    <row r="87" spans="1:4">
      <c r="A87" s="58" t="s">
        <v>174</v>
      </c>
      <c r="B87" s="58" t="s">
        <v>294</v>
      </c>
      <c r="C87" s="58" t="s">
        <v>172</v>
      </c>
      <c r="D87" s="59">
        <v>7034727</v>
      </c>
    </row>
    <row r="88" spans="1:4">
      <c r="A88" s="60" t="s">
        <v>174</v>
      </c>
      <c r="B88" s="60" t="s">
        <v>215</v>
      </c>
      <c r="C88" s="60" t="s">
        <v>172</v>
      </c>
      <c r="D88" s="61">
        <v>7008000</v>
      </c>
    </row>
    <row r="89" spans="1:4">
      <c r="A89" s="58" t="s">
        <v>174</v>
      </c>
      <c r="B89" s="58" t="s">
        <v>295</v>
      </c>
      <c r="C89" s="58" t="s">
        <v>172</v>
      </c>
      <c r="D89" s="59">
        <v>6893669</v>
      </c>
    </row>
    <row r="90" spans="1:4">
      <c r="A90" s="60" t="s">
        <v>174</v>
      </c>
      <c r="B90" s="60" t="s">
        <v>296</v>
      </c>
      <c r="C90" s="60" t="s">
        <v>172</v>
      </c>
      <c r="D90" s="61">
        <v>6770539</v>
      </c>
    </row>
    <row r="91" spans="1:4">
      <c r="A91" s="58" t="s">
        <v>174</v>
      </c>
      <c r="B91" s="58" t="s">
        <v>217</v>
      </c>
      <c r="C91" s="58" t="s">
        <v>172</v>
      </c>
      <c r="D91" s="59">
        <v>6700000</v>
      </c>
    </row>
    <row r="92" spans="1:4">
      <c r="A92" s="60" t="s">
        <v>174</v>
      </c>
      <c r="B92" s="60" t="s">
        <v>218</v>
      </c>
      <c r="C92" s="60" t="s">
        <v>172</v>
      </c>
      <c r="D92" s="61">
        <v>6698066</v>
      </c>
    </row>
    <row r="93" spans="1:4">
      <c r="A93" s="58" t="s">
        <v>174</v>
      </c>
      <c r="B93" s="58" t="s">
        <v>219</v>
      </c>
      <c r="C93" s="58" t="s">
        <v>172</v>
      </c>
      <c r="D93" s="59">
        <v>6500000</v>
      </c>
    </row>
    <row r="94" spans="1:4">
      <c r="A94" s="60" t="s">
        <v>174</v>
      </c>
      <c r="B94" s="60" t="s">
        <v>220</v>
      </c>
      <c r="C94" s="60" t="s">
        <v>172</v>
      </c>
      <c r="D94" s="61">
        <v>6485000</v>
      </c>
    </row>
    <row r="95" spans="1:4">
      <c r="A95" s="58" t="s">
        <v>174</v>
      </c>
      <c r="B95" s="58" t="s">
        <v>221</v>
      </c>
      <c r="C95" s="58" t="s">
        <v>172</v>
      </c>
      <c r="D95" s="59">
        <v>6050500</v>
      </c>
    </row>
    <row r="96" spans="1:4">
      <c r="A96" s="60" t="s">
        <v>174</v>
      </c>
      <c r="B96" s="60" t="s">
        <v>222</v>
      </c>
      <c r="C96" s="60" t="s">
        <v>172</v>
      </c>
      <c r="D96" s="61">
        <v>5980000</v>
      </c>
    </row>
    <row r="97" spans="1:4">
      <c r="A97" s="58" t="s">
        <v>174</v>
      </c>
      <c r="B97" s="58" t="s">
        <v>297</v>
      </c>
      <c r="C97" s="58" t="s">
        <v>172</v>
      </c>
      <c r="D97" s="59">
        <v>5898428</v>
      </c>
    </row>
    <row r="98" spans="1:4">
      <c r="A98" s="60" t="s">
        <v>174</v>
      </c>
      <c r="B98" s="60" t="s">
        <v>238</v>
      </c>
      <c r="C98" s="60" t="s">
        <v>172</v>
      </c>
      <c r="D98" s="61">
        <v>5743464</v>
      </c>
    </row>
    <row r="99" spans="1:4">
      <c r="A99" s="58" t="s">
        <v>174</v>
      </c>
      <c r="B99" s="58" t="s">
        <v>298</v>
      </c>
      <c r="C99" s="58" t="s">
        <v>172</v>
      </c>
      <c r="D99" s="59">
        <v>5427313</v>
      </c>
    </row>
    <row r="100" spans="1:4">
      <c r="A100" s="60" t="s">
        <v>174</v>
      </c>
      <c r="B100" s="60" t="s">
        <v>231</v>
      </c>
      <c r="C100" s="60" t="s">
        <v>172</v>
      </c>
      <c r="D100" s="61">
        <v>5368286</v>
      </c>
    </row>
    <row r="101" spans="1:4">
      <c r="A101" s="58" t="s">
        <v>174</v>
      </c>
      <c r="B101" s="58" t="s">
        <v>223</v>
      </c>
      <c r="C101" s="58" t="s">
        <v>172</v>
      </c>
      <c r="D101" s="59">
        <v>5326380</v>
      </c>
    </row>
    <row r="102" spans="1:4">
      <c r="A102" s="60" t="s">
        <v>174</v>
      </c>
      <c r="B102" s="60" t="s">
        <v>299</v>
      </c>
      <c r="C102" s="60" t="s">
        <v>172</v>
      </c>
      <c r="D102" s="61">
        <v>5256894</v>
      </c>
    </row>
    <row r="103" spans="1:4">
      <c r="A103" s="58" t="s">
        <v>174</v>
      </c>
      <c r="B103" s="58" t="s">
        <v>224</v>
      </c>
      <c r="C103" s="58" t="s">
        <v>172</v>
      </c>
      <c r="D103" s="59">
        <v>5078720</v>
      </c>
    </row>
    <row r="104" spans="1:4">
      <c r="A104" s="60" t="s">
        <v>174</v>
      </c>
      <c r="B104" s="60" t="s">
        <v>300</v>
      </c>
      <c r="C104" s="60" t="s">
        <v>172</v>
      </c>
      <c r="D104" s="61">
        <v>5010447</v>
      </c>
    </row>
    <row r="105" spans="1:4">
      <c r="A105" s="58" t="s">
        <v>174</v>
      </c>
      <c r="B105" s="58" t="s">
        <v>225</v>
      </c>
      <c r="C105" s="58" t="s">
        <v>172</v>
      </c>
      <c r="D105" s="59">
        <v>4732000</v>
      </c>
    </row>
    <row r="106" spans="1:4">
      <c r="A106" s="60" t="s">
        <v>174</v>
      </c>
      <c r="B106" s="60" t="s">
        <v>226</v>
      </c>
      <c r="C106" s="60" t="s">
        <v>172</v>
      </c>
      <c r="D106" s="61">
        <v>4522600</v>
      </c>
    </row>
    <row r="107" spans="1:4">
      <c r="A107" s="58" t="s">
        <v>174</v>
      </c>
      <c r="B107" s="58" t="s">
        <v>301</v>
      </c>
      <c r="C107" s="58" t="s">
        <v>172</v>
      </c>
      <c r="D107" s="59">
        <v>3665882</v>
      </c>
    </row>
    <row r="108" spans="1:4">
      <c r="A108" s="60" t="s">
        <v>174</v>
      </c>
      <c r="B108" s="60" t="s">
        <v>228</v>
      </c>
      <c r="C108" s="60" t="s">
        <v>172</v>
      </c>
      <c r="D108" s="61">
        <v>3184942</v>
      </c>
    </row>
    <row r="109" spans="1:4">
      <c r="A109" s="58" t="s">
        <v>174</v>
      </c>
      <c r="B109" s="58" t="s">
        <v>229</v>
      </c>
      <c r="C109" s="58" t="s">
        <v>172</v>
      </c>
      <c r="D109" s="59">
        <v>3136888</v>
      </c>
    </row>
    <row r="110" spans="1:4">
      <c r="A110" s="60" t="s">
        <v>174</v>
      </c>
      <c r="B110" s="60" t="s">
        <v>230</v>
      </c>
      <c r="C110" s="60" t="s">
        <v>172</v>
      </c>
      <c r="D110" s="61">
        <v>3076870</v>
      </c>
    </row>
    <row r="111" spans="1:4">
      <c r="A111" s="58" t="s">
        <v>174</v>
      </c>
      <c r="B111" s="58" t="s">
        <v>233</v>
      </c>
      <c r="C111" s="58" t="s">
        <v>172</v>
      </c>
      <c r="D111" s="59">
        <v>3065502</v>
      </c>
    </row>
    <row r="112" spans="1:4">
      <c r="A112" s="60" t="s">
        <v>174</v>
      </c>
      <c r="B112" s="60" t="s">
        <v>232</v>
      </c>
      <c r="C112" s="60" t="s">
        <v>172</v>
      </c>
      <c r="D112" s="61">
        <v>3000000</v>
      </c>
    </row>
    <row r="113" spans="1:4">
      <c r="A113" s="58" t="s">
        <v>174</v>
      </c>
      <c r="B113" s="58" t="s">
        <v>302</v>
      </c>
      <c r="C113" s="58" t="s">
        <v>172</v>
      </c>
      <c r="D113" s="59">
        <v>2808561</v>
      </c>
    </row>
    <row r="114" spans="1:4">
      <c r="A114" s="60" t="s">
        <v>174</v>
      </c>
      <c r="B114" s="60" t="s">
        <v>244</v>
      </c>
      <c r="C114" s="60" t="s">
        <v>172</v>
      </c>
      <c r="D114" s="61">
        <v>2756974</v>
      </c>
    </row>
    <row r="115" spans="1:4">
      <c r="A115" s="58" t="s">
        <v>174</v>
      </c>
      <c r="B115" s="58" t="s">
        <v>234</v>
      </c>
      <c r="C115" s="58" t="s">
        <v>172</v>
      </c>
      <c r="D115" s="59">
        <v>2755407</v>
      </c>
    </row>
    <row r="116" spans="1:4">
      <c r="A116" s="60" t="s">
        <v>174</v>
      </c>
      <c r="B116" s="60" t="s">
        <v>235</v>
      </c>
      <c r="C116" s="60" t="s">
        <v>172</v>
      </c>
      <c r="D116" s="61">
        <v>2697417</v>
      </c>
    </row>
    <row r="117" spans="1:4">
      <c r="A117" s="58" t="s">
        <v>174</v>
      </c>
      <c r="B117" s="58" t="s">
        <v>236</v>
      </c>
      <c r="C117" s="58" t="s">
        <v>172</v>
      </c>
      <c r="D117" s="59">
        <v>2633500</v>
      </c>
    </row>
    <row r="118" spans="1:4">
      <c r="A118" s="60" t="s">
        <v>174</v>
      </c>
      <c r="B118" s="60" t="s">
        <v>237</v>
      </c>
      <c r="C118" s="60" t="s">
        <v>172</v>
      </c>
      <c r="D118" s="61">
        <v>2565000</v>
      </c>
    </row>
    <row r="119" spans="1:4">
      <c r="A119" s="58" t="s">
        <v>174</v>
      </c>
      <c r="B119" s="58" t="s">
        <v>239</v>
      </c>
      <c r="C119" s="58" t="s">
        <v>172</v>
      </c>
      <c r="D119" s="59">
        <v>2400000</v>
      </c>
    </row>
    <row r="120" spans="1:4">
      <c r="A120" s="60" t="s">
        <v>174</v>
      </c>
      <c r="B120" s="60" t="s">
        <v>303</v>
      </c>
      <c r="C120" s="60" t="s">
        <v>172</v>
      </c>
      <c r="D120" s="61">
        <v>2395684</v>
      </c>
    </row>
    <row r="121" spans="1:4">
      <c r="A121" s="58" t="s">
        <v>174</v>
      </c>
      <c r="B121" s="58" t="s">
        <v>241</v>
      </c>
      <c r="C121" s="58" t="s">
        <v>172</v>
      </c>
      <c r="D121" s="59">
        <v>2318248</v>
      </c>
    </row>
    <row r="122" spans="1:4">
      <c r="A122" s="60" t="s">
        <v>174</v>
      </c>
      <c r="B122" s="60" t="s">
        <v>240</v>
      </c>
      <c r="C122" s="60" t="s">
        <v>172</v>
      </c>
      <c r="D122" s="61">
        <v>2222502</v>
      </c>
    </row>
    <row r="123" spans="1:4">
      <c r="A123" s="58" t="s">
        <v>174</v>
      </c>
      <c r="B123" s="58" t="s">
        <v>242</v>
      </c>
      <c r="C123" s="58" t="s">
        <v>172</v>
      </c>
      <c r="D123" s="59">
        <v>2091500</v>
      </c>
    </row>
    <row r="124" spans="1:4">
      <c r="A124" s="60" t="s">
        <v>174</v>
      </c>
      <c r="B124" s="60" t="s">
        <v>304</v>
      </c>
      <c r="C124" s="60" t="s">
        <v>172</v>
      </c>
      <c r="D124" s="61">
        <v>1971853</v>
      </c>
    </row>
    <row r="125" spans="1:4">
      <c r="A125" s="58" t="s">
        <v>174</v>
      </c>
      <c r="B125" s="58" t="s">
        <v>243</v>
      </c>
      <c r="C125" s="58" t="s">
        <v>172</v>
      </c>
      <c r="D125" s="59">
        <v>1922000</v>
      </c>
    </row>
    <row r="126" spans="1:4">
      <c r="A126" s="60" t="s">
        <v>174</v>
      </c>
      <c r="B126" s="60" t="s">
        <v>305</v>
      </c>
      <c r="C126" s="60" t="s">
        <v>172</v>
      </c>
      <c r="D126" s="61">
        <v>1818031</v>
      </c>
    </row>
    <row r="127" spans="1:4">
      <c r="A127" s="58" t="s">
        <v>174</v>
      </c>
      <c r="B127" s="58" t="s">
        <v>245</v>
      </c>
      <c r="C127" s="58" t="s">
        <v>172</v>
      </c>
      <c r="D127" s="59">
        <v>1430000</v>
      </c>
    </row>
    <row r="128" spans="1:4">
      <c r="A128" s="60" t="s">
        <v>174</v>
      </c>
      <c r="B128" s="60" t="s">
        <v>246</v>
      </c>
      <c r="C128" s="60" t="s">
        <v>172</v>
      </c>
      <c r="D128" s="61">
        <v>1400000</v>
      </c>
    </row>
    <row r="129" spans="1:4">
      <c r="A129" s="58" t="s">
        <v>174</v>
      </c>
      <c r="B129" s="58" t="s">
        <v>247</v>
      </c>
      <c r="C129" s="58" t="s">
        <v>172</v>
      </c>
      <c r="D129" s="59">
        <v>1361160</v>
      </c>
    </row>
    <row r="130" spans="1:4">
      <c r="A130" s="60" t="s">
        <v>174</v>
      </c>
      <c r="B130" s="60" t="s">
        <v>306</v>
      </c>
      <c r="C130" s="60" t="s">
        <v>172</v>
      </c>
      <c r="D130" s="61">
        <v>1348518</v>
      </c>
    </row>
    <row r="131" spans="1:4">
      <c r="A131" s="58" t="s">
        <v>174</v>
      </c>
      <c r="B131" s="58" t="s">
        <v>248</v>
      </c>
      <c r="C131" s="58" t="s">
        <v>172</v>
      </c>
      <c r="D131" s="59">
        <v>1275690</v>
      </c>
    </row>
    <row r="132" spans="1:4">
      <c r="A132" s="60" t="s">
        <v>174</v>
      </c>
      <c r="B132" s="60" t="s">
        <v>249</v>
      </c>
      <c r="C132" s="60" t="s">
        <v>172</v>
      </c>
      <c r="D132" s="61">
        <v>1221600</v>
      </c>
    </row>
    <row r="133" spans="1:4">
      <c r="A133" s="58" t="s">
        <v>174</v>
      </c>
      <c r="B133" s="58" t="s">
        <v>250</v>
      </c>
      <c r="C133" s="58" t="s">
        <v>172</v>
      </c>
      <c r="D133" s="59">
        <v>1200000</v>
      </c>
    </row>
    <row r="134" spans="1:4">
      <c r="A134" s="60" t="s">
        <v>174</v>
      </c>
      <c r="B134" s="60" t="s">
        <v>251</v>
      </c>
      <c r="C134" s="60" t="s">
        <v>172</v>
      </c>
      <c r="D134" s="61">
        <v>1170506</v>
      </c>
    </row>
    <row r="135" spans="1:4">
      <c r="A135" s="58" t="s">
        <v>174</v>
      </c>
      <c r="B135" s="58" t="s">
        <v>252</v>
      </c>
      <c r="C135" s="58" t="s">
        <v>172</v>
      </c>
      <c r="D135" s="59">
        <v>1133424</v>
      </c>
    </row>
    <row r="136" spans="1:4">
      <c r="A136" s="60" t="s">
        <v>168</v>
      </c>
      <c r="B136" s="60" t="s">
        <v>23</v>
      </c>
      <c r="C136" s="60" t="s">
        <v>172</v>
      </c>
      <c r="D136" s="61">
        <v>1070319</v>
      </c>
    </row>
    <row r="137" spans="1:4">
      <c r="A137" s="58" t="s">
        <v>174</v>
      </c>
      <c r="B137" s="58" t="s">
        <v>253</v>
      </c>
      <c r="C137" s="58" t="s">
        <v>172</v>
      </c>
      <c r="D137" s="59">
        <v>1000000</v>
      </c>
    </row>
    <row r="138" spans="1:4">
      <c r="A138" s="60" t="s">
        <v>174</v>
      </c>
      <c r="B138" s="60" t="s">
        <v>254</v>
      </c>
      <c r="C138" s="60" t="s">
        <v>172</v>
      </c>
      <c r="D138" s="61">
        <v>1000000</v>
      </c>
    </row>
    <row r="139" spans="1:4">
      <c r="A139" s="58" t="s">
        <v>174</v>
      </c>
      <c r="B139" s="58" t="s">
        <v>255</v>
      </c>
      <c r="C139" s="58" t="s">
        <v>172</v>
      </c>
      <c r="D139" s="59">
        <v>995996</v>
      </c>
    </row>
    <row r="140" spans="1:4">
      <c r="A140" s="60" t="s">
        <v>174</v>
      </c>
      <c r="B140" s="60" t="s">
        <v>256</v>
      </c>
      <c r="C140" s="60" t="s">
        <v>172</v>
      </c>
      <c r="D140" s="61">
        <v>840000</v>
      </c>
    </row>
    <row r="141" spans="1:4">
      <c r="A141" s="58" t="s">
        <v>174</v>
      </c>
      <c r="B141" s="58" t="s">
        <v>307</v>
      </c>
      <c r="C141" s="58" t="s">
        <v>172</v>
      </c>
      <c r="D141" s="59">
        <v>771120</v>
      </c>
    </row>
    <row r="142" spans="1:4">
      <c r="A142" s="60" t="s">
        <v>174</v>
      </c>
      <c r="B142" s="60" t="s">
        <v>308</v>
      </c>
      <c r="C142" s="60" t="s">
        <v>172</v>
      </c>
      <c r="D142" s="61">
        <v>691685</v>
      </c>
    </row>
    <row r="143" spans="1:4">
      <c r="A143" s="58" t="s">
        <v>174</v>
      </c>
      <c r="B143" s="58" t="s">
        <v>309</v>
      </c>
      <c r="C143" s="58" t="s">
        <v>172</v>
      </c>
      <c r="D143" s="59">
        <v>677040</v>
      </c>
    </row>
    <row r="144" spans="1:4">
      <c r="A144" s="60" t="s">
        <v>174</v>
      </c>
      <c r="B144" s="60" t="s">
        <v>257</v>
      </c>
      <c r="C144" s="60" t="s">
        <v>172</v>
      </c>
      <c r="D144" s="61">
        <v>668620</v>
      </c>
    </row>
    <row r="145" spans="1:4">
      <c r="A145" s="58" t="s">
        <v>174</v>
      </c>
      <c r="B145" s="58" t="s">
        <v>258</v>
      </c>
      <c r="C145" s="58" t="s">
        <v>172</v>
      </c>
      <c r="D145" s="59">
        <v>650000</v>
      </c>
    </row>
    <row r="146" spans="1:4">
      <c r="A146" s="60" t="s">
        <v>174</v>
      </c>
      <c r="B146" s="60" t="s">
        <v>259</v>
      </c>
      <c r="C146" s="60" t="s">
        <v>172</v>
      </c>
      <c r="D146" s="61">
        <v>600000</v>
      </c>
    </row>
    <row r="147" spans="1:4">
      <c r="A147" s="58" t="s">
        <v>174</v>
      </c>
      <c r="B147" s="58" t="s">
        <v>260</v>
      </c>
      <c r="C147" s="58" t="s">
        <v>172</v>
      </c>
      <c r="D147" s="59">
        <v>572280</v>
      </c>
    </row>
    <row r="148" spans="1:4">
      <c r="A148" s="60" t="s">
        <v>174</v>
      </c>
      <c r="B148" s="60" t="s">
        <v>261</v>
      </c>
      <c r="C148" s="60" t="s">
        <v>172</v>
      </c>
      <c r="D148" s="61">
        <v>508865</v>
      </c>
    </row>
    <row r="149" spans="1:4">
      <c r="A149" s="58" t="s">
        <v>174</v>
      </c>
      <c r="B149" s="58" t="s">
        <v>310</v>
      </c>
      <c r="C149" s="58" t="s">
        <v>172</v>
      </c>
      <c r="D149" s="59">
        <v>505260</v>
      </c>
    </row>
    <row r="150" spans="1:4">
      <c r="A150" s="60" t="s">
        <v>174</v>
      </c>
      <c r="B150" s="60" t="s">
        <v>262</v>
      </c>
      <c r="C150" s="60" t="s">
        <v>172</v>
      </c>
      <c r="D150" s="61">
        <v>500000</v>
      </c>
    </row>
    <row r="151" spans="1:4">
      <c r="A151" s="58" t="s">
        <v>174</v>
      </c>
      <c r="B151" s="58" t="s">
        <v>263</v>
      </c>
      <c r="C151" s="58" t="s">
        <v>173</v>
      </c>
      <c r="D151" s="59">
        <v>402000</v>
      </c>
    </row>
    <row r="152" spans="1:4">
      <c r="A152" s="60" t="s">
        <v>174</v>
      </c>
      <c r="B152" s="60" t="s">
        <v>264</v>
      </c>
      <c r="C152" s="60" t="s">
        <v>172</v>
      </c>
      <c r="D152" s="61">
        <v>390000</v>
      </c>
    </row>
    <row r="153" spans="1:4">
      <c r="A153" s="58" t="s">
        <v>174</v>
      </c>
      <c r="B153" s="58" t="s">
        <v>265</v>
      </c>
      <c r="C153" s="58" t="s">
        <v>172</v>
      </c>
      <c r="D153" s="59">
        <v>389026</v>
      </c>
    </row>
    <row r="154" spans="1:4">
      <c r="A154" s="60" t="s">
        <v>174</v>
      </c>
      <c r="B154" s="60" t="s">
        <v>266</v>
      </c>
      <c r="C154" s="60" t="s">
        <v>172</v>
      </c>
      <c r="D154" s="61">
        <v>323000</v>
      </c>
    </row>
    <row r="155" spans="1:4">
      <c r="A155" s="58" t="s">
        <v>174</v>
      </c>
      <c r="B155" s="58" t="s">
        <v>311</v>
      </c>
      <c r="C155" s="58" t="s">
        <v>172</v>
      </c>
      <c r="D155" s="59">
        <v>241392</v>
      </c>
    </row>
    <row r="156" spans="1:4">
      <c r="A156" s="60" t="s">
        <v>174</v>
      </c>
      <c r="B156" s="60" t="s">
        <v>267</v>
      </c>
      <c r="C156" s="60" t="s">
        <v>172</v>
      </c>
      <c r="D156" s="61">
        <v>200000</v>
      </c>
    </row>
    <row r="157" spans="1:4">
      <c r="A157" s="58" t="s">
        <v>174</v>
      </c>
      <c r="B157" s="58" t="s">
        <v>312</v>
      </c>
      <c r="C157" s="58" t="s">
        <v>172</v>
      </c>
      <c r="D157" s="59">
        <v>171749</v>
      </c>
    </row>
    <row r="158" spans="1:4" ht="13.5" thickBot="1">
      <c r="A158" s="60" t="s">
        <v>174</v>
      </c>
      <c r="B158" s="60" t="s">
        <v>268</v>
      </c>
      <c r="C158" s="60" t="s">
        <v>172</v>
      </c>
      <c r="D158" s="61">
        <v>169180</v>
      </c>
    </row>
    <row r="159" spans="1:4" ht="14" thickTop="1" thickBot="1">
      <c r="B159" s="54" t="s">
        <v>279</v>
      </c>
      <c r="C159" s="54"/>
      <c r="D159" s="55">
        <f>SUM(D5:D158)</f>
        <v>380028721353.51093</v>
      </c>
    </row>
    <row r="160" spans="1:4" ht="13.5" thickTop="1"/>
  </sheetData>
  <mergeCells count="1">
    <mergeCell ref="B159:C159"/>
  </mergeCells>
  <hyperlinks>
    <hyperlink ref="A1" location="Sommaire!A1" display="Sommaire!A1" xr:uid="{947FF5BA-FB6D-4BC7-83DA-42462770180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AEA1-E55B-4D89-B0F6-B90B10DF469C}">
  <dimension ref="A1:C57"/>
  <sheetViews>
    <sheetView zoomScale="63" zoomScaleNormal="63" workbookViewId="0">
      <selection activeCell="N170" activeCellId="1" sqref="B1 N170"/>
    </sheetView>
  </sheetViews>
  <sheetFormatPr baseColWidth="10" defaultColWidth="12" defaultRowHeight="13"/>
  <cols>
    <col min="1" max="1" width="63.26953125" style="56" bestFit="1" customWidth="1"/>
    <col min="2" max="2" width="25.81640625" style="56" bestFit="1" customWidth="1"/>
    <col min="3" max="3" width="20.7265625" style="56" bestFit="1" customWidth="1"/>
    <col min="4" max="16384" width="12" style="56"/>
  </cols>
  <sheetData>
    <row r="1" spans="1:3" ht="14.5">
      <c r="A1" s="38" t="s">
        <v>0</v>
      </c>
    </row>
    <row r="2" spans="1:3" s="63" customFormat="1" ht="21">
      <c r="A2" s="62" t="s">
        <v>313</v>
      </c>
    </row>
    <row r="4" spans="1:3" ht="24" customHeight="1" thickBot="1">
      <c r="A4" s="42" t="s">
        <v>270</v>
      </c>
      <c r="B4" s="42" t="s">
        <v>271</v>
      </c>
      <c r="C4" s="42" t="s">
        <v>171</v>
      </c>
    </row>
    <row r="5" spans="1:3">
      <c r="A5" s="58" t="s">
        <v>107</v>
      </c>
      <c r="B5" s="58" t="s">
        <v>103</v>
      </c>
      <c r="C5" s="59">
        <v>62727665742</v>
      </c>
    </row>
    <row r="6" spans="1:3">
      <c r="A6" s="60" t="s">
        <v>104</v>
      </c>
      <c r="B6" s="60" t="s">
        <v>103</v>
      </c>
      <c r="C6" s="61">
        <v>50789970820</v>
      </c>
    </row>
    <row r="7" spans="1:3">
      <c r="A7" s="58" t="s">
        <v>77</v>
      </c>
      <c r="B7" s="58" t="s">
        <v>273</v>
      </c>
      <c r="C7" s="59">
        <v>47199495932</v>
      </c>
    </row>
    <row r="8" spans="1:3">
      <c r="A8" s="60" t="s">
        <v>105</v>
      </c>
      <c r="B8" s="60" t="s">
        <v>103</v>
      </c>
      <c r="C8" s="61">
        <v>45859664010</v>
      </c>
    </row>
    <row r="9" spans="1:3">
      <c r="A9" s="58" t="s">
        <v>99</v>
      </c>
      <c r="B9" s="58" t="s">
        <v>92</v>
      </c>
      <c r="C9" s="59">
        <v>29852407029</v>
      </c>
    </row>
    <row r="10" spans="1:3">
      <c r="A10" s="60" t="s">
        <v>124</v>
      </c>
      <c r="B10" s="60" t="s">
        <v>120</v>
      </c>
      <c r="C10" s="61">
        <v>21364927199</v>
      </c>
    </row>
    <row r="11" spans="1:3">
      <c r="A11" s="58" t="s">
        <v>117</v>
      </c>
      <c r="B11" s="58" t="s">
        <v>103</v>
      </c>
      <c r="C11" s="59">
        <v>20883206994</v>
      </c>
    </row>
    <row r="12" spans="1:3">
      <c r="A12" s="60" t="s">
        <v>106</v>
      </c>
      <c r="B12" s="60" t="s">
        <v>103</v>
      </c>
      <c r="C12" s="61">
        <v>16831732581</v>
      </c>
    </row>
    <row r="13" spans="1:3">
      <c r="A13" s="58" t="s">
        <v>119</v>
      </c>
      <c r="B13" s="58" t="s">
        <v>103</v>
      </c>
      <c r="C13" s="59">
        <v>13922137996</v>
      </c>
    </row>
    <row r="14" spans="1:3">
      <c r="A14" s="60" t="s">
        <v>109</v>
      </c>
      <c r="B14" s="60" t="s">
        <v>103</v>
      </c>
      <c r="C14" s="61">
        <v>12745512007</v>
      </c>
    </row>
    <row r="15" spans="1:3">
      <c r="A15" s="58" t="s">
        <v>121</v>
      </c>
      <c r="B15" s="58" t="s">
        <v>120</v>
      </c>
      <c r="C15" s="59">
        <v>12649190918</v>
      </c>
    </row>
    <row r="16" spans="1:3">
      <c r="A16" s="60" t="s">
        <v>314</v>
      </c>
      <c r="B16" s="60" t="s">
        <v>314</v>
      </c>
      <c r="C16" s="61">
        <v>9543372478.244751</v>
      </c>
    </row>
    <row r="17" spans="1:3">
      <c r="A17" s="58" t="s">
        <v>140</v>
      </c>
      <c r="B17" s="58" t="s">
        <v>139</v>
      </c>
      <c r="C17" s="59">
        <v>5791267055</v>
      </c>
    </row>
    <row r="18" spans="1:3">
      <c r="A18" s="60" t="s">
        <v>315</v>
      </c>
      <c r="B18" s="60" t="s">
        <v>315</v>
      </c>
      <c r="C18" s="61">
        <v>4368304153.96</v>
      </c>
    </row>
    <row r="19" spans="1:3">
      <c r="A19" s="58" t="s">
        <v>316</v>
      </c>
      <c r="B19" s="58" t="s">
        <v>316</v>
      </c>
      <c r="C19" s="59">
        <v>3034940275.132431</v>
      </c>
    </row>
    <row r="20" spans="1:3">
      <c r="A20" s="60" t="s">
        <v>129</v>
      </c>
      <c r="B20" s="60" t="s">
        <v>120</v>
      </c>
      <c r="C20" s="61">
        <v>2554408692</v>
      </c>
    </row>
    <row r="21" spans="1:3">
      <c r="A21" s="58" t="s">
        <v>123</v>
      </c>
      <c r="B21" s="58" t="s">
        <v>120</v>
      </c>
      <c r="C21" s="59">
        <v>2205358375</v>
      </c>
    </row>
    <row r="22" spans="1:3">
      <c r="A22" s="60" t="s">
        <v>138</v>
      </c>
      <c r="B22" s="60" t="s">
        <v>137</v>
      </c>
      <c r="C22" s="61">
        <v>1823375233</v>
      </c>
    </row>
    <row r="23" spans="1:3">
      <c r="A23" s="58" t="s">
        <v>102</v>
      </c>
      <c r="B23" s="58" t="s">
        <v>92</v>
      </c>
      <c r="C23" s="59">
        <v>1776772256</v>
      </c>
    </row>
    <row r="24" spans="1:3">
      <c r="A24" s="60" t="s">
        <v>122</v>
      </c>
      <c r="B24" s="60" t="s">
        <v>120</v>
      </c>
      <c r="C24" s="61">
        <v>1764352497</v>
      </c>
    </row>
    <row r="25" spans="1:3">
      <c r="A25" s="58" t="s">
        <v>85</v>
      </c>
      <c r="B25" s="58" t="s">
        <v>82</v>
      </c>
      <c r="C25" s="59">
        <v>1711293863</v>
      </c>
    </row>
    <row r="26" spans="1:3">
      <c r="A26" s="60" t="s">
        <v>78</v>
      </c>
      <c r="B26" s="60" t="s">
        <v>273</v>
      </c>
      <c r="C26" s="61">
        <v>1342209390.21</v>
      </c>
    </row>
    <row r="27" spans="1:3">
      <c r="A27" s="58" t="s">
        <v>131</v>
      </c>
      <c r="B27" s="58" t="s">
        <v>130</v>
      </c>
      <c r="C27" s="59">
        <v>1235902225</v>
      </c>
    </row>
    <row r="28" spans="1:3">
      <c r="A28" s="60" t="s">
        <v>125</v>
      </c>
      <c r="B28" s="60" t="s">
        <v>120</v>
      </c>
      <c r="C28" s="61">
        <v>1102574613</v>
      </c>
    </row>
    <row r="29" spans="1:3">
      <c r="A29" s="58" t="s">
        <v>116</v>
      </c>
      <c r="B29" s="58" t="s">
        <v>103</v>
      </c>
      <c r="C29" s="59">
        <v>924546967</v>
      </c>
    </row>
    <row r="30" spans="1:3">
      <c r="A30" s="60" t="s">
        <v>136</v>
      </c>
      <c r="B30" s="60" t="s">
        <v>134</v>
      </c>
      <c r="C30" s="61">
        <v>853803670</v>
      </c>
    </row>
    <row r="31" spans="1:3">
      <c r="A31" s="58" t="s">
        <v>81</v>
      </c>
      <c r="B31" s="58" t="s">
        <v>273</v>
      </c>
      <c r="C31" s="59">
        <v>723021990</v>
      </c>
    </row>
    <row r="32" spans="1:3">
      <c r="A32" s="60" t="s">
        <v>111</v>
      </c>
      <c r="B32" s="60" t="s">
        <v>103</v>
      </c>
      <c r="C32" s="61">
        <v>705231145</v>
      </c>
    </row>
    <row r="33" spans="1:3">
      <c r="A33" s="58" t="s">
        <v>94</v>
      </c>
      <c r="B33" s="58" t="s">
        <v>92</v>
      </c>
      <c r="C33" s="59">
        <v>700210162</v>
      </c>
    </row>
    <row r="34" spans="1:3">
      <c r="A34" s="60" t="s">
        <v>112</v>
      </c>
      <c r="B34" s="60" t="s">
        <v>103</v>
      </c>
      <c r="C34" s="61">
        <v>678785759</v>
      </c>
    </row>
    <row r="35" spans="1:3">
      <c r="A35" s="58" t="s">
        <v>110</v>
      </c>
      <c r="B35" s="58" t="s">
        <v>103</v>
      </c>
      <c r="C35" s="59">
        <v>589975356</v>
      </c>
    </row>
    <row r="36" spans="1:3">
      <c r="A36" s="60" t="s">
        <v>128</v>
      </c>
      <c r="B36" s="60" t="s">
        <v>120</v>
      </c>
      <c r="C36" s="61">
        <v>585874719</v>
      </c>
    </row>
    <row r="37" spans="1:3">
      <c r="A37" s="58" t="s">
        <v>133</v>
      </c>
      <c r="B37" s="58" t="s">
        <v>130</v>
      </c>
      <c r="C37" s="59">
        <v>245586564</v>
      </c>
    </row>
    <row r="38" spans="1:3">
      <c r="A38" s="60" t="s">
        <v>126</v>
      </c>
      <c r="B38" s="60" t="s">
        <v>120</v>
      </c>
      <c r="C38" s="61">
        <v>238182139</v>
      </c>
    </row>
    <row r="39" spans="1:3">
      <c r="A39" s="58" t="s">
        <v>88</v>
      </c>
      <c r="B39" s="58" t="s">
        <v>82</v>
      </c>
      <c r="C39" s="59">
        <v>137611258.96375</v>
      </c>
    </row>
    <row r="40" spans="1:3">
      <c r="A40" s="60" t="s">
        <v>146</v>
      </c>
      <c r="B40" s="60" t="s">
        <v>82</v>
      </c>
      <c r="C40" s="61">
        <v>107231360</v>
      </c>
    </row>
    <row r="41" spans="1:3">
      <c r="A41" s="58" t="s">
        <v>135</v>
      </c>
      <c r="B41" s="58" t="s">
        <v>134</v>
      </c>
      <c r="C41" s="59">
        <v>96346175.00000003</v>
      </c>
    </row>
    <row r="42" spans="1:3">
      <c r="A42" s="60" t="s">
        <v>146</v>
      </c>
      <c r="B42" s="60" t="s">
        <v>120</v>
      </c>
      <c r="C42" s="61">
        <v>65730409</v>
      </c>
    </row>
    <row r="43" spans="1:3">
      <c r="A43" s="58" t="s">
        <v>79</v>
      </c>
      <c r="B43" s="58" t="s">
        <v>273</v>
      </c>
      <c r="C43" s="59">
        <v>60941000</v>
      </c>
    </row>
    <row r="44" spans="1:3">
      <c r="A44" s="60" t="s">
        <v>127</v>
      </c>
      <c r="B44" s="60" t="s">
        <v>120</v>
      </c>
      <c r="C44" s="61">
        <v>57624046</v>
      </c>
    </row>
    <row r="45" spans="1:3">
      <c r="A45" s="58" t="s">
        <v>146</v>
      </c>
      <c r="B45" s="58" t="s">
        <v>92</v>
      </c>
      <c r="C45" s="59">
        <v>50271367</v>
      </c>
    </row>
    <row r="46" spans="1:3">
      <c r="A46" s="60" t="s">
        <v>274</v>
      </c>
      <c r="B46" s="60" t="s">
        <v>92</v>
      </c>
      <c r="C46" s="61">
        <v>41166550</v>
      </c>
    </row>
    <row r="47" spans="1:3">
      <c r="A47" s="58" t="s">
        <v>115</v>
      </c>
      <c r="B47" s="58" t="s">
        <v>103</v>
      </c>
      <c r="C47" s="59">
        <v>34053586</v>
      </c>
    </row>
    <row r="48" spans="1:3">
      <c r="A48" s="60" t="s">
        <v>275</v>
      </c>
      <c r="B48" s="60" t="s">
        <v>92</v>
      </c>
      <c r="C48" s="61">
        <v>32684500</v>
      </c>
    </row>
    <row r="49" spans="1:3">
      <c r="A49" s="58" t="s">
        <v>276</v>
      </c>
      <c r="B49" s="58" t="s">
        <v>92</v>
      </c>
      <c r="C49" s="59">
        <v>9493200</v>
      </c>
    </row>
    <row r="50" spans="1:3">
      <c r="A50" s="60" t="s">
        <v>277</v>
      </c>
      <c r="B50" s="60" t="s">
        <v>92</v>
      </c>
      <c r="C50" s="61">
        <v>3586888</v>
      </c>
    </row>
    <row r="51" spans="1:3">
      <c r="A51" s="58" t="s">
        <v>146</v>
      </c>
      <c r="B51" s="58" t="s">
        <v>103</v>
      </c>
      <c r="C51" s="59">
        <v>3307500</v>
      </c>
    </row>
    <row r="52" spans="1:3">
      <c r="A52" s="60" t="s">
        <v>275</v>
      </c>
      <c r="B52" s="60" t="s">
        <v>103</v>
      </c>
      <c r="C52" s="61">
        <v>1657448</v>
      </c>
    </row>
    <row r="53" spans="1:3">
      <c r="A53" s="58" t="s">
        <v>278</v>
      </c>
      <c r="B53" s="58" t="s">
        <v>92</v>
      </c>
      <c r="C53" s="59">
        <v>1250000</v>
      </c>
    </row>
    <row r="54" spans="1:3">
      <c r="A54" s="60" t="s">
        <v>97</v>
      </c>
      <c r="B54" s="60" t="s">
        <v>92</v>
      </c>
      <c r="C54" s="61">
        <v>505260</v>
      </c>
    </row>
    <row r="55" spans="1:3" ht="13.5" thickBot="1"/>
    <row r="56" spans="1:3" ht="14" thickTop="1" thickBot="1">
      <c r="A56" s="54" t="s">
        <v>279</v>
      </c>
      <c r="B56" s="54"/>
      <c r="C56" s="55">
        <f>SUM(C5:C54)</f>
        <v>380028721353.51099</v>
      </c>
    </row>
    <row r="57" spans="1:3" ht="13.5" thickTop="1"/>
  </sheetData>
  <mergeCells count="1">
    <mergeCell ref="A56:B56"/>
  </mergeCells>
  <hyperlinks>
    <hyperlink ref="A1" location="Sommaire!A1" display="Sommaire!A1" xr:uid="{15708177-144F-457A-8B51-8C35EB6BB3E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A25A-2D69-4557-91E3-977BC26A0636}">
  <dimension ref="A1:E225"/>
  <sheetViews>
    <sheetView zoomScale="63" zoomScaleNormal="63" workbookViewId="0">
      <selection activeCell="N170" activeCellId="1" sqref="B1 N170"/>
    </sheetView>
  </sheetViews>
  <sheetFormatPr baseColWidth="10" defaultColWidth="12" defaultRowHeight="13"/>
  <cols>
    <col min="1" max="1" width="86.90625" style="39" bestFit="1" customWidth="1"/>
    <col min="2" max="2" width="74.54296875" style="39" bestFit="1" customWidth="1"/>
    <col min="3" max="3" width="25.453125" style="39" bestFit="1" customWidth="1"/>
    <col min="4" max="4" width="7.08984375" style="39" bestFit="1" customWidth="1"/>
    <col min="5" max="5" width="18.1796875" style="64" bestFit="1" customWidth="1"/>
    <col min="6" max="16384" width="12" style="39"/>
  </cols>
  <sheetData>
    <row r="1" spans="1:5" ht="14.5">
      <c r="A1" s="38" t="s">
        <v>0</v>
      </c>
    </row>
    <row r="2" spans="1:5" s="41" customFormat="1" ht="21">
      <c r="A2" s="40" t="s">
        <v>317</v>
      </c>
      <c r="E2" s="65"/>
    </row>
    <row r="4" spans="1:5" ht="13.5" thickBot="1">
      <c r="A4" s="66" t="s">
        <v>169</v>
      </c>
      <c r="B4" s="66" t="s">
        <v>270</v>
      </c>
      <c r="C4" s="66" t="s">
        <v>170</v>
      </c>
      <c r="D4" s="66" t="s">
        <v>271</v>
      </c>
      <c r="E4" s="67" t="s">
        <v>171</v>
      </c>
    </row>
    <row r="5" spans="1:5">
      <c r="A5" s="58" t="s">
        <v>175</v>
      </c>
      <c r="B5" s="58" t="s">
        <v>77</v>
      </c>
      <c r="C5" s="58" t="s">
        <v>172</v>
      </c>
      <c r="D5" s="58" t="s">
        <v>273</v>
      </c>
      <c r="E5" s="68">
        <v>516563700</v>
      </c>
    </row>
    <row r="6" spans="1:5">
      <c r="A6" s="60" t="s">
        <v>176</v>
      </c>
      <c r="B6" s="60" t="s">
        <v>77</v>
      </c>
      <c r="C6" s="60" t="s">
        <v>172</v>
      </c>
      <c r="D6" s="60" t="s">
        <v>273</v>
      </c>
      <c r="E6" s="69">
        <v>489266411</v>
      </c>
    </row>
    <row r="7" spans="1:5">
      <c r="A7" s="58" t="s">
        <v>212</v>
      </c>
      <c r="B7" s="58" t="s">
        <v>138</v>
      </c>
      <c r="C7" s="58" t="s">
        <v>172</v>
      </c>
      <c r="D7" s="58" t="s">
        <v>137</v>
      </c>
      <c r="E7" s="68">
        <v>344116520</v>
      </c>
    </row>
    <row r="8" spans="1:5">
      <c r="A8" s="60" t="s">
        <v>177</v>
      </c>
      <c r="B8" s="60" t="s">
        <v>136</v>
      </c>
      <c r="C8" s="60" t="s">
        <v>172</v>
      </c>
      <c r="D8" s="60" t="s">
        <v>134</v>
      </c>
      <c r="E8" s="69">
        <v>312481892.15228599</v>
      </c>
    </row>
    <row r="9" spans="1:5">
      <c r="A9" s="58" t="s">
        <v>175</v>
      </c>
      <c r="B9" s="58" t="s">
        <v>138</v>
      </c>
      <c r="C9" s="58" t="s">
        <v>172</v>
      </c>
      <c r="D9" s="58" t="s">
        <v>137</v>
      </c>
      <c r="E9" s="68">
        <v>168847576</v>
      </c>
    </row>
    <row r="10" spans="1:5">
      <c r="A10" s="60" t="s">
        <v>181</v>
      </c>
      <c r="B10" s="60" t="s">
        <v>138</v>
      </c>
      <c r="C10" s="60" t="s">
        <v>172</v>
      </c>
      <c r="D10" s="60" t="s">
        <v>137</v>
      </c>
      <c r="E10" s="69">
        <v>137278556</v>
      </c>
    </row>
    <row r="11" spans="1:5">
      <c r="A11" s="58" t="s">
        <v>178</v>
      </c>
      <c r="B11" s="58" t="s">
        <v>107</v>
      </c>
      <c r="C11" s="58" t="s">
        <v>172</v>
      </c>
      <c r="D11" s="58" t="s">
        <v>103</v>
      </c>
      <c r="E11" s="68">
        <v>112901394</v>
      </c>
    </row>
    <row r="12" spans="1:5">
      <c r="A12" s="60" t="s">
        <v>190</v>
      </c>
      <c r="B12" s="60" t="s">
        <v>138</v>
      </c>
      <c r="C12" s="60" t="s">
        <v>172</v>
      </c>
      <c r="D12" s="60" t="s">
        <v>137</v>
      </c>
      <c r="E12" s="69">
        <v>111828649</v>
      </c>
    </row>
    <row r="13" spans="1:5">
      <c r="A13" s="58" t="s">
        <v>180</v>
      </c>
      <c r="B13" s="58" t="s">
        <v>105</v>
      </c>
      <c r="C13" s="58" t="s">
        <v>172</v>
      </c>
      <c r="D13" s="58" t="s">
        <v>103</v>
      </c>
      <c r="E13" s="68">
        <v>102786812</v>
      </c>
    </row>
    <row r="14" spans="1:5">
      <c r="A14" s="60" t="s">
        <v>181</v>
      </c>
      <c r="B14" s="60" t="s">
        <v>77</v>
      </c>
      <c r="C14" s="60" t="s">
        <v>172</v>
      </c>
      <c r="D14" s="60" t="s">
        <v>273</v>
      </c>
      <c r="E14" s="69">
        <v>84889996</v>
      </c>
    </row>
    <row r="15" spans="1:5">
      <c r="A15" s="58" t="s">
        <v>182</v>
      </c>
      <c r="B15" s="58" t="s">
        <v>81</v>
      </c>
      <c r="C15" s="58" t="s">
        <v>172</v>
      </c>
      <c r="D15" s="58" t="s">
        <v>273</v>
      </c>
      <c r="E15" s="68">
        <v>80000000</v>
      </c>
    </row>
    <row r="16" spans="1:5">
      <c r="A16" s="60" t="s">
        <v>281</v>
      </c>
      <c r="B16" s="60" t="s">
        <v>140</v>
      </c>
      <c r="C16" s="60" t="s">
        <v>172</v>
      </c>
      <c r="D16" s="60" t="s">
        <v>139</v>
      </c>
      <c r="E16" s="69">
        <v>73765867</v>
      </c>
    </row>
    <row r="17" spans="1:5">
      <c r="A17" s="58" t="s">
        <v>179</v>
      </c>
      <c r="B17" s="58" t="s">
        <v>105</v>
      </c>
      <c r="C17" s="58" t="s">
        <v>172</v>
      </c>
      <c r="D17" s="58" t="s">
        <v>103</v>
      </c>
      <c r="E17" s="68">
        <v>70614973</v>
      </c>
    </row>
    <row r="18" spans="1:5">
      <c r="A18" s="60" t="s">
        <v>177</v>
      </c>
      <c r="B18" s="60" t="s">
        <v>135</v>
      </c>
      <c r="C18" s="60" t="s">
        <v>172</v>
      </c>
      <c r="D18" s="60" t="s">
        <v>134</v>
      </c>
      <c r="E18" s="69">
        <v>68277442.847714007</v>
      </c>
    </row>
    <row r="19" spans="1:5">
      <c r="A19" s="58" t="s">
        <v>183</v>
      </c>
      <c r="B19" s="58" t="s">
        <v>77</v>
      </c>
      <c r="C19" s="58" t="s">
        <v>172</v>
      </c>
      <c r="D19" s="58" t="s">
        <v>273</v>
      </c>
      <c r="E19" s="68">
        <v>65337319</v>
      </c>
    </row>
    <row r="20" spans="1:5">
      <c r="A20" s="60" t="s">
        <v>186</v>
      </c>
      <c r="B20" s="60" t="s">
        <v>77</v>
      </c>
      <c r="C20" s="60" t="s">
        <v>172</v>
      </c>
      <c r="D20" s="60" t="s">
        <v>273</v>
      </c>
      <c r="E20" s="69">
        <v>48837247</v>
      </c>
    </row>
    <row r="21" spans="1:5">
      <c r="A21" s="58" t="s">
        <v>185</v>
      </c>
      <c r="B21" s="58" t="s">
        <v>105</v>
      </c>
      <c r="C21" s="58" t="s">
        <v>172</v>
      </c>
      <c r="D21" s="58" t="s">
        <v>103</v>
      </c>
      <c r="E21" s="68">
        <v>46899324</v>
      </c>
    </row>
    <row r="22" spans="1:5">
      <c r="A22" s="60" t="s">
        <v>187</v>
      </c>
      <c r="B22" s="60" t="s">
        <v>77</v>
      </c>
      <c r="C22" s="60" t="s">
        <v>172</v>
      </c>
      <c r="D22" s="60" t="s">
        <v>273</v>
      </c>
      <c r="E22" s="69">
        <v>43089347</v>
      </c>
    </row>
    <row r="23" spans="1:5">
      <c r="A23" s="58" t="s">
        <v>282</v>
      </c>
      <c r="B23" s="58" t="s">
        <v>140</v>
      </c>
      <c r="C23" s="58" t="s">
        <v>172</v>
      </c>
      <c r="D23" s="58" t="s">
        <v>139</v>
      </c>
      <c r="E23" s="68">
        <v>42508467</v>
      </c>
    </row>
    <row r="24" spans="1:5">
      <c r="A24" s="60" t="s">
        <v>184</v>
      </c>
      <c r="B24" s="60" t="s">
        <v>105</v>
      </c>
      <c r="C24" s="60" t="s">
        <v>172</v>
      </c>
      <c r="D24" s="60" t="s">
        <v>103</v>
      </c>
      <c r="E24" s="69">
        <v>42310695</v>
      </c>
    </row>
    <row r="25" spans="1:5">
      <c r="A25" s="58" t="s">
        <v>188</v>
      </c>
      <c r="B25" s="58" t="s">
        <v>274</v>
      </c>
      <c r="C25" s="58" t="s">
        <v>172</v>
      </c>
      <c r="D25" s="58" t="s">
        <v>92</v>
      </c>
      <c r="E25" s="68">
        <v>41166550</v>
      </c>
    </row>
    <row r="26" spans="1:5">
      <c r="A26" s="60" t="s">
        <v>283</v>
      </c>
      <c r="B26" s="60" t="s">
        <v>140</v>
      </c>
      <c r="C26" s="60" t="s">
        <v>172</v>
      </c>
      <c r="D26" s="60" t="s">
        <v>139</v>
      </c>
      <c r="E26" s="69">
        <v>35855834</v>
      </c>
    </row>
    <row r="27" spans="1:5">
      <c r="A27" s="58" t="s">
        <v>284</v>
      </c>
      <c r="B27" s="58" t="s">
        <v>140</v>
      </c>
      <c r="C27" s="58" t="s">
        <v>172</v>
      </c>
      <c r="D27" s="58" t="s">
        <v>139</v>
      </c>
      <c r="E27" s="68">
        <v>34932579</v>
      </c>
    </row>
    <row r="28" spans="1:5">
      <c r="A28" s="60" t="s">
        <v>179</v>
      </c>
      <c r="B28" s="60" t="s">
        <v>111</v>
      </c>
      <c r="C28" s="60" t="s">
        <v>172</v>
      </c>
      <c r="D28" s="60" t="s">
        <v>103</v>
      </c>
      <c r="E28" s="69">
        <v>33035035</v>
      </c>
    </row>
    <row r="29" spans="1:5">
      <c r="A29" s="58" t="s">
        <v>178</v>
      </c>
      <c r="B29" s="58" t="s">
        <v>105</v>
      </c>
      <c r="C29" s="58" t="s">
        <v>172</v>
      </c>
      <c r="D29" s="58" t="s">
        <v>103</v>
      </c>
      <c r="E29" s="68">
        <v>31507948</v>
      </c>
    </row>
    <row r="30" spans="1:5">
      <c r="A30" s="60" t="s">
        <v>285</v>
      </c>
      <c r="B30" s="60" t="s">
        <v>140</v>
      </c>
      <c r="C30" s="60" t="s">
        <v>172</v>
      </c>
      <c r="D30" s="60" t="s">
        <v>139</v>
      </c>
      <c r="E30" s="69">
        <v>31226257</v>
      </c>
    </row>
    <row r="31" spans="1:5">
      <c r="A31" s="58" t="s">
        <v>191</v>
      </c>
      <c r="B31" s="58" t="s">
        <v>81</v>
      </c>
      <c r="C31" s="58" t="s">
        <v>172</v>
      </c>
      <c r="D31" s="58" t="s">
        <v>273</v>
      </c>
      <c r="E31" s="68">
        <v>30350000</v>
      </c>
    </row>
    <row r="32" spans="1:5">
      <c r="A32" s="60" t="s">
        <v>286</v>
      </c>
      <c r="B32" s="60" t="s">
        <v>140</v>
      </c>
      <c r="C32" s="60" t="s">
        <v>172</v>
      </c>
      <c r="D32" s="60" t="s">
        <v>139</v>
      </c>
      <c r="E32" s="69">
        <v>30233182</v>
      </c>
    </row>
    <row r="33" spans="1:5">
      <c r="A33" s="58" t="s">
        <v>175</v>
      </c>
      <c r="B33" s="58" t="s">
        <v>136</v>
      </c>
      <c r="C33" s="58" t="s">
        <v>172</v>
      </c>
      <c r="D33" s="58" t="s">
        <v>134</v>
      </c>
      <c r="E33" s="68">
        <v>30083697.673824195</v>
      </c>
    </row>
    <row r="34" spans="1:5">
      <c r="A34" s="60" t="s">
        <v>188</v>
      </c>
      <c r="B34" s="60" t="s">
        <v>138</v>
      </c>
      <c r="C34" s="60" t="s">
        <v>172</v>
      </c>
      <c r="D34" s="60" t="s">
        <v>137</v>
      </c>
      <c r="E34" s="69">
        <v>29636469</v>
      </c>
    </row>
    <row r="35" spans="1:5">
      <c r="A35" s="58" t="s">
        <v>190</v>
      </c>
      <c r="B35" s="58" t="s">
        <v>77</v>
      </c>
      <c r="C35" s="58" t="s">
        <v>172</v>
      </c>
      <c r="D35" s="58" t="s">
        <v>273</v>
      </c>
      <c r="E35" s="68">
        <v>26150000</v>
      </c>
    </row>
    <row r="36" spans="1:5">
      <c r="A36" s="60" t="s">
        <v>193</v>
      </c>
      <c r="B36" s="60" t="s">
        <v>81</v>
      </c>
      <c r="C36" s="60" t="s">
        <v>172</v>
      </c>
      <c r="D36" s="60" t="s">
        <v>273</v>
      </c>
      <c r="E36" s="69">
        <v>25000000</v>
      </c>
    </row>
    <row r="37" spans="1:5">
      <c r="A37" s="58" t="s">
        <v>287</v>
      </c>
      <c r="B37" s="58" t="s">
        <v>140</v>
      </c>
      <c r="C37" s="58" t="s">
        <v>172</v>
      </c>
      <c r="D37" s="58" t="s">
        <v>139</v>
      </c>
      <c r="E37" s="68">
        <v>24731677</v>
      </c>
    </row>
    <row r="38" spans="1:5">
      <c r="A38" s="60" t="s">
        <v>189</v>
      </c>
      <c r="B38" s="60" t="s">
        <v>77</v>
      </c>
      <c r="C38" s="60" t="s">
        <v>172</v>
      </c>
      <c r="D38" s="60" t="s">
        <v>273</v>
      </c>
      <c r="E38" s="69">
        <v>23298086</v>
      </c>
    </row>
    <row r="39" spans="1:5">
      <c r="A39" s="58" t="s">
        <v>178</v>
      </c>
      <c r="B39" s="58" t="s">
        <v>104</v>
      </c>
      <c r="C39" s="58" t="s">
        <v>172</v>
      </c>
      <c r="D39" s="58" t="s">
        <v>103</v>
      </c>
      <c r="E39" s="68">
        <v>22460325</v>
      </c>
    </row>
    <row r="40" spans="1:5">
      <c r="A40" s="60" t="s">
        <v>192</v>
      </c>
      <c r="B40" s="60" t="s">
        <v>105</v>
      </c>
      <c r="C40" s="60" t="s">
        <v>172</v>
      </c>
      <c r="D40" s="60" t="s">
        <v>103</v>
      </c>
      <c r="E40" s="69">
        <v>21663039</v>
      </c>
    </row>
    <row r="41" spans="1:5">
      <c r="A41" s="58" t="s">
        <v>194</v>
      </c>
      <c r="B41" s="58" t="s">
        <v>81</v>
      </c>
      <c r="C41" s="58" t="s">
        <v>172</v>
      </c>
      <c r="D41" s="58" t="s">
        <v>273</v>
      </c>
      <c r="E41" s="68">
        <v>21235000</v>
      </c>
    </row>
    <row r="42" spans="1:5">
      <c r="A42" s="60" t="s">
        <v>184</v>
      </c>
      <c r="B42" s="60" t="s">
        <v>107</v>
      </c>
      <c r="C42" s="60" t="s">
        <v>172</v>
      </c>
      <c r="D42" s="60" t="s">
        <v>103</v>
      </c>
      <c r="E42" s="69">
        <v>20453998</v>
      </c>
    </row>
    <row r="43" spans="1:5">
      <c r="A43" s="58" t="s">
        <v>197</v>
      </c>
      <c r="B43" s="58" t="s">
        <v>275</v>
      </c>
      <c r="C43" s="58" t="s">
        <v>172</v>
      </c>
      <c r="D43" s="58" t="s">
        <v>92</v>
      </c>
      <c r="E43" s="68">
        <v>19500000</v>
      </c>
    </row>
    <row r="44" spans="1:5">
      <c r="A44" s="60" t="s">
        <v>196</v>
      </c>
      <c r="B44" s="60" t="s">
        <v>136</v>
      </c>
      <c r="C44" s="60" t="s">
        <v>172</v>
      </c>
      <c r="D44" s="60" t="s">
        <v>134</v>
      </c>
      <c r="E44" s="69">
        <v>16416489.2494842</v>
      </c>
    </row>
    <row r="45" spans="1:5">
      <c r="A45" s="58" t="s">
        <v>200</v>
      </c>
      <c r="B45" s="58" t="s">
        <v>105</v>
      </c>
      <c r="C45" s="58" t="s">
        <v>172</v>
      </c>
      <c r="D45" s="58" t="s">
        <v>103</v>
      </c>
      <c r="E45" s="68">
        <v>16123997</v>
      </c>
    </row>
    <row r="46" spans="1:5">
      <c r="A46" s="60" t="s">
        <v>189</v>
      </c>
      <c r="B46" s="60" t="s">
        <v>81</v>
      </c>
      <c r="C46" s="60" t="s">
        <v>172</v>
      </c>
      <c r="D46" s="60" t="s">
        <v>273</v>
      </c>
      <c r="E46" s="69">
        <v>15000000</v>
      </c>
    </row>
    <row r="47" spans="1:5">
      <c r="A47" s="58" t="s">
        <v>198</v>
      </c>
      <c r="B47" s="58" t="s">
        <v>136</v>
      </c>
      <c r="C47" s="58" t="s">
        <v>172</v>
      </c>
      <c r="D47" s="58" t="s">
        <v>134</v>
      </c>
      <c r="E47" s="68">
        <v>14772255.1798793</v>
      </c>
    </row>
    <row r="48" spans="1:5">
      <c r="A48" s="60" t="s">
        <v>202</v>
      </c>
      <c r="B48" s="60" t="s">
        <v>102</v>
      </c>
      <c r="C48" s="60" t="s">
        <v>172</v>
      </c>
      <c r="D48" s="60" t="s">
        <v>92</v>
      </c>
      <c r="E48" s="69">
        <v>14767622</v>
      </c>
    </row>
    <row r="49" spans="1:5">
      <c r="A49" s="58" t="s">
        <v>199</v>
      </c>
      <c r="B49" s="58" t="s">
        <v>136</v>
      </c>
      <c r="C49" s="58" t="s">
        <v>172</v>
      </c>
      <c r="D49" s="58" t="s">
        <v>134</v>
      </c>
      <c r="E49" s="68">
        <v>14217885.270212164</v>
      </c>
    </row>
    <row r="50" spans="1:5">
      <c r="A50" s="60" t="s">
        <v>288</v>
      </c>
      <c r="B50" s="60" t="s">
        <v>140</v>
      </c>
      <c r="C50" s="60" t="s">
        <v>172</v>
      </c>
      <c r="D50" s="60" t="s">
        <v>139</v>
      </c>
      <c r="E50" s="69">
        <v>13712847</v>
      </c>
    </row>
    <row r="51" spans="1:5">
      <c r="A51" s="58" t="s">
        <v>289</v>
      </c>
      <c r="B51" s="58" t="s">
        <v>140</v>
      </c>
      <c r="C51" s="58" t="s">
        <v>172</v>
      </c>
      <c r="D51" s="58" t="s">
        <v>139</v>
      </c>
      <c r="E51" s="68">
        <v>12786635</v>
      </c>
    </row>
    <row r="52" spans="1:5">
      <c r="A52" s="60" t="s">
        <v>290</v>
      </c>
      <c r="B52" s="60" t="s">
        <v>140</v>
      </c>
      <c r="C52" s="60" t="s">
        <v>172</v>
      </c>
      <c r="D52" s="60" t="s">
        <v>139</v>
      </c>
      <c r="E52" s="69">
        <v>11933678</v>
      </c>
    </row>
    <row r="53" spans="1:5">
      <c r="A53" s="58" t="s">
        <v>195</v>
      </c>
      <c r="B53" s="58" t="s">
        <v>81</v>
      </c>
      <c r="C53" s="58" t="s">
        <v>172</v>
      </c>
      <c r="D53" s="58" t="s">
        <v>273</v>
      </c>
      <c r="E53" s="68">
        <v>11087955</v>
      </c>
    </row>
    <row r="54" spans="1:5">
      <c r="A54" s="60" t="s">
        <v>205</v>
      </c>
      <c r="B54" s="60" t="s">
        <v>81</v>
      </c>
      <c r="C54" s="60" t="s">
        <v>172</v>
      </c>
      <c r="D54" s="60" t="s">
        <v>273</v>
      </c>
      <c r="E54" s="69">
        <v>10713325</v>
      </c>
    </row>
    <row r="55" spans="1:5">
      <c r="A55" s="58" t="s">
        <v>179</v>
      </c>
      <c r="B55" s="58" t="s">
        <v>107</v>
      </c>
      <c r="C55" s="58" t="s">
        <v>172</v>
      </c>
      <c r="D55" s="58" t="s">
        <v>103</v>
      </c>
      <c r="E55" s="68">
        <v>10000100</v>
      </c>
    </row>
    <row r="56" spans="1:5">
      <c r="A56" s="60" t="s">
        <v>204</v>
      </c>
      <c r="B56" s="60" t="s">
        <v>136</v>
      </c>
      <c r="C56" s="60" t="s">
        <v>172</v>
      </c>
      <c r="D56" s="60" t="s">
        <v>134</v>
      </c>
      <c r="E56" s="69">
        <v>9856376.9283528011</v>
      </c>
    </row>
    <row r="57" spans="1:5">
      <c r="A57" s="58" t="s">
        <v>292</v>
      </c>
      <c r="B57" s="58" t="s">
        <v>138</v>
      </c>
      <c r="C57" s="58" t="s">
        <v>172</v>
      </c>
      <c r="D57" s="58" t="s">
        <v>137</v>
      </c>
      <c r="E57" s="68">
        <v>9531266</v>
      </c>
    </row>
    <row r="58" spans="1:5">
      <c r="A58" s="60" t="s">
        <v>207</v>
      </c>
      <c r="B58" s="60" t="s">
        <v>276</v>
      </c>
      <c r="C58" s="60" t="s">
        <v>172</v>
      </c>
      <c r="D58" s="60" t="s">
        <v>92</v>
      </c>
      <c r="E58" s="69">
        <v>9493200</v>
      </c>
    </row>
    <row r="59" spans="1:5">
      <c r="A59" s="58" t="s">
        <v>208</v>
      </c>
      <c r="B59" s="58" t="s">
        <v>105</v>
      </c>
      <c r="C59" s="58" t="s">
        <v>173</v>
      </c>
      <c r="D59" s="58" t="s">
        <v>103</v>
      </c>
      <c r="E59" s="68">
        <v>9080859</v>
      </c>
    </row>
    <row r="60" spans="1:5">
      <c r="A60" s="60" t="s">
        <v>293</v>
      </c>
      <c r="B60" s="60" t="s">
        <v>140</v>
      </c>
      <c r="C60" s="60" t="s">
        <v>172</v>
      </c>
      <c r="D60" s="60" t="s">
        <v>139</v>
      </c>
      <c r="E60" s="69">
        <v>9009350</v>
      </c>
    </row>
    <row r="61" spans="1:5">
      <c r="A61" s="58" t="s">
        <v>195</v>
      </c>
      <c r="B61" s="58" t="s">
        <v>77</v>
      </c>
      <c r="C61" s="58" t="s">
        <v>172</v>
      </c>
      <c r="D61" s="58" t="s">
        <v>273</v>
      </c>
      <c r="E61" s="68">
        <v>8944659</v>
      </c>
    </row>
    <row r="62" spans="1:5">
      <c r="A62" s="60" t="s">
        <v>211</v>
      </c>
      <c r="B62" s="60" t="s">
        <v>77</v>
      </c>
      <c r="C62" s="60" t="s">
        <v>172</v>
      </c>
      <c r="D62" s="60" t="s">
        <v>273</v>
      </c>
      <c r="E62" s="69">
        <v>8713960</v>
      </c>
    </row>
    <row r="63" spans="1:5">
      <c r="A63" s="58" t="s">
        <v>201</v>
      </c>
      <c r="B63" s="58" t="s">
        <v>77</v>
      </c>
      <c r="C63" s="58" t="s">
        <v>172</v>
      </c>
      <c r="D63" s="58" t="s">
        <v>273</v>
      </c>
      <c r="E63" s="68">
        <v>8569000</v>
      </c>
    </row>
    <row r="64" spans="1:5">
      <c r="A64" s="60" t="s">
        <v>212</v>
      </c>
      <c r="B64" s="60" t="s">
        <v>77</v>
      </c>
      <c r="C64" s="60" t="s">
        <v>172</v>
      </c>
      <c r="D64" s="60" t="s">
        <v>273</v>
      </c>
      <c r="E64" s="69">
        <v>8324500</v>
      </c>
    </row>
    <row r="65" spans="1:5">
      <c r="A65" s="58" t="s">
        <v>206</v>
      </c>
      <c r="B65" s="58" t="s">
        <v>136</v>
      </c>
      <c r="C65" s="58" t="s">
        <v>172</v>
      </c>
      <c r="D65" s="58" t="s">
        <v>134</v>
      </c>
      <c r="E65" s="68">
        <v>8202848.6481972272</v>
      </c>
    </row>
    <row r="66" spans="1:5">
      <c r="A66" s="60" t="s">
        <v>213</v>
      </c>
      <c r="B66" s="60" t="s">
        <v>77</v>
      </c>
      <c r="C66" s="60" t="s">
        <v>172</v>
      </c>
      <c r="D66" s="60" t="s">
        <v>273</v>
      </c>
      <c r="E66" s="69">
        <v>8135772</v>
      </c>
    </row>
    <row r="67" spans="1:5">
      <c r="A67" s="58" t="s">
        <v>210</v>
      </c>
      <c r="B67" s="58" t="s">
        <v>81</v>
      </c>
      <c r="C67" s="58" t="s">
        <v>172</v>
      </c>
      <c r="D67" s="58" t="s">
        <v>273</v>
      </c>
      <c r="E67" s="68">
        <v>7500000</v>
      </c>
    </row>
    <row r="68" spans="1:5">
      <c r="A68" s="60" t="s">
        <v>209</v>
      </c>
      <c r="B68" s="60" t="s">
        <v>136</v>
      </c>
      <c r="C68" s="60" t="s">
        <v>172</v>
      </c>
      <c r="D68" s="60" t="s">
        <v>134</v>
      </c>
      <c r="E68" s="69">
        <v>7386127.5899396501</v>
      </c>
    </row>
    <row r="69" spans="1:5">
      <c r="A69" s="58" t="s">
        <v>294</v>
      </c>
      <c r="B69" s="58" t="s">
        <v>140</v>
      </c>
      <c r="C69" s="58" t="s">
        <v>172</v>
      </c>
      <c r="D69" s="58" t="s">
        <v>139</v>
      </c>
      <c r="E69" s="68">
        <v>7034727</v>
      </c>
    </row>
    <row r="70" spans="1:5">
      <c r="A70" s="60" t="s">
        <v>295</v>
      </c>
      <c r="B70" s="60" t="s">
        <v>140</v>
      </c>
      <c r="C70" s="60" t="s">
        <v>172</v>
      </c>
      <c r="D70" s="60" t="s">
        <v>139</v>
      </c>
      <c r="E70" s="69">
        <v>6893669</v>
      </c>
    </row>
    <row r="71" spans="1:5">
      <c r="A71" s="58" t="s">
        <v>296</v>
      </c>
      <c r="B71" s="58" t="s">
        <v>140</v>
      </c>
      <c r="C71" s="58" t="s">
        <v>172</v>
      </c>
      <c r="D71" s="58" t="s">
        <v>139</v>
      </c>
      <c r="E71" s="68">
        <v>6770539</v>
      </c>
    </row>
    <row r="72" spans="1:5">
      <c r="A72" s="60" t="s">
        <v>217</v>
      </c>
      <c r="B72" s="60" t="s">
        <v>77</v>
      </c>
      <c r="C72" s="60" t="s">
        <v>172</v>
      </c>
      <c r="D72" s="60" t="s">
        <v>273</v>
      </c>
      <c r="E72" s="69">
        <v>6700000</v>
      </c>
    </row>
    <row r="73" spans="1:5">
      <c r="A73" s="58" t="s">
        <v>185</v>
      </c>
      <c r="B73" s="58" t="s">
        <v>107</v>
      </c>
      <c r="C73" s="58" t="s">
        <v>172</v>
      </c>
      <c r="D73" s="58" t="s">
        <v>103</v>
      </c>
      <c r="E73" s="68">
        <v>6667446</v>
      </c>
    </row>
    <row r="74" spans="1:5">
      <c r="A74" s="60" t="s">
        <v>175</v>
      </c>
      <c r="B74" s="60" t="s">
        <v>135</v>
      </c>
      <c r="C74" s="60" t="s">
        <v>172</v>
      </c>
      <c r="D74" s="60" t="s">
        <v>134</v>
      </c>
      <c r="E74" s="69">
        <v>6573302.3261758052</v>
      </c>
    </row>
    <row r="75" spans="1:5">
      <c r="A75" s="58" t="s">
        <v>203</v>
      </c>
      <c r="B75" s="58" t="s">
        <v>105</v>
      </c>
      <c r="C75" s="58" t="s">
        <v>172</v>
      </c>
      <c r="D75" s="58" t="s">
        <v>103</v>
      </c>
      <c r="E75" s="68">
        <v>6124750</v>
      </c>
    </row>
    <row r="76" spans="1:5">
      <c r="A76" s="60" t="s">
        <v>221</v>
      </c>
      <c r="B76" s="60" t="s">
        <v>275</v>
      </c>
      <c r="C76" s="60" t="s">
        <v>172</v>
      </c>
      <c r="D76" s="60" t="s">
        <v>92</v>
      </c>
      <c r="E76" s="69">
        <v>6050500</v>
      </c>
    </row>
    <row r="77" spans="1:5">
      <c r="A77" s="58" t="s">
        <v>216</v>
      </c>
      <c r="B77" s="58" t="s">
        <v>77</v>
      </c>
      <c r="C77" s="58" t="s">
        <v>172</v>
      </c>
      <c r="D77" s="58" t="s">
        <v>273</v>
      </c>
      <c r="E77" s="68">
        <v>6017420</v>
      </c>
    </row>
    <row r="78" spans="1:5">
      <c r="A78" s="60" t="s">
        <v>297</v>
      </c>
      <c r="B78" s="60" t="s">
        <v>140</v>
      </c>
      <c r="C78" s="60" t="s">
        <v>172</v>
      </c>
      <c r="D78" s="60" t="s">
        <v>139</v>
      </c>
      <c r="E78" s="69">
        <v>5898428</v>
      </c>
    </row>
    <row r="79" spans="1:5">
      <c r="A79" s="58" t="s">
        <v>215</v>
      </c>
      <c r="B79" s="58" t="s">
        <v>136</v>
      </c>
      <c r="C79" s="58" t="s">
        <v>172</v>
      </c>
      <c r="D79" s="58" t="s">
        <v>134</v>
      </c>
      <c r="E79" s="68">
        <v>5751331.3500330076</v>
      </c>
    </row>
    <row r="80" spans="1:5">
      <c r="A80" s="60" t="s">
        <v>186</v>
      </c>
      <c r="B80" s="60" t="s">
        <v>138</v>
      </c>
      <c r="C80" s="60" t="s">
        <v>172</v>
      </c>
      <c r="D80" s="60" t="s">
        <v>137</v>
      </c>
      <c r="E80" s="69">
        <v>5649321</v>
      </c>
    </row>
    <row r="81" spans="1:5">
      <c r="A81" s="58" t="s">
        <v>214</v>
      </c>
      <c r="B81" s="58" t="s">
        <v>81</v>
      </c>
      <c r="C81" s="58" t="s">
        <v>172</v>
      </c>
      <c r="D81" s="58" t="s">
        <v>273</v>
      </c>
      <c r="E81" s="68">
        <v>5606000</v>
      </c>
    </row>
    <row r="82" spans="1:5">
      <c r="A82" s="60" t="s">
        <v>298</v>
      </c>
      <c r="B82" s="60" t="s">
        <v>138</v>
      </c>
      <c r="C82" s="60" t="s">
        <v>172</v>
      </c>
      <c r="D82" s="60" t="s">
        <v>137</v>
      </c>
      <c r="E82" s="69">
        <v>5427313</v>
      </c>
    </row>
    <row r="83" spans="1:5">
      <c r="A83" s="58" t="s">
        <v>223</v>
      </c>
      <c r="B83" s="58" t="s">
        <v>77</v>
      </c>
      <c r="C83" s="58" t="s">
        <v>172</v>
      </c>
      <c r="D83" s="58" t="s">
        <v>273</v>
      </c>
      <c r="E83" s="68">
        <v>5265900</v>
      </c>
    </row>
    <row r="84" spans="1:5">
      <c r="A84" s="60" t="s">
        <v>299</v>
      </c>
      <c r="B84" s="60" t="s">
        <v>140</v>
      </c>
      <c r="C84" s="60" t="s">
        <v>172</v>
      </c>
      <c r="D84" s="60" t="s">
        <v>139</v>
      </c>
      <c r="E84" s="69">
        <v>5256894</v>
      </c>
    </row>
    <row r="85" spans="1:5">
      <c r="A85" s="58" t="s">
        <v>224</v>
      </c>
      <c r="B85" s="58" t="s">
        <v>77</v>
      </c>
      <c r="C85" s="58" t="s">
        <v>172</v>
      </c>
      <c r="D85" s="58" t="s">
        <v>273</v>
      </c>
      <c r="E85" s="68">
        <v>5078720</v>
      </c>
    </row>
    <row r="86" spans="1:5">
      <c r="A86" s="60" t="s">
        <v>300</v>
      </c>
      <c r="B86" s="60" t="s">
        <v>140</v>
      </c>
      <c r="C86" s="60" t="s">
        <v>172</v>
      </c>
      <c r="D86" s="60" t="s">
        <v>139</v>
      </c>
      <c r="E86" s="69">
        <v>5010447</v>
      </c>
    </row>
    <row r="87" spans="1:5">
      <c r="A87" s="58" t="s">
        <v>201</v>
      </c>
      <c r="B87" s="58" t="s">
        <v>79</v>
      </c>
      <c r="C87" s="58" t="s">
        <v>172</v>
      </c>
      <c r="D87" s="58" t="s">
        <v>273</v>
      </c>
      <c r="E87" s="68">
        <v>5000000</v>
      </c>
    </row>
    <row r="88" spans="1:5">
      <c r="A88" s="60" t="s">
        <v>175</v>
      </c>
      <c r="B88" s="60" t="s">
        <v>79</v>
      </c>
      <c r="C88" s="60" t="s">
        <v>172</v>
      </c>
      <c r="D88" s="60" t="s">
        <v>273</v>
      </c>
      <c r="E88" s="69">
        <v>5000000</v>
      </c>
    </row>
    <row r="89" spans="1:5">
      <c r="A89" s="58" t="s">
        <v>203</v>
      </c>
      <c r="B89" s="58" t="s">
        <v>107</v>
      </c>
      <c r="C89" s="58" t="s">
        <v>172</v>
      </c>
      <c r="D89" s="58" t="s">
        <v>103</v>
      </c>
      <c r="E89" s="68">
        <v>5000000</v>
      </c>
    </row>
    <row r="90" spans="1:5">
      <c r="A90" s="60" t="s">
        <v>218</v>
      </c>
      <c r="B90" s="60" t="s">
        <v>107</v>
      </c>
      <c r="C90" s="60" t="s">
        <v>172</v>
      </c>
      <c r="D90" s="60" t="s">
        <v>103</v>
      </c>
      <c r="E90" s="69">
        <v>5000000</v>
      </c>
    </row>
    <row r="91" spans="1:5">
      <c r="A91" s="58" t="s">
        <v>219</v>
      </c>
      <c r="B91" s="58" t="s">
        <v>81</v>
      </c>
      <c r="C91" s="58" t="s">
        <v>172</v>
      </c>
      <c r="D91" s="58" t="s">
        <v>273</v>
      </c>
      <c r="E91" s="68">
        <v>5000000</v>
      </c>
    </row>
    <row r="92" spans="1:5">
      <c r="A92" s="60" t="s">
        <v>222</v>
      </c>
      <c r="B92" s="60" t="s">
        <v>136</v>
      </c>
      <c r="C92" s="60" t="s">
        <v>172</v>
      </c>
      <c r="D92" s="60" t="s">
        <v>134</v>
      </c>
      <c r="E92" s="69">
        <v>4907671.4430932347</v>
      </c>
    </row>
    <row r="93" spans="1:5">
      <c r="A93" s="58" t="s">
        <v>225</v>
      </c>
      <c r="B93" s="58" t="s">
        <v>275</v>
      </c>
      <c r="C93" s="58" t="s">
        <v>172</v>
      </c>
      <c r="D93" s="58" t="s">
        <v>92</v>
      </c>
      <c r="E93" s="68">
        <v>4732000</v>
      </c>
    </row>
    <row r="94" spans="1:5">
      <c r="A94" s="60" t="s">
        <v>192</v>
      </c>
      <c r="B94" s="60" t="s">
        <v>107</v>
      </c>
      <c r="C94" s="60" t="s">
        <v>172</v>
      </c>
      <c r="D94" s="60" t="s">
        <v>103</v>
      </c>
      <c r="E94" s="69">
        <v>4707107</v>
      </c>
    </row>
    <row r="95" spans="1:5">
      <c r="A95" s="58" t="s">
        <v>291</v>
      </c>
      <c r="B95" s="58" t="s">
        <v>123</v>
      </c>
      <c r="C95" s="58" t="s">
        <v>172</v>
      </c>
      <c r="D95" s="58" t="s">
        <v>120</v>
      </c>
      <c r="E95" s="68">
        <v>4565292</v>
      </c>
    </row>
    <row r="96" spans="1:5">
      <c r="A96" s="60" t="s">
        <v>226</v>
      </c>
      <c r="B96" s="60" t="s">
        <v>77</v>
      </c>
      <c r="C96" s="60" t="s">
        <v>172</v>
      </c>
      <c r="D96" s="60" t="s">
        <v>273</v>
      </c>
      <c r="E96" s="69">
        <v>4522600</v>
      </c>
    </row>
    <row r="97" spans="1:5">
      <c r="A97" s="58" t="s">
        <v>220</v>
      </c>
      <c r="B97" s="58" t="s">
        <v>77</v>
      </c>
      <c r="C97" s="58" t="s">
        <v>172</v>
      </c>
      <c r="D97" s="58" t="s">
        <v>273</v>
      </c>
      <c r="E97" s="68">
        <v>4485000</v>
      </c>
    </row>
    <row r="98" spans="1:5">
      <c r="A98" s="60" t="s">
        <v>227</v>
      </c>
      <c r="B98" s="60" t="s">
        <v>77</v>
      </c>
      <c r="C98" s="60" t="s">
        <v>172</v>
      </c>
      <c r="D98" s="60" t="s">
        <v>273</v>
      </c>
      <c r="E98" s="69">
        <v>4471550</v>
      </c>
    </row>
    <row r="99" spans="1:5">
      <c r="A99" s="58" t="s">
        <v>190</v>
      </c>
      <c r="B99" s="58" t="s">
        <v>79</v>
      </c>
      <c r="C99" s="58" t="s">
        <v>172</v>
      </c>
      <c r="D99" s="58" t="s">
        <v>273</v>
      </c>
      <c r="E99" s="68">
        <v>4000000</v>
      </c>
    </row>
    <row r="100" spans="1:5">
      <c r="A100" s="60" t="s">
        <v>301</v>
      </c>
      <c r="B100" s="60" t="s">
        <v>140</v>
      </c>
      <c r="C100" s="60" t="s">
        <v>172</v>
      </c>
      <c r="D100" s="60" t="s">
        <v>139</v>
      </c>
      <c r="E100" s="69">
        <v>3665882</v>
      </c>
    </row>
    <row r="101" spans="1:5">
      <c r="A101" s="58" t="s">
        <v>291</v>
      </c>
      <c r="B101" s="58" t="s">
        <v>122</v>
      </c>
      <c r="C101" s="58" t="s">
        <v>172</v>
      </c>
      <c r="D101" s="58" t="s">
        <v>120</v>
      </c>
      <c r="E101" s="68">
        <v>3652236</v>
      </c>
    </row>
    <row r="102" spans="1:5">
      <c r="A102" s="60" t="s">
        <v>196</v>
      </c>
      <c r="B102" s="60" t="s">
        <v>135</v>
      </c>
      <c r="C102" s="60" t="s">
        <v>172</v>
      </c>
      <c r="D102" s="60" t="s">
        <v>134</v>
      </c>
      <c r="E102" s="69">
        <v>3587010.7505158</v>
      </c>
    </row>
    <row r="103" spans="1:5">
      <c r="A103" s="58" t="s">
        <v>176</v>
      </c>
      <c r="B103" s="58" t="s">
        <v>81</v>
      </c>
      <c r="C103" s="58" t="s">
        <v>172</v>
      </c>
      <c r="D103" s="58" t="s">
        <v>273</v>
      </c>
      <c r="E103" s="68">
        <v>3379545</v>
      </c>
    </row>
    <row r="104" spans="1:5">
      <c r="A104" s="60" t="s">
        <v>198</v>
      </c>
      <c r="B104" s="60" t="s">
        <v>135</v>
      </c>
      <c r="C104" s="60" t="s">
        <v>172</v>
      </c>
      <c r="D104" s="60" t="s">
        <v>134</v>
      </c>
      <c r="E104" s="69">
        <v>3227744.8201206997</v>
      </c>
    </row>
    <row r="105" spans="1:5">
      <c r="A105" s="58" t="s">
        <v>229</v>
      </c>
      <c r="B105" s="58" t="s">
        <v>277</v>
      </c>
      <c r="C105" s="58" t="s">
        <v>172</v>
      </c>
      <c r="D105" s="58" t="s">
        <v>92</v>
      </c>
      <c r="E105" s="68">
        <v>3136888</v>
      </c>
    </row>
    <row r="106" spans="1:5">
      <c r="A106" s="60" t="s">
        <v>199</v>
      </c>
      <c r="B106" s="60" t="s">
        <v>135</v>
      </c>
      <c r="C106" s="60" t="s">
        <v>172</v>
      </c>
      <c r="D106" s="60" t="s">
        <v>134</v>
      </c>
      <c r="E106" s="69">
        <v>3106614.7297878359</v>
      </c>
    </row>
    <row r="107" spans="1:5">
      <c r="A107" s="58" t="s">
        <v>231</v>
      </c>
      <c r="B107" s="58" t="s">
        <v>81</v>
      </c>
      <c r="C107" s="58" t="s">
        <v>172</v>
      </c>
      <c r="D107" s="58" t="s">
        <v>273</v>
      </c>
      <c r="E107" s="68">
        <v>3000000</v>
      </c>
    </row>
    <row r="108" spans="1:5">
      <c r="A108" s="60" t="s">
        <v>227</v>
      </c>
      <c r="B108" s="60" t="s">
        <v>138</v>
      </c>
      <c r="C108" s="60" t="s">
        <v>172</v>
      </c>
      <c r="D108" s="60" t="s">
        <v>137</v>
      </c>
      <c r="E108" s="69">
        <v>2929946</v>
      </c>
    </row>
    <row r="109" spans="1:5">
      <c r="A109" s="58" t="s">
        <v>180</v>
      </c>
      <c r="B109" s="58" t="s">
        <v>111</v>
      </c>
      <c r="C109" s="58" t="s">
        <v>172</v>
      </c>
      <c r="D109" s="58" t="s">
        <v>103</v>
      </c>
      <c r="E109" s="68">
        <v>2885055</v>
      </c>
    </row>
    <row r="110" spans="1:5">
      <c r="A110" s="60" t="s">
        <v>302</v>
      </c>
      <c r="B110" s="60" t="s">
        <v>140</v>
      </c>
      <c r="C110" s="60" t="s">
        <v>172</v>
      </c>
      <c r="D110" s="60" t="s">
        <v>139</v>
      </c>
      <c r="E110" s="69">
        <v>2808561</v>
      </c>
    </row>
    <row r="111" spans="1:5">
      <c r="A111" s="58" t="s">
        <v>234</v>
      </c>
      <c r="B111" s="58" t="s">
        <v>105</v>
      </c>
      <c r="C111" s="58" t="s">
        <v>172</v>
      </c>
      <c r="D111" s="58" t="s">
        <v>103</v>
      </c>
      <c r="E111" s="68">
        <v>2713303</v>
      </c>
    </row>
    <row r="112" spans="1:5">
      <c r="A112" s="60" t="s">
        <v>237</v>
      </c>
      <c r="B112" s="60" t="s">
        <v>77</v>
      </c>
      <c r="C112" s="60" t="s">
        <v>172</v>
      </c>
      <c r="D112" s="60" t="s">
        <v>273</v>
      </c>
      <c r="E112" s="69">
        <v>2565000</v>
      </c>
    </row>
    <row r="113" spans="1:5">
      <c r="A113" s="58" t="s">
        <v>235</v>
      </c>
      <c r="B113" s="58" t="s">
        <v>105</v>
      </c>
      <c r="C113" s="58" t="s">
        <v>172</v>
      </c>
      <c r="D113" s="58" t="s">
        <v>103</v>
      </c>
      <c r="E113" s="68">
        <v>2539617</v>
      </c>
    </row>
    <row r="114" spans="1:5">
      <c r="A114" s="60" t="s">
        <v>214</v>
      </c>
      <c r="B114" s="60" t="s">
        <v>79</v>
      </c>
      <c r="C114" s="60" t="s">
        <v>172</v>
      </c>
      <c r="D114" s="60" t="s">
        <v>273</v>
      </c>
      <c r="E114" s="69">
        <v>2500000</v>
      </c>
    </row>
    <row r="115" spans="1:5">
      <c r="A115" s="58" t="s">
        <v>193</v>
      </c>
      <c r="B115" s="58" t="s">
        <v>79</v>
      </c>
      <c r="C115" s="58" t="s">
        <v>172</v>
      </c>
      <c r="D115" s="58" t="s">
        <v>273</v>
      </c>
      <c r="E115" s="68">
        <v>2500000</v>
      </c>
    </row>
    <row r="116" spans="1:5">
      <c r="A116" s="60" t="s">
        <v>232</v>
      </c>
      <c r="B116" s="60" t="s">
        <v>136</v>
      </c>
      <c r="C116" s="60" t="s">
        <v>172</v>
      </c>
      <c r="D116" s="60" t="s">
        <v>134</v>
      </c>
      <c r="E116" s="69">
        <v>2462042.5299798837</v>
      </c>
    </row>
    <row r="117" spans="1:5">
      <c r="A117" s="58" t="s">
        <v>239</v>
      </c>
      <c r="B117" s="58" t="s">
        <v>77</v>
      </c>
      <c r="C117" s="58" t="s">
        <v>172</v>
      </c>
      <c r="D117" s="58" t="s">
        <v>273</v>
      </c>
      <c r="E117" s="68">
        <v>2400000</v>
      </c>
    </row>
    <row r="118" spans="1:5">
      <c r="A118" s="60" t="s">
        <v>303</v>
      </c>
      <c r="B118" s="60" t="s">
        <v>140</v>
      </c>
      <c r="C118" s="60" t="s">
        <v>172</v>
      </c>
      <c r="D118" s="60" t="s">
        <v>139</v>
      </c>
      <c r="E118" s="69">
        <v>2395684</v>
      </c>
    </row>
    <row r="119" spans="1:5">
      <c r="A119" s="58" t="s">
        <v>231</v>
      </c>
      <c r="B119" s="58" t="s">
        <v>138</v>
      </c>
      <c r="C119" s="58" t="s">
        <v>172</v>
      </c>
      <c r="D119" s="58" t="s">
        <v>137</v>
      </c>
      <c r="E119" s="68">
        <v>2368286</v>
      </c>
    </row>
    <row r="120" spans="1:5">
      <c r="A120" s="60" t="s">
        <v>291</v>
      </c>
      <c r="B120" s="60" t="s">
        <v>125</v>
      </c>
      <c r="C120" s="60" t="s">
        <v>172</v>
      </c>
      <c r="D120" s="60" t="s">
        <v>120</v>
      </c>
      <c r="E120" s="69">
        <v>2282646</v>
      </c>
    </row>
    <row r="121" spans="1:5">
      <c r="A121" s="58" t="s">
        <v>240</v>
      </c>
      <c r="B121" s="58" t="s">
        <v>111</v>
      </c>
      <c r="C121" s="58" t="s">
        <v>172</v>
      </c>
      <c r="D121" s="58" t="s">
        <v>103</v>
      </c>
      <c r="E121" s="68">
        <v>2222502</v>
      </c>
    </row>
    <row r="122" spans="1:5">
      <c r="A122" s="60" t="s">
        <v>236</v>
      </c>
      <c r="B122" s="60" t="s">
        <v>136</v>
      </c>
      <c r="C122" s="60" t="s">
        <v>172</v>
      </c>
      <c r="D122" s="60" t="s">
        <v>134</v>
      </c>
      <c r="E122" s="69">
        <v>2161263.0009006746</v>
      </c>
    </row>
    <row r="123" spans="1:5">
      <c r="A123" s="58" t="s">
        <v>204</v>
      </c>
      <c r="B123" s="58" t="s">
        <v>135</v>
      </c>
      <c r="C123" s="58" t="s">
        <v>172</v>
      </c>
      <c r="D123" s="58" t="s">
        <v>134</v>
      </c>
      <c r="E123" s="68">
        <v>2153623.0716471989</v>
      </c>
    </row>
    <row r="124" spans="1:5">
      <c r="A124" s="60" t="s">
        <v>228</v>
      </c>
      <c r="B124" s="60" t="s">
        <v>105</v>
      </c>
      <c r="C124" s="60" t="s">
        <v>172</v>
      </c>
      <c r="D124" s="60" t="s">
        <v>103</v>
      </c>
      <c r="E124" s="69">
        <v>2143253</v>
      </c>
    </row>
    <row r="125" spans="1:5">
      <c r="A125" s="58" t="s">
        <v>233</v>
      </c>
      <c r="B125" s="58" t="s">
        <v>121</v>
      </c>
      <c r="C125" s="58" t="s">
        <v>172</v>
      </c>
      <c r="D125" s="58" t="s">
        <v>120</v>
      </c>
      <c r="E125" s="68">
        <v>2060952</v>
      </c>
    </row>
    <row r="126" spans="1:5">
      <c r="A126" s="60" t="s">
        <v>185</v>
      </c>
      <c r="B126" s="60" t="s">
        <v>111</v>
      </c>
      <c r="C126" s="60" t="s">
        <v>172</v>
      </c>
      <c r="D126" s="60" t="s">
        <v>103</v>
      </c>
      <c r="E126" s="69">
        <v>2055056</v>
      </c>
    </row>
    <row r="127" spans="1:5">
      <c r="A127" s="58" t="s">
        <v>190</v>
      </c>
      <c r="B127" s="58" t="s">
        <v>81</v>
      </c>
      <c r="C127" s="58" t="s">
        <v>172</v>
      </c>
      <c r="D127" s="58" t="s">
        <v>273</v>
      </c>
      <c r="E127" s="68">
        <v>2015500</v>
      </c>
    </row>
    <row r="128" spans="1:5">
      <c r="A128" s="60" t="s">
        <v>220</v>
      </c>
      <c r="B128" s="60" t="s">
        <v>79</v>
      </c>
      <c r="C128" s="60" t="s">
        <v>172</v>
      </c>
      <c r="D128" s="60" t="s">
        <v>273</v>
      </c>
      <c r="E128" s="69">
        <v>2000000</v>
      </c>
    </row>
    <row r="129" spans="1:5">
      <c r="A129" s="58" t="s">
        <v>304</v>
      </c>
      <c r="B129" s="58" t="s">
        <v>140</v>
      </c>
      <c r="C129" s="58" t="s">
        <v>172</v>
      </c>
      <c r="D129" s="58" t="s">
        <v>139</v>
      </c>
      <c r="E129" s="68">
        <v>1971853</v>
      </c>
    </row>
    <row r="130" spans="1:5">
      <c r="A130" s="60" t="s">
        <v>305</v>
      </c>
      <c r="B130" s="60" t="s">
        <v>140</v>
      </c>
      <c r="C130" s="60" t="s">
        <v>172</v>
      </c>
      <c r="D130" s="60" t="s">
        <v>139</v>
      </c>
      <c r="E130" s="69">
        <v>1818031</v>
      </c>
    </row>
    <row r="131" spans="1:5">
      <c r="A131" s="58" t="s">
        <v>206</v>
      </c>
      <c r="B131" s="58" t="s">
        <v>135</v>
      </c>
      <c r="C131" s="58" t="s">
        <v>172</v>
      </c>
      <c r="D131" s="58" t="s">
        <v>134</v>
      </c>
      <c r="E131" s="68">
        <v>1792326.3518027728</v>
      </c>
    </row>
    <row r="132" spans="1:5">
      <c r="A132" s="60" t="s">
        <v>184</v>
      </c>
      <c r="B132" s="60" t="s">
        <v>104</v>
      </c>
      <c r="C132" s="60" t="s">
        <v>172</v>
      </c>
      <c r="D132" s="60" t="s">
        <v>103</v>
      </c>
      <c r="E132" s="69">
        <v>1755697</v>
      </c>
    </row>
    <row r="133" spans="1:5">
      <c r="A133" s="58" t="s">
        <v>242</v>
      </c>
      <c r="B133" s="58" t="s">
        <v>136</v>
      </c>
      <c r="C133" s="58" t="s">
        <v>172</v>
      </c>
      <c r="D133" s="58" t="s">
        <v>134</v>
      </c>
      <c r="E133" s="68">
        <v>1716453.9838176421</v>
      </c>
    </row>
    <row r="134" spans="1:5">
      <c r="A134" s="60" t="s">
        <v>213</v>
      </c>
      <c r="B134" s="60" t="s">
        <v>138</v>
      </c>
      <c r="C134" s="60" t="s">
        <v>172</v>
      </c>
      <c r="D134" s="60" t="s">
        <v>137</v>
      </c>
      <c r="E134" s="69">
        <v>1716391</v>
      </c>
    </row>
    <row r="135" spans="1:5">
      <c r="A135" s="58" t="s">
        <v>218</v>
      </c>
      <c r="B135" s="58" t="s">
        <v>105</v>
      </c>
      <c r="C135" s="58" t="s">
        <v>172</v>
      </c>
      <c r="D135" s="58" t="s">
        <v>103</v>
      </c>
      <c r="E135" s="68">
        <v>1698066</v>
      </c>
    </row>
    <row r="136" spans="1:5">
      <c r="A136" s="60" t="s">
        <v>230</v>
      </c>
      <c r="B136" s="60" t="s">
        <v>105</v>
      </c>
      <c r="C136" s="60" t="s">
        <v>172</v>
      </c>
      <c r="D136" s="60" t="s">
        <v>103</v>
      </c>
      <c r="E136" s="69">
        <v>1654506</v>
      </c>
    </row>
    <row r="137" spans="1:5">
      <c r="A137" s="58" t="s">
        <v>192</v>
      </c>
      <c r="B137" s="58" t="s">
        <v>275</v>
      </c>
      <c r="C137" s="58" t="s">
        <v>172</v>
      </c>
      <c r="D137" s="58" t="s">
        <v>103</v>
      </c>
      <c r="E137" s="68">
        <v>1632448</v>
      </c>
    </row>
    <row r="138" spans="1:5">
      <c r="A138" s="60" t="s">
        <v>238</v>
      </c>
      <c r="B138" s="60" t="s">
        <v>121</v>
      </c>
      <c r="C138" s="60" t="s">
        <v>172</v>
      </c>
      <c r="D138" s="60" t="s">
        <v>120</v>
      </c>
      <c r="E138" s="69">
        <v>1624812</v>
      </c>
    </row>
    <row r="139" spans="1:5">
      <c r="A139" s="58" t="s">
        <v>209</v>
      </c>
      <c r="B139" s="58" t="s">
        <v>135</v>
      </c>
      <c r="C139" s="58" t="s">
        <v>172</v>
      </c>
      <c r="D139" s="58" t="s">
        <v>134</v>
      </c>
      <c r="E139" s="68">
        <v>1613872.4100603499</v>
      </c>
    </row>
    <row r="140" spans="1:5">
      <c r="A140" s="60" t="s">
        <v>241</v>
      </c>
      <c r="B140" s="60" t="s">
        <v>121</v>
      </c>
      <c r="C140" s="60" t="s">
        <v>172</v>
      </c>
      <c r="D140" s="60" t="s">
        <v>120</v>
      </c>
      <c r="E140" s="69">
        <v>1536907</v>
      </c>
    </row>
    <row r="141" spans="1:5">
      <c r="A141" s="58" t="s">
        <v>201</v>
      </c>
      <c r="B141" s="58" t="s">
        <v>81</v>
      </c>
      <c r="C141" s="58" t="s">
        <v>172</v>
      </c>
      <c r="D141" s="58" t="s">
        <v>273</v>
      </c>
      <c r="E141" s="68">
        <v>1506500</v>
      </c>
    </row>
    <row r="142" spans="1:5">
      <c r="A142" s="60" t="s">
        <v>219</v>
      </c>
      <c r="B142" s="60" t="s">
        <v>79</v>
      </c>
      <c r="C142" s="60" t="s">
        <v>172</v>
      </c>
      <c r="D142" s="60" t="s">
        <v>273</v>
      </c>
      <c r="E142" s="69">
        <v>1500000</v>
      </c>
    </row>
    <row r="143" spans="1:5">
      <c r="A143" s="58" t="s">
        <v>210</v>
      </c>
      <c r="B143" s="58" t="s">
        <v>79</v>
      </c>
      <c r="C143" s="58" t="s">
        <v>172</v>
      </c>
      <c r="D143" s="58" t="s">
        <v>273</v>
      </c>
      <c r="E143" s="68">
        <v>1500000</v>
      </c>
    </row>
    <row r="144" spans="1:5">
      <c r="A144" s="60" t="s">
        <v>245</v>
      </c>
      <c r="B144" s="60" t="s">
        <v>81</v>
      </c>
      <c r="C144" s="60" t="s">
        <v>172</v>
      </c>
      <c r="D144" s="60" t="s">
        <v>273</v>
      </c>
      <c r="E144" s="69">
        <v>1430000</v>
      </c>
    </row>
    <row r="145" spans="1:5">
      <c r="A145" s="58" t="s">
        <v>238</v>
      </c>
      <c r="B145" s="58" t="s">
        <v>123</v>
      </c>
      <c r="C145" s="58" t="s">
        <v>172</v>
      </c>
      <c r="D145" s="58" t="s">
        <v>120</v>
      </c>
      <c r="E145" s="68">
        <v>1414656</v>
      </c>
    </row>
    <row r="146" spans="1:5">
      <c r="A146" s="60" t="s">
        <v>247</v>
      </c>
      <c r="B146" s="60" t="s">
        <v>77</v>
      </c>
      <c r="C146" s="60" t="s">
        <v>172</v>
      </c>
      <c r="D146" s="60" t="s">
        <v>273</v>
      </c>
      <c r="E146" s="69">
        <v>1361160</v>
      </c>
    </row>
    <row r="147" spans="1:5">
      <c r="A147" s="58" t="s">
        <v>306</v>
      </c>
      <c r="B147" s="58" t="s">
        <v>140</v>
      </c>
      <c r="C147" s="58" t="s">
        <v>172</v>
      </c>
      <c r="D147" s="58" t="s">
        <v>139</v>
      </c>
      <c r="E147" s="68">
        <v>1348518</v>
      </c>
    </row>
    <row r="148" spans="1:5">
      <c r="A148" s="60" t="s">
        <v>215</v>
      </c>
      <c r="B148" s="60" t="s">
        <v>135</v>
      </c>
      <c r="C148" s="60" t="s">
        <v>172</v>
      </c>
      <c r="D148" s="60" t="s">
        <v>134</v>
      </c>
      <c r="E148" s="69">
        <v>1256668.6499669924</v>
      </c>
    </row>
    <row r="149" spans="1:5">
      <c r="A149" s="58" t="s">
        <v>246</v>
      </c>
      <c r="B149" s="58" t="s">
        <v>278</v>
      </c>
      <c r="C149" s="58" t="s">
        <v>172</v>
      </c>
      <c r="D149" s="58" t="s">
        <v>92</v>
      </c>
      <c r="E149" s="68">
        <v>1250000</v>
      </c>
    </row>
    <row r="150" spans="1:5">
      <c r="A150" s="60" t="s">
        <v>249</v>
      </c>
      <c r="B150" s="60" t="s">
        <v>77</v>
      </c>
      <c r="C150" s="60" t="s">
        <v>172</v>
      </c>
      <c r="D150" s="60" t="s">
        <v>273</v>
      </c>
      <c r="E150" s="69">
        <v>1221600</v>
      </c>
    </row>
    <row r="151" spans="1:5">
      <c r="A151" s="58" t="s">
        <v>179</v>
      </c>
      <c r="B151" s="58" t="s">
        <v>104</v>
      </c>
      <c r="C151" s="58" t="s">
        <v>172</v>
      </c>
      <c r="D151" s="58" t="s">
        <v>103</v>
      </c>
      <c r="E151" s="68">
        <v>1210319</v>
      </c>
    </row>
    <row r="152" spans="1:5">
      <c r="A152" s="60" t="s">
        <v>250</v>
      </c>
      <c r="B152" s="60" t="s">
        <v>275</v>
      </c>
      <c r="C152" s="60" t="s">
        <v>172</v>
      </c>
      <c r="D152" s="60" t="s">
        <v>92</v>
      </c>
      <c r="E152" s="69">
        <v>1200000</v>
      </c>
    </row>
    <row r="153" spans="1:5">
      <c r="A153" s="58" t="s">
        <v>203</v>
      </c>
      <c r="B153" s="58" t="s">
        <v>111</v>
      </c>
      <c r="C153" s="58" t="s">
        <v>172</v>
      </c>
      <c r="D153" s="58" t="s">
        <v>103</v>
      </c>
      <c r="E153" s="68">
        <v>1199827</v>
      </c>
    </row>
    <row r="154" spans="1:5">
      <c r="A154" s="60" t="s">
        <v>238</v>
      </c>
      <c r="B154" s="60" t="s">
        <v>122</v>
      </c>
      <c r="C154" s="60" t="s">
        <v>172</v>
      </c>
      <c r="D154" s="60" t="s">
        <v>120</v>
      </c>
      <c r="E154" s="69">
        <v>1131726</v>
      </c>
    </row>
    <row r="155" spans="1:5">
      <c r="A155" s="58" t="s">
        <v>251</v>
      </c>
      <c r="B155" s="58" t="s">
        <v>111</v>
      </c>
      <c r="C155" s="58" t="s">
        <v>172</v>
      </c>
      <c r="D155" s="58" t="s">
        <v>103</v>
      </c>
      <c r="E155" s="68">
        <v>1076047</v>
      </c>
    </row>
    <row r="156" spans="1:5">
      <c r="A156" s="60" t="s">
        <v>222</v>
      </c>
      <c r="B156" s="60" t="s">
        <v>135</v>
      </c>
      <c r="C156" s="60" t="s">
        <v>172</v>
      </c>
      <c r="D156" s="60" t="s">
        <v>134</v>
      </c>
      <c r="E156" s="69">
        <v>1072328.5569067653</v>
      </c>
    </row>
    <row r="157" spans="1:5">
      <c r="A157" s="58" t="s">
        <v>228</v>
      </c>
      <c r="B157" s="58" t="s">
        <v>111</v>
      </c>
      <c r="C157" s="58" t="s">
        <v>172</v>
      </c>
      <c r="D157" s="58" t="s">
        <v>103</v>
      </c>
      <c r="E157" s="68">
        <v>1041689</v>
      </c>
    </row>
    <row r="158" spans="1:5">
      <c r="A158" s="60" t="s">
        <v>243</v>
      </c>
      <c r="B158" s="60" t="s">
        <v>79</v>
      </c>
      <c r="C158" s="60" t="s">
        <v>172</v>
      </c>
      <c r="D158" s="60" t="s">
        <v>273</v>
      </c>
      <c r="E158" s="69">
        <v>1000000</v>
      </c>
    </row>
    <row r="159" spans="1:5">
      <c r="A159" s="58" t="s">
        <v>253</v>
      </c>
      <c r="B159" s="58" t="s">
        <v>79</v>
      </c>
      <c r="C159" s="58" t="s">
        <v>172</v>
      </c>
      <c r="D159" s="58" t="s">
        <v>273</v>
      </c>
      <c r="E159" s="68">
        <v>1000000</v>
      </c>
    </row>
    <row r="160" spans="1:5">
      <c r="A160" s="60" t="s">
        <v>254</v>
      </c>
      <c r="B160" s="60" t="s">
        <v>77</v>
      </c>
      <c r="C160" s="60" t="s">
        <v>172</v>
      </c>
      <c r="D160" s="60" t="s">
        <v>273</v>
      </c>
      <c r="E160" s="69">
        <v>1000000</v>
      </c>
    </row>
    <row r="161" spans="1:5">
      <c r="A161" s="58" t="s">
        <v>255</v>
      </c>
      <c r="B161" s="58" t="s">
        <v>105</v>
      </c>
      <c r="C161" s="58" t="s">
        <v>172</v>
      </c>
      <c r="D161" s="58" t="s">
        <v>103</v>
      </c>
      <c r="E161" s="68">
        <v>995996</v>
      </c>
    </row>
    <row r="162" spans="1:5">
      <c r="A162" s="60" t="s">
        <v>230</v>
      </c>
      <c r="B162" s="60" t="s">
        <v>111</v>
      </c>
      <c r="C162" s="60" t="s">
        <v>172</v>
      </c>
      <c r="D162" s="60" t="s">
        <v>103</v>
      </c>
      <c r="E162" s="69">
        <v>961002</v>
      </c>
    </row>
    <row r="163" spans="1:5">
      <c r="A163" s="58" t="s">
        <v>244</v>
      </c>
      <c r="B163" s="58" t="s">
        <v>140</v>
      </c>
      <c r="C163" s="58" t="s">
        <v>172</v>
      </c>
      <c r="D163" s="58" t="s">
        <v>139</v>
      </c>
      <c r="E163" s="68">
        <v>955948</v>
      </c>
    </row>
    <row r="164" spans="1:5">
      <c r="A164" s="60" t="s">
        <v>243</v>
      </c>
      <c r="B164" s="60" t="s">
        <v>77</v>
      </c>
      <c r="C164" s="60" t="s">
        <v>172</v>
      </c>
      <c r="D164" s="60" t="s">
        <v>273</v>
      </c>
      <c r="E164" s="69">
        <v>922000</v>
      </c>
    </row>
    <row r="165" spans="1:5">
      <c r="A165" s="58" t="s">
        <v>256</v>
      </c>
      <c r="B165" s="58" t="s">
        <v>77</v>
      </c>
      <c r="C165" s="58" t="s">
        <v>172</v>
      </c>
      <c r="D165" s="58" t="s">
        <v>273</v>
      </c>
      <c r="E165" s="68">
        <v>840000</v>
      </c>
    </row>
    <row r="166" spans="1:5">
      <c r="A166" s="60" t="s">
        <v>244</v>
      </c>
      <c r="B166" s="60" t="s">
        <v>105</v>
      </c>
      <c r="C166" s="60" t="s">
        <v>172</v>
      </c>
      <c r="D166" s="60" t="s">
        <v>103</v>
      </c>
      <c r="E166" s="69">
        <v>802570</v>
      </c>
    </row>
    <row r="167" spans="1:5">
      <c r="A167" s="58" t="s">
        <v>307</v>
      </c>
      <c r="B167" s="58" t="s">
        <v>138</v>
      </c>
      <c r="C167" s="58" t="s">
        <v>172</v>
      </c>
      <c r="D167" s="58" t="s">
        <v>137</v>
      </c>
      <c r="E167" s="68">
        <v>771120</v>
      </c>
    </row>
    <row r="168" spans="1:5">
      <c r="A168" s="60" t="s">
        <v>248</v>
      </c>
      <c r="B168" s="60" t="s">
        <v>77</v>
      </c>
      <c r="C168" s="60" t="s">
        <v>172</v>
      </c>
      <c r="D168" s="60" t="s">
        <v>273</v>
      </c>
      <c r="E168" s="69">
        <v>750000</v>
      </c>
    </row>
    <row r="169" spans="1:5">
      <c r="A169" s="58" t="s">
        <v>216</v>
      </c>
      <c r="B169" s="58" t="s">
        <v>81</v>
      </c>
      <c r="C169" s="58" t="s">
        <v>172</v>
      </c>
      <c r="D169" s="58" t="s">
        <v>273</v>
      </c>
      <c r="E169" s="68">
        <v>715695</v>
      </c>
    </row>
    <row r="170" spans="1:5">
      <c r="A170" s="60" t="s">
        <v>238</v>
      </c>
      <c r="B170" s="60" t="s">
        <v>125</v>
      </c>
      <c r="C170" s="60" t="s">
        <v>172</v>
      </c>
      <c r="D170" s="60" t="s">
        <v>120</v>
      </c>
      <c r="E170" s="69">
        <v>707328</v>
      </c>
    </row>
    <row r="171" spans="1:5">
      <c r="A171" s="58" t="s">
        <v>308</v>
      </c>
      <c r="B171" s="58" t="s">
        <v>140</v>
      </c>
      <c r="C171" s="58" t="s">
        <v>172</v>
      </c>
      <c r="D171" s="58" t="s">
        <v>139</v>
      </c>
      <c r="E171" s="68">
        <v>691685</v>
      </c>
    </row>
    <row r="172" spans="1:5">
      <c r="A172" s="60" t="s">
        <v>244</v>
      </c>
      <c r="B172" s="60" t="s">
        <v>111</v>
      </c>
      <c r="C172" s="60" t="s">
        <v>172</v>
      </c>
      <c r="D172" s="60" t="s">
        <v>103</v>
      </c>
      <c r="E172" s="69">
        <v>684659</v>
      </c>
    </row>
    <row r="173" spans="1:5">
      <c r="A173" s="58" t="s">
        <v>309</v>
      </c>
      <c r="B173" s="58" t="s">
        <v>140</v>
      </c>
      <c r="C173" s="58" t="s">
        <v>172</v>
      </c>
      <c r="D173" s="58" t="s">
        <v>139</v>
      </c>
      <c r="E173" s="68">
        <v>677040</v>
      </c>
    </row>
    <row r="174" spans="1:5">
      <c r="A174" s="60" t="s">
        <v>257</v>
      </c>
      <c r="B174" s="60" t="s">
        <v>107</v>
      </c>
      <c r="C174" s="60" t="s">
        <v>172</v>
      </c>
      <c r="D174" s="60" t="s">
        <v>103</v>
      </c>
      <c r="E174" s="69">
        <v>668620</v>
      </c>
    </row>
    <row r="175" spans="1:5">
      <c r="A175" s="58" t="s">
        <v>291</v>
      </c>
      <c r="B175" s="58" t="s">
        <v>126</v>
      </c>
      <c r="C175" s="58" t="s">
        <v>172</v>
      </c>
      <c r="D175" s="58" t="s">
        <v>120</v>
      </c>
      <c r="E175" s="68">
        <v>664476</v>
      </c>
    </row>
    <row r="176" spans="1:5">
      <c r="A176" s="60" t="s">
        <v>258</v>
      </c>
      <c r="B176" s="60" t="s">
        <v>275</v>
      </c>
      <c r="C176" s="60" t="s">
        <v>172</v>
      </c>
      <c r="D176" s="60" t="s">
        <v>92</v>
      </c>
      <c r="E176" s="69">
        <v>650000</v>
      </c>
    </row>
    <row r="177" spans="1:5">
      <c r="A177" s="58" t="s">
        <v>259</v>
      </c>
      <c r="B177" s="58" t="s">
        <v>77</v>
      </c>
      <c r="C177" s="58" t="s">
        <v>172</v>
      </c>
      <c r="D177" s="58" t="s">
        <v>273</v>
      </c>
      <c r="E177" s="68">
        <v>600000</v>
      </c>
    </row>
    <row r="178" spans="1:5">
      <c r="A178" s="60" t="s">
        <v>252</v>
      </c>
      <c r="B178" s="60" t="s">
        <v>124</v>
      </c>
      <c r="C178" s="60" t="s">
        <v>172</v>
      </c>
      <c r="D178" s="60" t="s">
        <v>120</v>
      </c>
      <c r="E178" s="69">
        <v>586638</v>
      </c>
    </row>
    <row r="179" spans="1:5">
      <c r="A179" s="58" t="s">
        <v>260</v>
      </c>
      <c r="B179" s="58" t="s">
        <v>77</v>
      </c>
      <c r="C179" s="58" t="s">
        <v>172</v>
      </c>
      <c r="D179" s="58" t="s">
        <v>273</v>
      </c>
      <c r="E179" s="68">
        <v>572280</v>
      </c>
    </row>
    <row r="180" spans="1:5">
      <c r="A180" s="60" t="s">
        <v>233</v>
      </c>
      <c r="B180" s="60" t="s">
        <v>124</v>
      </c>
      <c r="C180" s="60" t="s">
        <v>172</v>
      </c>
      <c r="D180" s="60" t="s">
        <v>120</v>
      </c>
      <c r="E180" s="69">
        <v>540084</v>
      </c>
    </row>
    <row r="181" spans="1:5">
      <c r="A181" s="58" t="s">
        <v>232</v>
      </c>
      <c r="B181" s="58" t="s">
        <v>135</v>
      </c>
      <c r="C181" s="58" t="s">
        <v>172</v>
      </c>
      <c r="D181" s="58" t="s">
        <v>134</v>
      </c>
      <c r="E181" s="68">
        <v>537957.47002011631</v>
      </c>
    </row>
    <row r="182" spans="1:5">
      <c r="A182" s="60" t="s">
        <v>261</v>
      </c>
      <c r="B182" s="60" t="s">
        <v>77</v>
      </c>
      <c r="C182" s="60" t="s">
        <v>172</v>
      </c>
      <c r="D182" s="60" t="s">
        <v>273</v>
      </c>
      <c r="E182" s="69">
        <v>508865</v>
      </c>
    </row>
    <row r="183" spans="1:5">
      <c r="A183" s="58" t="s">
        <v>310</v>
      </c>
      <c r="B183" s="58" t="s">
        <v>97</v>
      </c>
      <c r="C183" s="58" t="s">
        <v>172</v>
      </c>
      <c r="D183" s="58" t="s">
        <v>92</v>
      </c>
      <c r="E183" s="68">
        <v>505260</v>
      </c>
    </row>
    <row r="184" spans="1:5">
      <c r="A184" s="60" t="s">
        <v>262</v>
      </c>
      <c r="B184" s="60" t="s">
        <v>107</v>
      </c>
      <c r="C184" s="60" t="s">
        <v>172</v>
      </c>
      <c r="D184" s="60" t="s">
        <v>103</v>
      </c>
      <c r="E184" s="69">
        <v>500000</v>
      </c>
    </row>
    <row r="185" spans="1:5">
      <c r="A185" s="58" t="s">
        <v>192</v>
      </c>
      <c r="B185" s="58" t="s">
        <v>111</v>
      </c>
      <c r="C185" s="58" t="s">
        <v>172</v>
      </c>
      <c r="D185" s="58" t="s">
        <v>103</v>
      </c>
      <c r="E185" s="68">
        <v>488875</v>
      </c>
    </row>
    <row r="186" spans="1:5">
      <c r="A186" s="60" t="s">
        <v>236</v>
      </c>
      <c r="B186" s="60" t="s">
        <v>135</v>
      </c>
      <c r="C186" s="60" t="s">
        <v>172</v>
      </c>
      <c r="D186" s="60" t="s">
        <v>134</v>
      </c>
      <c r="E186" s="69">
        <v>472236.99909932539</v>
      </c>
    </row>
    <row r="187" spans="1:5">
      <c r="A187" s="58" t="s">
        <v>248</v>
      </c>
      <c r="B187" s="58" t="s">
        <v>107</v>
      </c>
      <c r="C187" s="58" t="s">
        <v>172</v>
      </c>
      <c r="D187" s="58" t="s">
        <v>103</v>
      </c>
      <c r="E187" s="68">
        <v>465151</v>
      </c>
    </row>
    <row r="188" spans="1:5">
      <c r="A188" s="60" t="s">
        <v>230</v>
      </c>
      <c r="B188" s="60" t="s">
        <v>107</v>
      </c>
      <c r="C188" s="60" t="s">
        <v>172</v>
      </c>
      <c r="D188" s="60" t="s">
        <v>103</v>
      </c>
      <c r="E188" s="69">
        <v>461362</v>
      </c>
    </row>
    <row r="189" spans="1:5">
      <c r="A189" s="58" t="s">
        <v>188</v>
      </c>
      <c r="B189" s="58" t="s">
        <v>277</v>
      </c>
      <c r="C189" s="58" t="s">
        <v>172</v>
      </c>
      <c r="D189" s="58" t="s">
        <v>92</v>
      </c>
      <c r="E189" s="68">
        <v>450000</v>
      </c>
    </row>
    <row r="190" spans="1:5">
      <c r="A190" s="60" t="s">
        <v>238</v>
      </c>
      <c r="B190" s="60" t="s">
        <v>128</v>
      </c>
      <c r="C190" s="60" t="s">
        <v>172</v>
      </c>
      <c r="D190" s="60" t="s">
        <v>120</v>
      </c>
      <c r="E190" s="69">
        <v>439152</v>
      </c>
    </row>
    <row r="191" spans="1:5">
      <c r="A191" s="58" t="s">
        <v>238</v>
      </c>
      <c r="B191" s="58" t="s">
        <v>124</v>
      </c>
      <c r="C191" s="58" t="s">
        <v>172</v>
      </c>
      <c r="D191" s="58" t="s">
        <v>120</v>
      </c>
      <c r="E191" s="68">
        <v>425790</v>
      </c>
    </row>
    <row r="192" spans="1:5">
      <c r="A192" s="60" t="s">
        <v>252</v>
      </c>
      <c r="B192" s="60" t="s">
        <v>121</v>
      </c>
      <c r="C192" s="60" t="s">
        <v>172</v>
      </c>
      <c r="D192" s="60" t="s">
        <v>120</v>
      </c>
      <c r="E192" s="69">
        <v>407724</v>
      </c>
    </row>
    <row r="193" spans="1:5">
      <c r="A193" s="58" t="s">
        <v>241</v>
      </c>
      <c r="B193" s="58" t="s">
        <v>124</v>
      </c>
      <c r="C193" s="58" t="s">
        <v>172</v>
      </c>
      <c r="D193" s="58" t="s">
        <v>120</v>
      </c>
      <c r="E193" s="68">
        <v>402753</v>
      </c>
    </row>
    <row r="194" spans="1:5">
      <c r="A194" s="60" t="s">
        <v>263</v>
      </c>
      <c r="B194" s="60" t="s">
        <v>275</v>
      </c>
      <c r="C194" s="60" t="s">
        <v>173</v>
      </c>
      <c r="D194" s="60" t="s">
        <v>92</v>
      </c>
      <c r="E194" s="69">
        <v>402000</v>
      </c>
    </row>
    <row r="195" spans="1:5">
      <c r="A195" s="58" t="s">
        <v>264</v>
      </c>
      <c r="B195" s="58" t="s">
        <v>77</v>
      </c>
      <c r="C195" s="58" t="s">
        <v>172</v>
      </c>
      <c r="D195" s="58" t="s">
        <v>273</v>
      </c>
      <c r="E195" s="68">
        <v>390000</v>
      </c>
    </row>
    <row r="196" spans="1:5">
      <c r="A196" s="60" t="s">
        <v>265</v>
      </c>
      <c r="B196" s="60" t="s">
        <v>111</v>
      </c>
      <c r="C196" s="60" t="s">
        <v>172</v>
      </c>
      <c r="D196" s="60" t="s">
        <v>103</v>
      </c>
      <c r="E196" s="69">
        <v>389026</v>
      </c>
    </row>
    <row r="197" spans="1:5">
      <c r="A197" s="58" t="s">
        <v>242</v>
      </c>
      <c r="B197" s="58" t="s">
        <v>135</v>
      </c>
      <c r="C197" s="58" t="s">
        <v>172</v>
      </c>
      <c r="D197" s="58" t="s">
        <v>134</v>
      </c>
      <c r="E197" s="68">
        <v>375046.01618235791</v>
      </c>
    </row>
    <row r="198" spans="1:5">
      <c r="A198" s="60" t="s">
        <v>216</v>
      </c>
      <c r="B198" s="60" t="s">
        <v>138</v>
      </c>
      <c r="C198" s="60" t="s">
        <v>172</v>
      </c>
      <c r="D198" s="60" t="s">
        <v>137</v>
      </c>
      <c r="E198" s="69">
        <v>347669</v>
      </c>
    </row>
    <row r="199" spans="1:5">
      <c r="A199" s="58" t="s">
        <v>266</v>
      </c>
      <c r="B199" s="58" t="s">
        <v>77</v>
      </c>
      <c r="C199" s="58" t="s">
        <v>172</v>
      </c>
      <c r="D199" s="58" t="s">
        <v>273</v>
      </c>
      <c r="E199" s="68">
        <v>323000</v>
      </c>
    </row>
    <row r="200" spans="1:5">
      <c r="A200" s="60" t="s">
        <v>244</v>
      </c>
      <c r="B200" s="60" t="s">
        <v>107</v>
      </c>
      <c r="C200" s="60" t="s">
        <v>172</v>
      </c>
      <c r="D200" s="60" t="s">
        <v>103</v>
      </c>
      <c r="E200" s="69">
        <v>313797</v>
      </c>
    </row>
    <row r="201" spans="1:5">
      <c r="A201" s="58" t="s">
        <v>311</v>
      </c>
      <c r="B201" s="58" t="s">
        <v>126</v>
      </c>
      <c r="C201" s="58" t="s">
        <v>172</v>
      </c>
      <c r="D201" s="58" t="s">
        <v>120</v>
      </c>
      <c r="E201" s="68">
        <v>241392</v>
      </c>
    </row>
    <row r="202" spans="1:5">
      <c r="A202" s="60" t="s">
        <v>233</v>
      </c>
      <c r="B202" s="60" t="s">
        <v>128</v>
      </c>
      <c r="C202" s="60" t="s">
        <v>172</v>
      </c>
      <c r="D202" s="60" t="s">
        <v>120</v>
      </c>
      <c r="E202" s="69">
        <v>216030</v>
      </c>
    </row>
    <row r="203" spans="1:5">
      <c r="A203" s="58" t="s">
        <v>267</v>
      </c>
      <c r="B203" s="58" t="s">
        <v>77</v>
      </c>
      <c r="C203" s="58" t="s">
        <v>172</v>
      </c>
      <c r="D203" s="58" t="s">
        <v>273</v>
      </c>
      <c r="E203" s="68">
        <v>200000</v>
      </c>
    </row>
    <row r="204" spans="1:5">
      <c r="A204" s="60" t="s">
        <v>312</v>
      </c>
      <c r="B204" s="60" t="s">
        <v>140</v>
      </c>
      <c r="C204" s="60" t="s">
        <v>172</v>
      </c>
      <c r="D204" s="60" t="s">
        <v>139</v>
      </c>
      <c r="E204" s="69">
        <v>171749</v>
      </c>
    </row>
    <row r="205" spans="1:5">
      <c r="A205" s="58" t="s">
        <v>241</v>
      </c>
      <c r="B205" s="58" t="s">
        <v>128</v>
      </c>
      <c r="C205" s="58" t="s">
        <v>172</v>
      </c>
      <c r="D205" s="58" t="s">
        <v>120</v>
      </c>
      <c r="E205" s="68">
        <v>161101</v>
      </c>
    </row>
    <row r="206" spans="1:5">
      <c r="A206" s="60" t="s">
        <v>235</v>
      </c>
      <c r="B206" s="60" t="s">
        <v>111</v>
      </c>
      <c r="C206" s="60" t="s">
        <v>172</v>
      </c>
      <c r="D206" s="60" t="s">
        <v>103</v>
      </c>
      <c r="E206" s="69">
        <v>157800</v>
      </c>
    </row>
    <row r="207" spans="1:5">
      <c r="A207" s="58" t="s">
        <v>246</v>
      </c>
      <c r="B207" s="58" t="s">
        <v>275</v>
      </c>
      <c r="C207" s="58" t="s">
        <v>172</v>
      </c>
      <c r="D207" s="58" t="s">
        <v>92</v>
      </c>
      <c r="E207" s="68">
        <v>150000</v>
      </c>
    </row>
    <row r="208" spans="1:5">
      <c r="A208" s="60" t="s">
        <v>268</v>
      </c>
      <c r="B208" s="60" t="s">
        <v>111</v>
      </c>
      <c r="C208" s="60" t="s">
        <v>172</v>
      </c>
      <c r="D208" s="60" t="s">
        <v>103</v>
      </c>
      <c r="E208" s="69">
        <v>110000</v>
      </c>
    </row>
    <row r="209" spans="1:5">
      <c r="A209" s="58" t="s">
        <v>233</v>
      </c>
      <c r="B209" s="58" t="s">
        <v>123</v>
      </c>
      <c r="C209" s="58" t="s">
        <v>172</v>
      </c>
      <c r="D209" s="58" t="s">
        <v>120</v>
      </c>
      <c r="E209" s="68">
        <v>108018</v>
      </c>
    </row>
    <row r="210" spans="1:5">
      <c r="A210" s="60" t="s">
        <v>233</v>
      </c>
      <c r="B210" s="60" t="s">
        <v>122</v>
      </c>
      <c r="C210" s="60" t="s">
        <v>172</v>
      </c>
      <c r="D210" s="60" t="s">
        <v>120</v>
      </c>
      <c r="E210" s="69">
        <v>86412</v>
      </c>
    </row>
    <row r="211" spans="1:5">
      <c r="A211" s="58" t="s">
        <v>241</v>
      </c>
      <c r="B211" s="58" t="s">
        <v>123</v>
      </c>
      <c r="C211" s="58" t="s">
        <v>172</v>
      </c>
      <c r="D211" s="58" t="s">
        <v>120</v>
      </c>
      <c r="E211" s="68">
        <v>80551</v>
      </c>
    </row>
    <row r="212" spans="1:5">
      <c r="A212" s="60" t="s">
        <v>252</v>
      </c>
      <c r="B212" s="60" t="s">
        <v>128</v>
      </c>
      <c r="C212" s="60" t="s">
        <v>172</v>
      </c>
      <c r="D212" s="60" t="s">
        <v>120</v>
      </c>
      <c r="E212" s="69">
        <v>73326</v>
      </c>
    </row>
    <row r="213" spans="1:5">
      <c r="A213" s="58" t="s">
        <v>251</v>
      </c>
      <c r="B213" s="58" t="s">
        <v>105</v>
      </c>
      <c r="C213" s="58" t="s">
        <v>172</v>
      </c>
      <c r="D213" s="58" t="s">
        <v>103</v>
      </c>
      <c r="E213" s="68">
        <v>69459</v>
      </c>
    </row>
    <row r="214" spans="1:5">
      <c r="A214" s="60" t="s">
        <v>241</v>
      </c>
      <c r="B214" s="60" t="s">
        <v>122</v>
      </c>
      <c r="C214" s="60" t="s">
        <v>172</v>
      </c>
      <c r="D214" s="60" t="s">
        <v>120</v>
      </c>
      <c r="E214" s="69">
        <v>64441</v>
      </c>
    </row>
    <row r="215" spans="1:5">
      <c r="A215" s="58" t="s">
        <v>248</v>
      </c>
      <c r="B215" s="58" t="s">
        <v>111</v>
      </c>
      <c r="C215" s="58" t="s">
        <v>172</v>
      </c>
      <c r="D215" s="58" t="s">
        <v>103</v>
      </c>
      <c r="E215" s="68">
        <v>60539</v>
      </c>
    </row>
    <row r="216" spans="1:5">
      <c r="A216" s="60" t="s">
        <v>223</v>
      </c>
      <c r="B216" s="60" t="s">
        <v>138</v>
      </c>
      <c r="C216" s="60" t="s">
        <v>172</v>
      </c>
      <c r="D216" s="60" t="s">
        <v>137</v>
      </c>
      <c r="E216" s="69">
        <v>60480</v>
      </c>
    </row>
    <row r="217" spans="1:5">
      <c r="A217" s="58" t="s">
        <v>268</v>
      </c>
      <c r="B217" s="58" t="s">
        <v>105</v>
      </c>
      <c r="C217" s="58" t="s">
        <v>172</v>
      </c>
      <c r="D217" s="58" t="s">
        <v>103</v>
      </c>
      <c r="E217" s="68">
        <v>59180</v>
      </c>
    </row>
    <row r="218" spans="1:5">
      <c r="A218" s="60" t="s">
        <v>233</v>
      </c>
      <c r="B218" s="60" t="s">
        <v>125</v>
      </c>
      <c r="C218" s="60" t="s">
        <v>172</v>
      </c>
      <c r="D218" s="60" t="s">
        <v>120</v>
      </c>
      <c r="E218" s="69">
        <v>54006</v>
      </c>
    </row>
    <row r="219" spans="1:5">
      <c r="A219" s="58" t="s">
        <v>234</v>
      </c>
      <c r="B219" s="58" t="s">
        <v>111</v>
      </c>
      <c r="C219" s="58" t="s">
        <v>172</v>
      </c>
      <c r="D219" s="58" t="s">
        <v>103</v>
      </c>
      <c r="E219" s="68">
        <v>42104</v>
      </c>
    </row>
    <row r="220" spans="1:5">
      <c r="A220" s="60" t="s">
        <v>241</v>
      </c>
      <c r="B220" s="60" t="s">
        <v>125</v>
      </c>
      <c r="C220" s="60" t="s">
        <v>172</v>
      </c>
      <c r="D220" s="60" t="s">
        <v>120</v>
      </c>
      <c r="E220" s="69">
        <v>40275</v>
      </c>
    </row>
    <row r="221" spans="1:5">
      <c r="A221" s="58" t="s">
        <v>241</v>
      </c>
      <c r="B221" s="58" t="s">
        <v>126</v>
      </c>
      <c r="C221" s="58" t="s">
        <v>172</v>
      </c>
      <c r="D221" s="58" t="s">
        <v>120</v>
      </c>
      <c r="E221" s="68">
        <v>32220</v>
      </c>
    </row>
    <row r="222" spans="1:5">
      <c r="A222" s="60" t="s">
        <v>252</v>
      </c>
      <c r="B222" s="60" t="s">
        <v>123</v>
      </c>
      <c r="C222" s="60" t="s">
        <v>172</v>
      </c>
      <c r="D222" s="60" t="s">
        <v>120</v>
      </c>
      <c r="E222" s="69">
        <v>29334</v>
      </c>
    </row>
    <row r="223" spans="1:5">
      <c r="A223" s="58" t="s">
        <v>251</v>
      </c>
      <c r="B223" s="58" t="s">
        <v>275</v>
      </c>
      <c r="C223" s="58" t="s">
        <v>172</v>
      </c>
      <c r="D223" s="58" t="s">
        <v>103</v>
      </c>
      <c r="E223" s="68">
        <v>25000</v>
      </c>
    </row>
    <row r="224" spans="1:5">
      <c r="A224" s="60" t="s">
        <v>252</v>
      </c>
      <c r="B224" s="60" t="s">
        <v>122</v>
      </c>
      <c r="C224" s="60" t="s">
        <v>172</v>
      </c>
      <c r="D224" s="60" t="s">
        <v>120</v>
      </c>
      <c r="E224" s="69">
        <v>23466</v>
      </c>
    </row>
    <row r="225" spans="1:5">
      <c r="A225" s="58" t="s">
        <v>252</v>
      </c>
      <c r="B225" s="58" t="s">
        <v>126</v>
      </c>
      <c r="C225" s="58" t="s">
        <v>172</v>
      </c>
      <c r="D225" s="58" t="s">
        <v>120</v>
      </c>
      <c r="E225" s="68">
        <v>12936</v>
      </c>
    </row>
  </sheetData>
  <hyperlinks>
    <hyperlink ref="A1" location="Sommaire!A1" display="Sommaire!A1" xr:uid="{6AE3E8EA-B881-47EF-90E8-5AD6DE39DF7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11C-CDD2-444F-B65D-12CB2966DF55}">
  <dimension ref="A1:F71"/>
  <sheetViews>
    <sheetView tabSelected="1" zoomScale="63" zoomScaleNormal="63" workbookViewId="0">
      <selection activeCell="C11" sqref="C11"/>
    </sheetView>
  </sheetViews>
  <sheetFormatPr baseColWidth="10" defaultColWidth="10.90625" defaultRowHeight="12.5"/>
  <cols>
    <col min="1" max="1" width="2.7265625" style="70" bestFit="1" customWidth="1"/>
    <col min="2" max="2" width="7.26953125" style="73" customWidth="1"/>
    <col min="3" max="3" width="70.90625" style="103" bestFit="1" customWidth="1"/>
    <col min="4" max="6" width="13.453125" style="72" customWidth="1"/>
    <col min="7" max="16384" width="10.90625" style="72"/>
  </cols>
  <sheetData>
    <row r="1" spans="1:6" ht="14.5">
      <c r="B1" s="38" t="s">
        <v>0</v>
      </c>
      <c r="C1" s="71"/>
    </row>
    <row r="2" spans="1:6" ht="18.5">
      <c r="B2" s="62" t="s">
        <v>318</v>
      </c>
      <c r="C2" s="71"/>
    </row>
    <row r="3" spans="1:6" ht="13">
      <c r="C3" s="71"/>
    </row>
    <row r="4" spans="1:6" ht="26.5" thickBot="1">
      <c r="B4" s="74" t="s">
        <v>64</v>
      </c>
      <c r="C4" s="75" t="s">
        <v>65</v>
      </c>
      <c r="D4" s="75" t="s">
        <v>319</v>
      </c>
      <c r="E4" s="75" t="s">
        <v>320</v>
      </c>
      <c r="F4" s="75" t="s">
        <v>321</v>
      </c>
    </row>
    <row r="5" spans="1:6" ht="14" thickTop="1" thickBot="1">
      <c r="B5" s="76" t="s">
        <v>72</v>
      </c>
      <c r="C5" s="77"/>
      <c r="D5" s="77"/>
      <c r="E5" s="77"/>
      <c r="F5" s="77"/>
    </row>
    <row r="6" spans="1:6" ht="13" thickTop="1">
      <c r="B6" s="78">
        <v>1</v>
      </c>
      <c r="C6" s="79" t="s">
        <v>73</v>
      </c>
      <c r="D6" s="79"/>
      <c r="E6" s="79"/>
      <c r="F6" s="80"/>
    </row>
    <row r="7" spans="1:6" ht="13" thickBot="1">
      <c r="B7" s="81">
        <v>2</v>
      </c>
      <c r="C7" s="82" t="s">
        <v>74</v>
      </c>
      <c r="D7" s="82"/>
      <c r="E7" s="82"/>
      <c r="F7" s="83"/>
    </row>
    <row r="8" spans="1:6" ht="14" thickTop="1" thickBot="1">
      <c r="B8" s="76" t="s">
        <v>75</v>
      </c>
      <c r="C8" s="77"/>
      <c r="D8" s="77"/>
      <c r="E8" s="77"/>
      <c r="F8" s="77"/>
    </row>
    <row r="9" spans="1:6" ht="13" thickTop="1">
      <c r="A9" s="84">
        <v>3</v>
      </c>
      <c r="B9" s="78">
        <v>3</v>
      </c>
      <c r="C9" s="79" t="s">
        <v>77</v>
      </c>
      <c r="D9" s="79" t="s">
        <v>76</v>
      </c>
      <c r="E9" s="79"/>
      <c r="F9" s="80"/>
    </row>
    <row r="10" spans="1:6">
      <c r="A10" s="84">
        <v>4</v>
      </c>
      <c r="B10" s="85">
        <v>4</v>
      </c>
      <c r="C10" s="70" t="s">
        <v>78</v>
      </c>
      <c r="D10" s="70" t="s">
        <v>76</v>
      </c>
      <c r="E10" s="70"/>
      <c r="F10" s="86"/>
    </row>
    <row r="11" spans="1:6">
      <c r="A11" s="84">
        <v>5</v>
      </c>
      <c r="B11" s="87">
        <v>5</v>
      </c>
      <c r="C11" s="88" t="s">
        <v>79</v>
      </c>
      <c r="D11" s="88" t="s">
        <v>76</v>
      </c>
      <c r="E11" s="88"/>
      <c r="F11" s="89"/>
    </row>
    <row r="12" spans="1:6">
      <c r="A12" s="84">
        <v>6</v>
      </c>
      <c r="B12" s="85">
        <v>6</v>
      </c>
      <c r="C12" s="70" t="s">
        <v>80</v>
      </c>
      <c r="D12" s="70" t="s">
        <v>76</v>
      </c>
      <c r="E12" s="70"/>
      <c r="F12" s="86"/>
    </row>
    <row r="13" spans="1:6" ht="13" thickBot="1">
      <c r="A13" s="84">
        <v>7</v>
      </c>
      <c r="B13" s="90">
        <v>7</v>
      </c>
      <c r="C13" s="91" t="s">
        <v>81</v>
      </c>
      <c r="D13" s="91" t="s">
        <v>76</v>
      </c>
      <c r="E13" s="91"/>
      <c r="F13" s="92"/>
    </row>
    <row r="14" spans="1:6" ht="13" thickTop="1">
      <c r="A14" s="84">
        <v>8</v>
      </c>
      <c r="B14" s="93">
        <v>8</v>
      </c>
      <c r="C14" s="94" t="s">
        <v>83</v>
      </c>
      <c r="D14" s="94" t="s">
        <v>82</v>
      </c>
      <c r="E14" s="94"/>
      <c r="F14" s="95"/>
    </row>
    <row r="15" spans="1:6">
      <c r="A15" s="84">
        <v>9</v>
      </c>
      <c r="B15" s="87">
        <v>9</v>
      </c>
      <c r="C15" s="88" t="s">
        <v>84</v>
      </c>
      <c r="D15" s="88" t="s">
        <v>82</v>
      </c>
      <c r="E15" s="88"/>
      <c r="F15" s="89"/>
    </row>
    <row r="16" spans="1:6">
      <c r="A16" s="84"/>
      <c r="B16" s="85">
        <v>10</v>
      </c>
      <c r="C16" s="70" t="s">
        <v>85</v>
      </c>
      <c r="D16" s="70" t="s">
        <v>82</v>
      </c>
      <c r="E16" s="70"/>
      <c r="F16" s="86"/>
    </row>
    <row r="17" spans="1:6">
      <c r="A17" s="84">
        <v>11</v>
      </c>
      <c r="B17" s="87">
        <v>11</v>
      </c>
      <c r="C17" s="88" t="s">
        <v>86</v>
      </c>
      <c r="D17" s="88" t="s">
        <v>82</v>
      </c>
      <c r="E17" s="88"/>
      <c r="F17" s="89"/>
    </row>
    <row r="18" spans="1:6">
      <c r="A18" s="84">
        <v>12</v>
      </c>
      <c r="B18" s="85">
        <v>12</v>
      </c>
      <c r="C18" s="70" t="s">
        <v>87</v>
      </c>
      <c r="D18" s="70" t="s">
        <v>82</v>
      </c>
      <c r="E18" s="70"/>
      <c r="F18" s="86"/>
    </row>
    <row r="19" spans="1:6">
      <c r="A19" s="84">
        <v>13</v>
      </c>
      <c r="B19" s="87">
        <v>13</v>
      </c>
      <c r="C19" s="88" t="s">
        <v>88</v>
      </c>
      <c r="D19" s="88" t="s">
        <v>82</v>
      </c>
      <c r="E19" s="88"/>
      <c r="F19" s="89"/>
    </row>
    <row r="20" spans="1:6">
      <c r="A20" s="84">
        <v>14</v>
      </c>
      <c r="B20" s="85">
        <v>14</v>
      </c>
      <c r="C20" s="70" t="s">
        <v>89</v>
      </c>
      <c r="D20" s="70" t="s">
        <v>82</v>
      </c>
      <c r="E20" s="70"/>
      <c r="F20" s="86"/>
    </row>
    <row r="21" spans="1:6">
      <c r="A21" s="84">
        <v>15</v>
      </c>
      <c r="B21" s="87">
        <v>15</v>
      </c>
      <c r="C21" s="88" t="s">
        <v>90</v>
      </c>
      <c r="D21" s="88" t="s">
        <v>82</v>
      </c>
      <c r="E21" s="88"/>
      <c r="F21" s="89"/>
    </row>
    <row r="22" spans="1:6" ht="13" thickBot="1">
      <c r="A22" s="84">
        <v>16</v>
      </c>
      <c r="B22" s="81">
        <v>16</v>
      </c>
      <c r="C22" s="82" t="s">
        <v>91</v>
      </c>
      <c r="D22" s="82" t="s">
        <v>82</v>
      </c>
      <c r="E22" s="82"/>
      <c r="F22" s="83"/>
    </row>
    <row r="23" spans="1:6" ht="13" thickTop="1">
      <c r="A23" s="84">
        <v>17</v>
      </c>
      <c r="B23" s="78">
        <v>17</v>
      </c>
      <c r="C23" s="79" t="s">
        <v>93</v>
      </c>
      <c r="D23" s="79" t="s">
        <v>92</v>
      </c>
      <c r="E23" s="79"/>
      <c r="F23" s="80"/>
    </row>
    <row r="24" spans="1:6">
      <c r="A24" s="84">
        <v>18</v>
      </c>
      <c r="B24" s="85">
        <v>18</v>
      </c>
      <c r="C24" s="70" t="s">
        <v>94</v>
      </c>
      <c r="D24" s="70" t="s">
        <v>92</v>
      </c>
      <c r="E24" s="70"/>
      <c r="F24" s="86"/>
    </row>
    <row r="25" spans="1:6">
      <c r="A25" s="84">
        <v>19</v>
      </c>
      <c r="B25" s="87">
        <v>19</v>
      </c>
      <c r="C25" s="88" t="s">
        <v>95</v>
      </c>
      <c r="D25" s="88" t="s">
        <v>92</v>
      </c>
      <c r="E25" s="88"/>
      <c r="F25" s="89"/>
    </row>
    <row r="26" spans="1:6">
      <c r="A26" s="84">
        <v>20</v>
      </c>
      <c r="B26" s="85">
        <v>20</v>
      </c>
      <c r="C26" s="70" t="s">
        <v>96</v>
      </c>
      <c r="D26" s="70" t="s">
        <v>92</v>
      </c>
      <c r="E26" s="70"/>
      <c r="F26" s="86"/>
    </row>
    <row r="27" spans="1:6">
      <c r="A27" s="84">
        <v>21</v>
      </c>
      <c r="B27" s="87">
        <v>21</v>
      </c>
      <c r="C27" s="88" t="s">
        <v>97</v>
      </c>
      <c r="D27" s="88" t="s">
        <v>92</v>
      </c>
      <c r="E27" s="88"/>
      <c r="F27" s="89"/>
    </row>
    <row r="28" spans="1:6">
      <c r="A28" s="84">
        <v>22</v>
      </c>
      <c r="B28" s="85">
        <v>22</v>
      </c>
      <c r="C28" s="70" t="s">
        <v>98</v>
      </c>
      <c r="D28" s="70" t="s">
        <v>92</v>
      </c>
      <c r="E28" s="70"/>
      <c r="F28" s="86"/>
    </row>
    <row r="29" spans="1:6">
      <c r="A29" s="84">
        <v>23</v>
      </c>
      <c r="B29" s="87">
        <v>23</v>
      </c>
      <c r="C29" s="88" t="s">
        <v>99</v>
      </c>
      <c r="D29" s="88" t="s">
        <v>92</v>
      </c>
      <c r="E29" s="88"/>
      <c r="F29" s="89"/>
    </row>
    <row r="30" spans="1:6">
      <c r="A30" s="84">
        <v>24</v>
      </c>
      <c r="B30" s="85">
        <v>24</v>
      </c>
      <c r="C30" s="70" t="s">
        <v>100</v>
      </c>
      <c r="D30" s="70" t="s">
        <v>92</v>
      </c>
      <c r="E30" s="70"/>
      <c r="F30" s="86"/>
    </row>
    <row r="31" spans="1:6" s="96" customFormat="1">
      <c r="A31" s="84">
        <v>25</v>
      </c>
      <c r="B31" s="87">
        <v>25</v>
      </c>
      <c r="C31" s="88" t="s">
        <v>101</v>
      </c>
      <c r="D31" s="88" t="s">
        <v>92</v>
      </c>
      <c r="E31" s="88"/>
      <c r="F31" s="89"/>
    </row>
    <row r="32" spans="1:6" ht="13" thickBot="1">
      <c r="A32" s="84">
        <v>26</v>
      </c>
      <c r="B32" s="81">
        <v>26</v>
      </c>
      <c r="C32" s="82" t="s">
        <v>102</v>
      </c>
      <c r="D32" s="82" t="s">
        <v>92</v>
      </c>
      <c r="E32" s="82"/>
      <c r="F32" s="83"/>
    </row>
    <row r="33" spans="1:6" ht="13" thickTop="1">
      <c r="A33" s="84">
        <v>27</v>
      </c>
      <c r="B33" s="78">
        <v>27</v>
      </c>
      <c r="C33" s="79" t="s">
        <v>104</v>
      </c>
      <c r="D33" s="79" t="s">
        <v>103</v>
      </c>
      <c r="E33" s="79"/>
      <c r="F33" s="80"/>
    </row>
    <row r="34" spans="1:6">
      <c r="A34" s="84">
        <v>28</v>
      </c>
      <c r="B34" s="85">
        <v>28</v>
      </c>
      <c r="C34" s="70" t="s">
        <v>105</v>
      </c>
      <c r="D34" s="70" t="s">
        <v>103</v>
      </c>
      <c r="E34" s="70"/>
      <c r="F34" s="86"/>
    </row>
    <row r="35" spans="1:6">
      <c r="A35" s="84">
        <v>29</v>
      </c>
      <c r="B35" s="87">
        <v>29</v>
      </c>
      <c r="C35" s="88" t="s">
        <v>106</v>
      </c>
      <c r="D35" s="88" t="s">
        <v>103</v>
      </c>
      <c r="E35" s="88"/>
      <c r="F35" s="89"/>
    </row>
    <row r="36" spans="1:6">
      <c r="A36" s="84">
        <v>30</v>
      </c>
      <c r="B36" s="85">
        <v>30</v>
      </c>
      <c r="C36" s="70" t="s">
        <v>107</v>
      </c>
      <c r="D36" s="70" t="s">
        <v>103</v>
      </c>
      <c r="E36" s="70"/>
      <c r="F36" s="86"/>
    </row>
    <row r="37" spans="1:6">
      <c r="A37" s="84">
        <v>31</v>
      </c>
      <c r="B37" s="87">
        <v>31</v>
      </c>
      <c r="C37" s="88" t="s">
        <v>108</v>
      </c>
      <c r="D37" s="88" t="s">
        <v>103</v>
      </c>
      <c r="E37" s="88"/>
      <c r="F37" s="89"/>
    </row>
    <row r="38" spans="1:6">
      <c r="A38" s="84">
        <v>32</v>
      </c>
      <c r="B38" s="85">
        <v>32</v>
      </c>
      <c r="C38" s="70" t="s">
        <v>109</v>
      </c>
      <c r="D38" s="70" t="s">
        <v>103</v>
      </c>
      <c r="E38" s="70"/>
      <c r="F38" s="86"/>
    </row>
    <row r="39" spans="1:6">
      <c r="A39" s="84">
        <v>33</v>
      </c>
      <c r="B39" s="87">
        <v>33</v>
      </c>
      <c r="C39" s="88" t="s">
        <v>110</v>
      </c>
      <c r="D39" s="88" t="s">
        <v>103</v>
      </c>
      <c r="E39" s="88"/>
      <c r="F39" s="89"/>
    </row>
    <row r="40" spans="1:6">
      <c r="A40" s="84">
        <v>34</v>
      </c>
      <c r="B40" s="85">
        <v>34</v>
      </c>
      <c r="C40" s="70" t="s">
        <v>111</v>
      </c>
      <c r="D40" s="70" t="s">
        <v>103</v>
      </c>
      <c r="E40" s="70"/>
      <c r="F40" s="86"/>
    </row>
    <row r="41" spans="1:6">
      <c r="A41" s="84">
        <v>35</v>
      </c>
      <c r="B41" s="87">
        <v>35</v>
      </c>
      <c r="C41" s="88" t="s">
        <v>112</v>
      </c>
      <c r="D41" s="88" t="s">
        <v>103</v>
      </c>
      <c r="E41" s="88"/>
      <c r="F41" s="89"/>
    </row>
    <row r="42" spans="1:6">
      <c r="A42" s="84">
        <v>36</v>
      </c>
      <c r="B42" s="85">
        <v>36</v>
      </c>
      <c r="C42" s="70" t="s">
        <v>113</v>
      </c>
      <c r="D42" s="70" t="s">
        <v>103</v>
      </c>
      <c r="E42" s="70"/>
      <c r="F42" s="86"/>
    </row>
    <row r="43" spans="1:6">
      <c r="A43" s="84">
        <v>37</v>
      </c>
      <c r="B43" s="87">
        <v>37</v>
      </c>
      <c r="C43" s="88" t="s">
        <v>114</v>
      </c>
      <c r="D43" s="88" t="s">
        <v>103</v>
      </c>
      <c r="E43" s="88"/>
      <c r="F43" s="89"/>
    </row>
    <row r="44" spans="1:6">
      <c r="A44" s="84">
        <v>38</v>
      </c>
      <c r="B44" s="85">
        <v>38</v>
      </c>
      <c r="C44" s="70" t="s">
        <v>115</v>
      </c>
      <c r="D44" s="70" t="s">
        <v>103</v>
      </c>
      <c r="E44" s="70"/>
      <c r="F44" s="86"/>
    </row>
    <row r="45" spans="1:6">
      <c r="A45" s="84">
        <v>39</v>
      </c>
      <c r="B45" s="87">
        <v>39</v>
      </c>
      <c r="C45" s="88" t="s">
        <v>116</v>
      </c>
      <c r="D45" s="88" t="s">
        <v>103</v>
      </c>
      <c r="E45" s="88"/>
      <c r="F45" s="89"/>
    </row>
    <row r="46" spans="1:6">
      <c r="A46" s="84">
        <v>40</v>
      </c>
      <c r="B46" s="85">
        <v>40</v>
      </c>
      <c r="C46" s="70" t="s">
        <v>117</v>
      </c>
      <c r="D46" s="70" t="s">
        <v>103</v>
      </c>
      <c r="E46" s="70"/>
      <c r="F46" s="86"/>
    </row>
    <row r="47" spans="1:6">
      <c r="A47" s="84">
        <v>41</v>
      </c>
      <c r="B47" s="87">
        <v>41</v>
      </c>
      <c r="C47" s="88" t="s">
        <v>118</v>
      </c>
      <c r="D47" s="88" t="s">
        <v>103</v>
      </c>
      <c r="E47" s="88"/>
      <c r="F47" s="89"/>
    </row>
    <row r="48" spans="1:6" ht="13" thickBot="1">
      <c r="A48" s="84"/>
      <c r="B48" s="81">
        <v>42</v>
      </c>
      <c r="C48" s="82" t="s">
        <v>119</v>
      </c>
      <c r="D48" s="82" t="s">
        <v>103</v>
      </c>
      <c r="E48" s="82"/>
      <c r="F48" s="83"/>
    </row>
    <row r="49" spans="1:6" ht="13" thickTop="1">
      <c r="A49" s="84">
        <v>43</v>
      </c>
      <c r="B49" s="78">
        <v>43</v>
      </c>
      <c r="C49" s="79" t="s">
        <v>121</v>
      </c>
      <c r="D49" s="79" t="s">
        <v>120</v>
      </c>
      <c r="E49" s="79"/>
      <c r="F49" s="80"/>
    </row>
    <row r="50" spans="1:6">
      <c r="A50" s="84">
        <v>44</v>
      </c>
      <c r="B50" s="85">
        <v>44</v>
      </c>
      <c r="C50" s="70" t="s">
        <v>122</v>
      </c>
      <c r="D50" s="70" t="s">
        <v>120</v>
      </c>
      <c r="E50" s="70"/>
      <c r="F50" s="86"/>
    </row>
    <row r="51" spans="1:6">
      <c r="A51" s="84"/>
      <c r="B51" s="87">
        <v>45</v>
      </c>
      <c r="C51" s="88" t="s">
        <v>123</v>
      </c>
      <c r="D51" s="88" t="s">
        <v>120</v>
      </c>
      <c r="E51" s="88"/>
      <c r="F51" s="89"/>
    </row>
    <row r="52" spans="1:6">
      <c r="A52" s="84"/>
      <c r="B52" s="85">
        <v>46</v>
      </c>
      <c r="C52" s="70" t="s">
        <v>124</v>
      </c>
      <c r="D52" s="70" t="s">
        <v>120</v>
      </c>
      <c r="E52" s="70"/>
      <c r="F52" s="86"/>
    </row>
    <row r="53" spans="1:6">
      <c r="A53" s="84"/>
      <c r="B53" s="87">
        <v>47</v>
      </c>
      <c r="C53" s="88" t="s">
        <v>125</v>
      </c>
      <c r="D53" s="88" t="s">
        <v>120</v>
      </c>
      <c r="E53" s="88"/>
      <c r="F53" s="89"/>
    </row>
    <row r="54" spans="1:6">
      <c r="A54" s="84"/>
      <c r="B54" s="85">
        <v>48</v>
      </c>
      <c r="C54" s="70" t="s">
        <v>126</v>
      </c>
      <c r="D54" s="70" t="s">
        <v>120</v>
      </c>
      <c r="E54" s="70"/>
      <c r="F54" s="86"/>
    </row>
    <row r="55" spans="1:6">
      <c r="A55" s="84"/>
      <c r="B55" s="87">
        <v>49</v>
      </c>
      <c r="C55" s="88" t="s">
        <v>127</v>
      </c>
      <c r="D55" s="88" t="s">
        <v>120</v>
      </c>
      <c r="E55" s="88"/>
      <c r="F55" s="89"/>
    </row>
    <row r="56" spans="1:6">
      <c r="A56" s="84"/>
      <c r="B56" s="85">
        <v>50</v>
      </c>
      <c r="C56" s="70" t="s">
        <v>128</v>
      </c>
      <c r="D56" s="70" t="s">
        <v>120</v>
      </c>
      <c r="E56" s="70"/>
      <c r="F56" s="86"/>
    </row>
    <row r="57" spans="1:6" ht="13" thickBot="1">
      <c r="A57" s="84"/>
      <c r="B57" s="90">
        <v>51</v>
      </c>
      <c r="C57" s="91" t="s">
        <v>129</v>
      </c>
      <c r="D57" s="91" t="s">
        <v>120</v>
      </c>
      <c r="E57" s="91"/>
      <c r="F57" s="92"/>
    </row>
    <row r="58" spans="1:6" ht="13" thickTop="1">
      <c r="A58" s="84">
        <v>52</v>
      </c>
      <c r="B58" s="93">
        <v>52</v>
      </c>
      <c r="C58" s="94" t="s">
        <v>131</v>
      </c>
      <c r="D58" s="94" t="s">
        <v>130</v>
      </c>
      <c r="E58" s="94"/>
      <c r="F58" s="95"/>
    </row>
    <row r="59" spans="1:6">
      <c r="A59" s="84">
        <v>53</v>
      </c>
      <c r="B59" s="87">
        <v>53</v>
      </c>
      <c r="C59" s="88" t="s">
        <v>132</v>
      </c>
      <c r="D59" s="88" t="s">
        <v>130</v>
      </c>
      <c r="E59" s="88"/>
      <c r="F59" s="89"/>
    </row>
    <row r="60" spans="1:6" ht="13" thickBot="1">
      <c r="A60" s="84">
        <v>54</v>
      </c>
      <c r="B60" s="81">
        <v>54</v>
      </c>
      <c r="C60" s="82" t="s">
        <v>133</v>
      </c>
      <c r="D60" s="82" t="s">
        <v>130</v>
      </c>
      <c r="E60" s="82"/>
      <c r="F60" s="83"/>
    </row>
    <row r="61" spans="1:6" ht="13" thickTop="1">
      <c r="A61" s="84"/>
      <c r="B61" s="78">
        <v>55</v>
      </c>
      <c r="C61" s="79" t="s">
        <v>135</v>
      </c>
      <c r="D61" s="79" t="s">
        <v>134</v>
      </c>
      <c r="E61" s="79"/>
      <c r="F61" s="80"/>
    </row>
    <row r="62" spans="1:6" ht="13" thickBot="1">
      <c r="A62" s="84"/>
      <c r="B62" s="81">
        <v>56</v>
      </c>
      <c r="C62" s="82" t="s">
        <v>136</v>
      </c>
      <c r="D62" s="82" t="s">
        <v>134</v>
      </c>
      <c r="E62" s="82"/>
      <c r="F62" s="83"/>
    </row>
    <row r="63" spans="1:6" ht="13.5" thickTop="1" thickBot="1">
      <c r="A63" s="84">
        <v>57</v>
      </c>
      <c r="B63" s="97">
        <v>57</v>
      </c>
      <c r="C63" s="98" t="s">
        <v>138</v>
      </c>
      <c r="D63" s="98" t="s">
        <v>137</v>
      </c>
      <c r="E63" s="98"/>
      <c r="F63" s="99"/>
    </row>
    <row r="64" spans="1:6" ht="13.5" thickTop="1" thickBot="1">
      <c r="A64" s="84">
        <v>58</v>
      </c>
      <c r="B64" s="100">
        <v>58</v>
      </c>
      <c r="C64" s="101" t="s">
        <v>140</v>
      </c>
      <c r="D64" s="101" t="s">
        <v>139</v>
      </c>
      <c r="E64" s="101"/>
      <c r="F64" s="102"/>
    </row>
    <row r="65" spans="1:6" ht="13.5" thickTop="1" thickBot="1">
      <c r="A65" s="84"/>
      <c r="B65" s="97">
        <v>59</v>
      </c>
      <c r="C65" s="98" t="s">
        <v>142</v>
      </c>
      <c r="D65" s="98" t="s">
        <v>141</v>
      </c>
      <c r="E65" s="98"/>
      <c r="F65" s="99"/>
    </row>
    <row r="66" spans="1:6" ht="13.5" thickTop="1" thickBot="1">
      <c r="A66" s="84">
        <v>60</v>
      </c>
      <c r="B66" s="100">
        <v>60</v>
      </c>
      <c r="C66" s="101" t="s">
        <v>144</v>
      </c>
      <c r="D66" s="101" t="s">
        <v>143</v>
      </c>
      <c r="E66" s="101"/>
      <c r="F66" s="102"/>
    </row>
    <row r="67" spans="1:6" ht="13.5" thickTop="1" thickBot="1">
      <c r="B67" s="97">
        <v>61</v>
      </c>
      <c r="C67" s="98" t="s">
        <v>146</v>
      </c>
      <c r="D67" s="98" t="s">
        <v>322</v>
      </c>
      <c r="E67" s="98"/>
      <c r="F67" s="99"/>
    </row>
    <row r="68" spans="1:6" ht="13" thickTop="1">
      <c r="B68" s="93">
        <v>62</v>
      </c>
      <c r="C68" s="94" t="s">
        <v>316</v>
      </c>
      <c r="D68" s="94" t="s">
        <v>322</v>
      </c>
      <c r="E68" s="94"/>
      <c r="F68" s="95"/>
    </row>
    <row r="69" spans="1:6">
      <c r="B69" s="87">
        <v>63</v>
      </c>
      <c r="C69" s="88" t="s">
        <v>315</v>
      </c>
      <c r="D69" s="88" t="s">
        <v>322</v>
      </c>
      <c r="E69" s="88"/>
      <c r="F69" s="89"/>
    </row>
    <row r="70" spans="1:6" ht="13" thickBot="1">
      <c r="B70" s="81">
        <v>64</v>
      </c>
      <c r="C70" s="82" t="s">
        <v>314</v>
      </c>
      <c r="D70" s="82" t="s">
        <v>322</v>
      </c>
      <c r="E70" s="82"/>
      <c r="F70" s="83"/>
    </row>
    <row r="71" spans="1:6" ht="13" thickTop="1"/>
  </sheetData>
  <hyperlinks>
    <hyperlink ref="B1" location="Sommaire!A1" display="Sommaire!A1" xr:uid="{0F93BAC2-6E67-428D-8AB3-1A69153B50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11</vt:lpstr>
      <vt:lpstr>11-1</vt:lpstr>
      <vt:lpstr>11-2</vt:lpstr>
      <vt:lpstr>11-3</vt:lpstr>
      <vt:lpstr>11-4</vt:lpstr>
      <vt:lpstr>11-5</vt:lpstr>
      <vt:lpstr>11-6</vt:lpstr>
      <vt:lpstr>11-7</vt:lpstr>
      <vt:lpstr>11-8</vt:lpstr>
      <vt:lpstr>11-9</vt:lpstr>
      <vt:lpstr>11-10</vt:lpstr>
      <vt:lpstr>11-11</vt:lpstr>
      <vt:lpstr>11-12</vt:lpstr>
      <vt:lpstr>11-13</vt:lpstr>
      <vt:lpstr>11-14</vt:lpstr>
      <vt:lpstr>11-15</vt:lpstr>
      <vt:lpstr>11-16</vt:lpstr>
      <vt:lpstr>11-17</vt:lpstr>
      <vt:lpstr>11-18</vt:lpstr>
      <vt:lpstr>11-19</vt:lpstr>
      <vt:lpstr>11-20</vt:lpstr>
      <vt:lpstr>11-21</vt:lpstr>
      <vt:lpstr>11-22</vt:lpstr>
      <vt:lpstr>11-23</vt:lpstr>
      <vt:lpstr>11-24</vt:lpstr>
      <vt:lpstr>11-25</vt:lpstr>
      <vt:lpstr>11-26</vt:lpstr>
      <vt:lpstr>11-27</vt:lpstr>
      <vt:lpstr>11-28</vt:lpstr>
      <vt:lpstr>11-29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2026-07-16T14:24:53Z</dcterms:created>
  <dcterms:modified xsi:type="dcterms:W3CDTF">2026-07-16T14:25:44Z</dcterms:modified>
</cp:coreProperties>
</file>