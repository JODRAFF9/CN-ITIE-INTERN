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2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md\Documents\ISE\Cours\ISE3\Stage ITIE\rapports\donnée\flux financiers\"/>
    </mc:Choice>
  </mc:AlternateContent>
  <xr:revisionPtr revIDLastSave="0" documentId="13_ncr:1_{FA843685-DA8A-47CB-9B3A-AA39CA034F71}" xr6:coauthVersionLast="47" xr6:coauthVersionMax="47" xr10:uidLastSave="{00000000-0000-0000-0000-000000000000}"/>
  <bookViews>
    <workbookView xWindow="-110" yWindow="-110" windowWidth="19420" windowHeight="10300" xr2:uid="{41815131-3BE7-4679-B53D-9F31C8CF380C}"/>
  </bookViews>
  <sheets>
    <sheet name="11" sheetId="1" r:id="rId1"/>
    <sheet name="12" sheetId="2" r:id="rId2"/>
    <sheet name="13" sheetId="3" r:id="rId3"/>
    <sheet name="14" sheetId="4" r:id="rId4"/>
    <sheet name="15" sheetId="5" r:id="rId5"/>
    <sheet name="16" sheetId="6" r:id="rId6"/>
    <sheet name="17" sheetId="7" r:id="rId7"/>
  </sheets>
  <externalReferences>
    <externalReference r:id="rId8"/>
  </externalReferences>
  <definedNames>
    <definedName name="_xlnm._FilterDatabase" localSheetId="0" hidden="1">'11'!$A$8:$M$457</definedName>
    <definedName name="_xlnm._FilterDatabase" localSheetId="1" hidden="1">'12'!$A$4:$D$114</definedName>
    <definedName name="_xlnm._FilterDatabase" localSheetId="5" hidden="1">'16'!$A$4:$E$225</definedName>
    <definedName name="_xlnm._FilterDatabase" hidden="1">#REF!</definedName>
    <definedName name="_FilterDatabase1" hidden="1">#REF!</definedName>
    <definedName name="az">#REF!</definedName>
    <definedName name="_xlnm.Database">#REF!</definedName>
    <definedName name="BATNA">#REF!</definedName>
    <definedName name="BISKRA">#REF!</definedName>
    <definedName name="Compadjust">#REF!</definedName>
    <definedName name="DATA5">#REF!</definedName>
    <definedName name="FD" hidden="1">#REF!</definedName>
    <definedName name="fdb" hidden="1">#REF!</definedName>
    <definedName name="FinalDiff">#REF!</definedName>
    <definedName name="Govadjust">#REF!</definedName>
    <definedName name="JIJEL">#REF!</definedName>
    <definedName name="KHENCHELA">#REF!</definedName>
    <definedName name="MARI">#REF!</definedName>
    <definedName name="MILA">#REF!</definedName>
    <definedName name="miseenplace03prjpilotes">#REF!</definedName>
    <definedName name="MS">#REF!</definedName>
    <definedName name="msp">#REF!</definedName>
    <definedName name="P">#REF!</definedName>
    <definedName name="po">#REF!</definedName>
    <definedName name="POP">#REF!</definedName>
    <definedName name="RECAP">#REF!</definedName>
    <definedName name="SOUKAHARS">#REF!</definedName>
    <definedName name="Taxes">#REF!</definedName>
    <definedName name="TRAVAUX01">#REF!</definedName>
    <definedName name="TRAVAUX07">#REF!</definedName>
    <definedName name="TRAVAUX08">#REF!</definedName>
    <definedName name="TRAVAUX10">#REF!</definedName>
    <definedName name="TRAVAUX11">#REF!</definedName>
    <definedName name="TRAVAUX12">#REF!</definedName>
    <definedName name="TRAVAUX13">#REF!</definedName>
    <definedName name="TRAVAUX14">#REF!</definedName>
    <definedName name="TRAVAUX15">#REF!</definedName>
    <definedName name="TRAVAUX20">#REF!</definedName>
    <definedName name="TRAVAUX21">#REF!</definedName>
    <definedName name="TRAVAUX22">#REF!</definedName>
    <definedName name="TRAVAUX25">#REF!</definedName>
    <definedName name="TRAVAUX27">#REF!</definedName>
    <definedName name="TRAVAUX28">#REF!</definedName>
    <definedName name="TRAVAUX29">#REF!</definedName>
    <definedName name="TRAVAUX31">#REF!</definedName>
    <definedName name="TRAVAUX32">#REF!</definedName>
    <definedName name="TRAVAUX33">#REF!</definedName>
    <definedName name="TRAVAUX34">#REF!</definedName>
    <definedName name="TRAVAUX35">#REF!</definedName>
    <definedName name="TRAVAUX36">#REF!</definedName>
    <definedName name="TRAVAUX38">#REF!</definedName>
    <definedName name="TRAVAUX39">#REF!</definedName>
    <definedName name="TRAVAUX40">#REF!</definedName>
    <definedName name="TRAVAUX41">#REF!</definedName>
    <definedName name="TRAVAUX42">#REF!</definedName>
    <definedName name="TRAVAUX43">#REF!</definedName>
    <definedName name="TRAVAUX44">#REF!</definedName>
    <definedName name="TRAVAUX45">#REF!</definedName>
    <definedName name="TRAVAUX47">#REF!</definedName>
    <definedName name="TRAVAUX48">#REF!</definedName>
    <definedName name="TRAVAUX49">#REF!</definedName>
    <definedName name="TRAVAUX50">#REF!</definedName>
    <definedName name="TRAVAUX51">#REF!</definedName>
    <definedName name="TRAVAUX53">#REF!</definedName>
    <definedName name="TRAVAUX58">#REF!</definedName>
    <definedName name="TRAVAUX59">#REF!</definedName>
    <definedName name="TRAVAUX67">#REF!</definedName>
    <definedName name="ZI">#REF!</definedName>
    <definedName name="_xlnm.Print_Are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4" i="6" l="1"/>
  <c r="C53" i="5"/>
  <c r="D417" i="4"/>
  <c r="D40" i="3"/>
  <c r="D395" i="2"/>
  <c r="M459" i="1"/>
  <c r="L459" i="1"/>
  <c r="K459" i="1"/>
  <c r="J459" i="1"/>
  <c r="I459" i="1"/>
  <c r="H459" i="1"/>
  <c r="G459" i="1"/>
  <c r="D6" i="1"/>
  <c r="C6" i="1"/>
  <c r="B6" i="1"/>
</calcChain>
</file>

<file path=xl/sharedStrings.xml><?xml version="1.0" encoding="utf-8"?>
<sst xmlns="http://schemas.openxmlformats.org/spreadsheetml/2006/main" count="6620" uniqueCount="533">
  <si>
    <t>Sommaire</t>
  </si>
  <si>
    <t>Annexe 11 – La réconciliation par société</t>
  </si>
  <si>
    <t>Total Paiements
des entrprises</t>
  </si>
  <si>
    <t>Total Paiements
des régies</t>
  </si>
  <si>
    <t xml:space="preserve">Ecart </t>
  </si>
  <si>
    <t>Sociétés</t>
  </si>
  <si>
    <t>Secteur</t>
  </si>
  <si>
    <t>N° Sociétés</t>
  </si>
  <si>
    <t>N° Flux</t>
  </si>
  <si>
    <t>Nomenclature des flux</t>
  </si>
  <si>
    <t>Régies
financières</t>
  </si>
  <si>
    <t>Initial</t>
  </si>
  <si>
    <t>Ajustements</t>
  </si>
  <si>
    <t>Paiements
Entreprises</t>
  </si>
  <si>
    <t>Paiements
Régies</t>
  </si>
  <si>
    <t>Ecart 
Global</t>
  </si>
  <si>
    <t>La Société des Mines de Fer du Sénégal Oriental (MIFERSO)</t>
  </si>
  <si>
    <t>Secteur Minier</t>
  </si>
  <si>
    <t>Retenues à la source sur salaires (IR, TRIMF et CFCE)</t>
  </si>
  <si>
    <t>DGID</t>
  </si>
  <si>
    <t>Retenue à la source sur sommes versées à des tiers</t>
  </si>
  <si>
    <t xml:space="preserve">Cotisations sociales (y compris les pénalités) </t>
  </si>
  <si>
    <t>CSS</t>
  </si>
  <si>
    <t>Cotisations sociales (y compris les pénalités)(IPRES)</t>
  </si>
  <si>
    <t>IPRES</t>
  </si>
  <si>
    <t>Société de Commercialisation du Ciment (SOCOCIM)</t>
  </si>
  <si>
    <t xml:space="preserve">Redevance minière </t>
  </si>
  <si>
    <t>DGMG</t>
  </si>
  <si>
    <t>Redevance superficiaire</t>
  </si>
  <si>
    <t>Patente</t>
  </si>
  <si>
    <t>DGCPT</t>
  </si>
  <si>
    <t xml:space="preserve">Appui institutionnel aux collectivités locales </t>
  </si>
  <si>
    <t>Taxe sur la valeur ajoutée reversée</t>
  </si>
  <si>
    <t>Taxe sur la valeur ajoutée précomptée</t>
  </si>
  <si>
    <t>Taxe spéciale sur le ciment</t>
  </si>
  <si>
    <t>Taxe sur le ciment</t>
  </si>
  <si>
    <t xml:space="preserve">Taxe sur la valeur ajoutée </t>
  </si>
  <si>
    <t>DGD</t>
  </si>
  <si>
    <t xml:space="preserve">Prélèvement communautaire solidaire UEMOA </t>
  </si>
  <si>
    <t>Redevance statistique UEMOA</t>
  </si>
  <si>
    <t>Droits de douane</t>
  </si>
  <si>
    <t xml:space="preserve">Prélèvement communautaire CEDEAO </t>
  </si>
  <si>
    <t xml:space="preserve">Prélèvement pour le Conseil Sénégalais des Chargeurs (COSEC) </t>
  </si>
  <si>
    <t>Prélèvement PROMAD</t>
  </si>
  <si>
    <t>Taxe superficiaire</t>
  </si>
  <si>
    <t>DIREC</t>
  </si>
  <si>
    <t>Sabodala Gold Operations (SGO)</t>
  </si>
  <si>
    <t>Appui institutionnel</t>
  </si>
  <si>
    <t>Droits d'entrée fixes</t>
  </si>
  <si>
    <t xml:space="preserve">Dividendes versés à l'Etat </t>
  </si>
  <si>
    <t>Redressements fiscaux</t>
  </si>
  <si>
    <t>Impôt sur les sociétés</t>
  </si>
  <si>
    <t>Impôt sur les sociétés (bénéfices non pétroliers/miniers )</t>
  </si>
  <si>
    <t>Retenues à la source sur bénéfice non commercial</t>
  </si>
  <si>
    <t>Impôt sur le revenu des valeurs mobilières</t>
  </si>
  <si>
    <t xml:space="preserve">Taxe d'enregistrement des véhicules </t>
  </si>
  <si>
    <t>Amendes, pénalités et redressements douaniers</t>
  </si>
  <si>
    <t xml:space="preserve">Appui Institutionnel (Fonds d'appui au Mini. De l'Env) </t>
  </si>
  <si>
    <t>DEFCCS</t>
  </si>
  <si>
    <t>Ciments du Sahel (CDS)</t>
  </si>
  <si>
    <t>Grande Côte Opérations (GCO)</t>
  </si>
  <si>
    <t>Société Sénégalaise des Phosphates de Thiès (SSPT)</t>
  </si>
  <si>
    <t xml:space="preserve">Appui Institutionnel (DEEC) </t>
  </si>
  <si>
    <t>Industries Chimiques du Sénégal (ICS)</t>
  </si>
  <si>
    <t xml:space="preserve">Surtaxe foncière </t>
  </si>
  <si>
    <t>Dangote Industries Sénégal SA (DANGOTE)</t>
  </si>
  <si>
    <t xml:space="preserve">Contribution économique locale (CEL VA et CEL VL) </t>
  </si>
  <si>
    <t>Petowal Mining Company (PMC) SA</t>
  </si>
  <si>
    <t>Frais d'inscription d'une concession minière ou d'un permis d'exploitation</t>
  </si>
  <si>
    <t>Société Minière de la Vallée du fleuve Sénégal (SOMIVA)</t>
  </si>
  <si>
    <t>Taxe à la pollution</t>
  </si>
  <si>
    <t>Iamgold BOTO</t>
  </si>
  <si>
    <t>G-PHOS SA</t>
  </si>
  <si>
    <t>Baobab Mining and Chemical Corp SA</t>
  </si>
  <si>
    <t>Taxes d'abattage</t>
  </si>
  <si>
    <t>Agem Sénégal Exploration SUARL (AGEM)</t>
  </si>
  <si>
    <t>Bonus (DGID)</t>
  </si>
  <si>
    <t>Sabodala Mining Company (SMC)</t>
  </si>
  <si>
    <t>Barrick Gold</t>
  </si>
  <si>
    <t>Sephos Senegal SA (SEPHOS)</t>
  </si>
  <si>
    <t>Compagnie Générale d'Exploitation de Carrière (COGECA)</t>
  </si>
  <si>
    <t>Contribution spéciale sur les produits des mines et des carrières (CSMC)</t>
  </si>
  <si>
    <t>Gécamines (GECAMINES)</t>
  </si>
  <si>
    <t>Talix Mines</t>
  </si>
  <si>
    <t>Société des Pétroles du Sénégal (PETROSEN)</t>
  </si>
  <si>
    <t>Secteur des hydrocarbures</t>
  </si>
  <si>
    <t>Fortesa International Senegal</t>
  </si>
  <si>
    <t xml:space="preserve">Kosmos Energy Senegal </t>
  </si>
  <si>
    <t>Appui à la promotion de la recherche et de l'exploitation</t>
  </si>
  <si>
    <t>PETROSEN</t>
  </si>
  <si>
    <t>BOYA S.A</t>
  </si>
  <si>
    <t xml:space="preserve">Total E&amp;P Sénégal </t>
  </si>
  <si>
    <t xml:space="preserve">Loyer superficiaire </t>
  </si>
  <si>
    <t>BP Sénégal Investments Limited</t>
  </si>
  <si>
    <t xml:space="preserve">Woodside Energy Senegal </t>
  </si>
  <si>
    <t>COMPAGNIE SAHELIENNE D'ENTREPRISE GRANULATS</t>
  </si>
  <si>
    <t xml:space="preserve">Total </t>
  </si>
  <si>
    <t>Annexe 12 –  Détail des revenus budgétaires par société extractive</t>
  </si>
  <si>
    <t>Périmètre</t>
  </si>
  <si>
    <t>Société</t>
  </si>
  <si>
    <t>Montant en FCFA</t>
  </si>
  <si>
    <t>Unilatéral</t>
  </si>
  <si>
    <t>BP Mauritanie</t>
  </si>
  <si>
    <t>CHINA ROAD AND BRIDGE CORPORATION</t>
  </si>
  <si>
    <t>African Investment Group SA (AIG)</t>
  </si>
  <si>
    <t xml:space="preserve">TETACAR </t>
  </si>
  <si>
    <t>Autres sociétés pétrolières</t>
  </si>
  <si>
    <t>SENEGAL MINES SA</t>
  </si>
  <si>
    <t>PFO AFRICA SENEGAL</t>
  </si>
  <si>
    <t>SENEGINDIA SA (SWAMI MINES SAU)</t>
  </si>
  <si>
    <t>AREZKI SA</t>
  </si>
  <si>
    <t>COMPAGNIE DE PRODUITS CHIMIQUES ET MATERIAUX (PROCHIMAT)</t>
  </si>
  <si>
    <t>BOSFOR SARL</t>
  </si>
  <si>
    <t>SERIGNE SALIOU MBACKE SUARL</t>
  </si>
  <si>
    <t>GIS (GLOBAL IMMO SENEGAL)</t>
  </si>
  <si>
    <t>EGCCBN (ENTREPRISE DE GENIE CIVIL CONCASSEUR BASALTE NDIAMBOUR) SUARL</t>
  </si>
  <si>
    <t>ENTREPRISE MBAYE FAMILLY BUSINESS</t>
  </si>
  <si>
    <t>NDEYE MATY TRADING</t>
  </si>
  <si>
    <t>GHMINING</t>
  </si>
  <si>
    <t>NODA SA</t>
  </si>
  <si>
    <t>TETACAR</t>
  </si>
  <si>
    <t>ENTREPRISE AICHA</t>
  </si>
  <si>
    <t>GH MINING</t>
  </si>
  <si>
    <t>AREZKI</t>
  </si>
  <si>
    <t>POLYCHANGDA</t>
  </si>
  <si>
    <t>KANEL RESOURCES SARL</t>
  </si>
  <si>
    <t>CHAABANE</t>
  </si>
  <si>
    <t>SINTRADE SA</t>
  </si>
  <si>
    <t>TANOR SA</t>
  </si>
  <si>
    <t>ALIM GOLD SARL</t>
  </si>
  <si>
    <t>SAMAGOLD</t>
  </si>
  <si>
    <t>AFRIK MINES SUARL</t>
  </si>
  <si>
    <t>ENEVIS SENEGAL SA</t>
  </si>
  <si>
    <t>CRSG SENEGAL</t>
  </si>
  <si>
    <t>DAMASH MINERALS</t>
  </si>
  <si>
    <t>NOGA MINE SARL</t>
  </si>
  <si>
    <t>SOCABEG (SOCIETE D'AMENAGEMENT DE BATIMENT ET D'ETUDES GENERALES) MINING SA</t>
  </si>
  <si>
    <t>DIOMAYE GRANULATS SA</t>
  </si>
  <si>
    <t>SILIKA GRANULATS</t>
  </si>
  <si>
    <t>KONKOUTOU GOLD OPERATION SUARL</t>
  </si>
  <si>
    <t>MASSYLLA NDOYE</t>
  </si>
  <si>
    <t>SMIT (SALIOU MINES INDUSTRIES ET TECHNIQUES)</t>
  </si>
  <si>
    <t>LGBS</t>
  </si>
  <si>
    <t>XINJIN ZIRCONIUM INDUSTRYSARL</t>
  </si>
  <si>
    <t>JAMOMING SARL</t>
  </si>
  <si>
    <t>CRSG-SENEGAL</t>
  </si>
  <si>
    <t>ENTREPRISE DIENDER</t>
  </si>
  <si>
    <t>Ass Fallé Gaye</t>
  </si>
  <si>
    <t>VAPROM AFRICA SA</t>
  </si>
  <si>
    <t>LA LAMP MINES BTP SA</t>
  </si>
  <si>
    <t>WEST WIND SA</t>
  </si>
  <si>
    <t>CARRIERES CTG SUARL</t>
  </si>
  <si>
    <t>ATIC (AFRICA TRADE AND INVESTMENT CONSULTING) SARL</t>
  </si>
  <si>
    <t>ENTREPRISE KHANIANG</t>
  </si>
  <si>
    <t>KELIMANE ENTREPRISE SARL</t>
  </si>
  <si>
    <t>CARRIERES ET SABLES (TRANSPORT AMADOU DIEYE)</t>
  </si>
  <si>
    <t>MIRZAN SARL</t>
  </si>
  <si>
    <t>HGR SENEGAL SARL</t>
  </si>
  <si>
    <t>SINTRADE SA (KASSAGUERI EST 2)</t>
  </si>
  <si>
    <t>ALBINA SENEGAL</t>
  </si>
  <si>
    <t>ROYAL SENEGAL MINES ET EQUIPEMENTS</t>
  </si>
  <si>
    <t>PROCHIMAT</t>
  </si>
  <si>
    <t>SOSEMIC SARL</t>
  </si>
  <si>
    <t>SOBATP (SOCIETE DE BATIMENT ET TRAVAUX PUBLICS) SUARL</t>
  </si>
  <si>
    <t>DTS (DJOLOFF TRANSPORTS ET SERVICES)</t>
  </si>
  <si>
    <t>MC2T</t>
  </si>
  <si>
    <t>DIYAN EXPLOITATION MINIERE SUARL</t>
  </si>
  <si>
    <t>LE GIE WAY GNIMA</t>
  </si>
  <si>
    <t>SHIFENG MINING COMPANY SARL</t>
  </si>
  <si>
    <t>EMEEF CONSULTING</t>
  </si>
  <si>
    <t>AMMSA GROUP AFRICA SA</t>
  </si>
  <si>
    <t>EIFFAGE SENEGAL</t>
  </si>
  <si>
    <t>SKDT NEW ENERGY TECHNOLOGY SARL</t>
  </si>
  <si>
    <t>IRION TRANSFERS SARL</t>
  </si>
  <si>
    <t>MANDINGA RESSOURCES SARL</t>
  </si>
  <si>
    <t>AREZKISA</t>
  </si>
  <si>
    <t>GROUP AVENIR BUSINESS SERVICES (ABS)</t>
  </si>
  <si>
    <t>ENTREPRISE DAME DIAKHATE</t>
  </si>
  <si>
    <t>ALIOU SOUARE</t>
  </si>
  <si>
    <t>Modou Gueye</t>
  </si>
  <si>
    <t>Entreprise Bougar Diouf</t>
  </si>
  <si>
    <t>THA MINES ET INDUSTRIES SARL</t>
  </si>
  <si>
    <t>G-STAND</t>
  </si>
  <si>
    <t>GRANDE CARRIERES DU SENEGAL (GCS)</t>
  </si>
  <si>
    <t>Wakeur borom gawane</t>
  </si>
  <si>
    <t>SOCOBE (SOCIETE DE CONCASSAGE ET DE BETON) SARL</t>
  </si>
  <si>
    <t>CRGS-SENEGAL</t>
  </si>
  <si>
    <t>COOPERATIVE LA SAMARITAINE</t>
  </si>
  <si>
    <t>ELIKANE SUARL</t>
  </si>
  <si>
    <t>ENT MAMADOU BA</t>
  </si>
  <si>
    <t>WALLY GNIMA</t>
  </si>
  <si>
    <t>SCNN</t>
  </si>
  <si>
    <t>BAOBAB MINERALS SARL</t>
  </si>
  <si>
    <t>EDTSG</t>
  </si>
  <si>
    <t>GUILLAYE ET FRERES</t>
  </si>
  <si>
    <t>GAYESY SUARL</t>
  </si>
  <si>
    <t>AGROMINE</t>
  </si>
  <si>
    <t>BLACK ROCK MINING SUARL</t>
  </si>
  <si>
    <t>BBC (BAKHOUM BUSINESS COMPANY)</t>
  </si>
  <si>
    <t>BARAKA GROUP / SIM</t>
  </si>
  <si>
    <t>MSTCS</t>
  </si>
  <si>
    <t>GEOCONSULTING GC</t>
  </si>
  <si>
    <t>ENTREPRISE DE RECHERCHE ET D'EXPLOITATION MINIERE(EREM)</t>
  </si>
  <si>
    <t>DWSM (DAROU SALAM MBOUP Wakeur Serigne Mory) SUARL</t>
  </si>
  <si>
    <t>KBC (KA BUSINESS COMPANY)</t>
  </si>
  <si>
    <t>DIMEX (MALICK DIOME)</t>
  </si>
  <si>
    <t>Serigne Mbacké NIANE</t>
  </si>
  <si>
    <t>SAMAGOLD FITH MITH N° 651 GOLF SUD</t>
  </si>
  <si>
    <t>ROMOU SASU</t>
  </si>
  <si>
    <t>C.C.B.A</t>
  </si>
  <si>
    <t>SINO AFRICAINE COMMUNICATION SARL</t>
  </si>
  <si>
    <t>SID (SOCIETE IMMOBILIERE DE DIASS) SUARL</t>
  </si>
  <si>
    <t>TAMBA HEARD MINING GROUP</t>
  </si>
  <si>
    <t>ENTREPRISE OUSMANE SOW</t>
  </si>
  <si>
    <t>ECOTRA</t>
  </si>
  <si>
    <t>ZTIC (ZEYNA TRANSPORT IMMO-CONSTRUCTION)</t>
  </si>
  <si>
    <t>BAMBOUK EXLPORATION SARL</t>
  </si>
  <si>
    <t>DAROU SALAM SUARL</t>
  </si>
  <si>
    <t>PSS (PAPA SANGONE SALL)</t>
  </si>
  <si>
    <t>SDT NEW ENERGY TECHNOLOGY</t>
  </si>
  <si>
    <t>TRYIANGS INTERNATIONAL MININ GROUP SA</t>
  </si>
  <si>
    <t>SOTRACOM</t>
  </si>
  <si>
    <t>KhadimGAYE</t>
  </si>
  <si>
    <t>CIMAF (CIMENT DE L'AFRIQUE)</t>
  </si>
  <si>
    <t>Oumar SOW</t>
  </si>
  <si>
    <t>SARAYA ENERGY</t>
  </si>
  <si>
    <t>SODEVCO (SOCIETE DE DEVELOPPEMENT ET DE CONSTRUCTION)</t>
  </si>
  <si>
    <t>CAYOR PHOSPHATE MINING</t>
  </si>
  <si>
    <t>SANTARGILE SARL</t>
  </si>
  <si>
    <t>RASSOUL BULDING</t>
  </si>
  <si>
    <t>CHROME SUARL</t>
  </si>
  <si>
    <t>ENTREPRISE MAPATHE NDIOUCK (EMN) SA</t>
  </si>
  <si>
    <t>LE GIE BOUSANKO GOLD</t>
  </si>
  <si>
    <t>LE GIE LE W0UROUS</t>
  </si>
  <si>
    <t>SCATY INDUSTRIES SA</t>
  </si>
  <si>
    <t>SOSETER</t>
  </si>
  <si>
    <t>SINTRADE SA (KASSAGUERI EST 1)</t>
  </si>
  <si>
    <t>JEAN LE FEVRE/TALIX MINES</t>
  </si>
  <si>
    <t>MC TRANSPORT AND TRADING</t>
  </si>
  <si>
    <t>STRATEX EMC SA</t>
  </si>
  <si>
    <t>GOGroupe</t>
  </si>
  <si>
    <t>EGTPB</t>
  </si>
  <si>
    <t>ETS TOUBA DAROU KARIM / MOR NGUER</t>
  </si>
  <si>
    <t>SAMAGOLD SARL</t>
  </si>
  <si>
    <t>CANEX</t>
  </si>
  <si>
    <t>COMPANY SAKHO</t>
  </si>
  <si>
    <t>SOLUTION MODERNE</t>
  </si>
  <si>
    <t>ATPAAREZKISA</t>
  </si>
  <si>
    <t>AMD (AMADOU MAME DIOP) SERVICES</t>
  </si>
  <si>
    <t>SEMC (SOCIETE D'EXPLOITATION DES MINES ET CARRIERES)</t>
  </si>
  <si>
    <t>ATIC</t>
  </si>
  <si>
    <t>BABJUF MINES SERVICES</t>
  </si>
  <si>
    <t>GIE RCBT (REGROUPEMENT DES CHAUFFEURS BENNE DE TIVAOUANE)</t>
  </si>
  <si>
    <t>ADICO</t>
  </si>
  <si>
    <t>EGDS (ENTREPRISE GENERALE DAROU SALAM)</t>
  </si>
  <si>
    <t>GEOPARTNERS CONSULTING</t>
  </si>
  <si>
    <t>DIA ET FRERES</t>
  </si>
  <si>
    <t xml:space="preserve">MN MINING SASU </t>
  </si>
  <si>
    <t>MN MINING SASU EXPLOITATION MINIERE</t>
  </si>
  <si>
    <t>FAKMOZ SARL</t>
  </si>
  <si>
    <t>KHAMBEINTEINKOTO</t>
  </si>
  <si>
    <t>LE GIE KANBI BAADIN NA</t>
  </si>
  <si>
    <t>LE GIE KEDOUGOU BISNESS</t>
  </si>
  <si>
    <t>LE GIE REBISEN</t>
  </si>
  <si>
    <t>SALAME ENTREPRISE SARL</t>
  </si>
  <si>
    <t>S2S SURVEY SUARL</t>
  </si>
  <si>
    <t>LA GIE DJIGUIBADALA</t>
  </si>
  <si>
    <t>D'EXPLOITATION DE LOGISTIQUE ET DE TRAVAUX(SELT)</t>
  </si>
  <si>
    <t>AFRICA GLOBAL GEOINGENIERIE A2G</t>
  </si>
  <si>
    <t>LE GIE KOLIA</t>
  </si>
  <si>
    <t>SENEGALAISE DE SERVICE MINIER ET GENIE CIVIL</t>
  </si>
  <si>
    <t>LE GIE DJIGUI</t>
  </si>
  <si>
    <t>CHILMA BLDING SUARL</t>
  </si>
  <si>
    <t>PARTENERS MINING DEVELOPMENT SERVICES SAS</t>
  </si>
  <si>
    <t>GIE BALAL</t>
  </si>
  <si>
    <t>GIE SYLLA KOUNDA</t>
  </si>
  <si>
    <t>GIE FEMME KEGNEBA KAWRAL</t>
  </si>
  <si>
    <t>IVOIRE INGENIERIE PLUS SARL</t>
  </si>
  <si>
    <t>KHELKOM'S LION SARL</t>
  </si>
  <si>
    <t>LASOCIETE BIJOUTERIE SERIGNE BABACAR SY</t>
  </si>
  <si>
    <t>ROCAMJO</t>
  </si>
  <si>
    <t>MBAYE FAMILY BUSINESS GROUP</t>
  </si>
  <si>
    <t>GIE BINKHANTO</t>
  </si>
  <si>
    <t>WATIC</t>
  </si>
  <si>
    <t>CIVIL H2MOCOSA</t>
  </si>
  <si>
    <t>SOMAPIS</t>
  </si>
  <si>
    <t>3SMGC</t>
  </si>
  <si>
    <t>ADAMA UNIVERSAL IMMOBILIER AFFAIRES SUARL</t>
  </si>
  <si>
    <t>BB FIRST COMMODITY</t>
  </si>
  <si>
    <t>E..N.THOUAR</t>
  </si>
  <si>
    <t>KARAMBA CONSTRUCTION TRANSPORTS ET SERVICES</t>
  </si>
  <si>
    <t>ABS (AVENIR BUSINESS SERVICES) SUARL</t>
  </si>
  <si>
    <t>BATIPROM</t>
  </si>
  <si>
    <t>DIOR GOLD SUARL</t>
  </si>
  <si>
    <t>ETS MAODO NDIAYE</t>
  </si>
  <si>
    <t>CKC (CHEIKH KANE CARRIERE) SAS</t>
  </si>
  <si>
    <t>AGROMINE SUARL</t>
  </si>
  <si>
    <t>XEWELL CIMENTERIES SA</t>
  </si>
  <si>
    <t>HOUAR</t>
  </si>
  <si>
    <t>MANSA GOLD CORPORATION SUARL</t>
  </si>
  <si>
    <t>MAMADOU BA</t>
  </si>
  <si>
    <t>AMAR SOW</t>
  </si>
  <si>
    <t>GIEGEOCOM</t>
  </si>
  <si>
    <t>SOBATP</t>
  </si>
  <si>
    <t>HLNT SENEGAL SUARL</t>
  </si>
  <si>
    <t>S.C.I AMWAST</t>
  </si>
  <si>
    <t>BOURPRESTA</t>
  </si>
  <si>
    <t>PRO AFRICA SENEGAL SA</t>
  </si>
  <si>
    <t>SENTHRAS</t>
  </si>
  <si>
    <t>EBONY NATURAL RESSOURCES</t>
  </si>
  <si>
    <t>CARREFOUR IMMO SERVICE</t>
  </si>
  <si>
    <t>HOLDING ATLANTIC MINING PETROLUM "MINE PETRO-SA"</t>
  </si>
  <si>
    <t>AFTECO (AFRICA TRADING EQUIPEMENT CONSTRUCTION) SUARL</t>
  </si>
  <si>
    <t>DIARRA M.DIAKHATE</t>
  </si>
  <si>
    <t>Modou DIENG</t>
  </si>
  <si>
    <t>IGS (ISLE WORLDWIDE)</t>
  </si>
  <si>
    <t>MAMADOU NDIAYE</t>
  </si>
  <si>
    <t>SERTER</t>
  </si>
  <si>
    <t>PAPA SANGONE SALL</t>
  </si>
  <si>
    <t>ENTREPRISE NDIGUEL FALL</t>
  </si>
  <si>
    <t>TOP BUSINESS</t>
  </si>
  <si>
    <t>IsacDIENG</t>
  </si>
  <si>
    <t>AFG RESSOURCES</t>
  </si>
  <si>
    <t>AIRE DYNAMIC SOLUTION SENEGAL SARL</t>
  </si>
  <si>
    <t>C2M (CENTRALE DE MATERIELS ET MATERIAUX) SARL</t>
  </si>
  <si>
    <t>DELTA MARINE BUSINESS INDUSTRIEL DU SENEGAL (DMBIS)</t>
  </si>
  <si>
    <t>DIAKHA GOLD MINES</t>
  </si>
  <si>
    <t xml:space="preserve">EGDS </t>
  </si>
  <si>
    <t>ENTREPRISE LIBASSE NIANG</t>
  </si>
  <si>
    <t>ETABLISSEMENT HABIB SAMB</t>
  </si>
  <si>
    <t>FIRDAWSI GLOBAL BUSINESS SARL</t>
  </si>
  <si>
    <t>FUTURMINE SARL</t>
  </si>
  <si>
    <t>GIE CAYOR SILEX CORPORATION (CSC)</t>
  </si>
  <si>
    <t>GIE GROUPE AIDE DEVELOPPEMENT</t>
  </si>
  <si>
    <t>GRACE GOLD COMPANY SENEGAL SARL</t>
  </si>
  <si>
    <t>LA GLOBAL MINING OPERATIONS (GMO)</t>
  </si>
  <si>
    <t>LAMTORO NATURALRESOURCES</t>
  </si>
  <si>
    <t>MAODO GLOBAL BUSINESS SARL</t>
  </si>
  <si>
    <t>MN TRADING COMPANY</t>
  </si>
  <si>
    <t>MOULT INVEST SUARL</t>
  </si>
  <si>
    <t>PROMO-MINES</t>
  </si>
  <si>
    <t>SEMIC (SOCIETE D'EXPLOITATION MINIERE IMMOBILIERE ET COMMERCIALE) SARL</t>
  </si>
  <si>
    <t>SERS (SENEGALAISE D'ETUDE DE REALISATION ET DE SERVICES) SA</t>
  </si>
  <si>
    <t>SOCIETE CIVILE H2 MOCO SA</t>
  </si>
  <si>
    <t>SOCIETE K-COM</t>
  </si>
  <si>
    <t>SOFITA SERVICES ET LOGISTIQUES</t>
  </si>
  <si>
    <t>SOUMBEDIOUNE EXPORT SOUMEX SARL</t>
  </si>
  <si>
    <t>ULSAN SA</t>
  </si>
  <si>
    <t>WALY GNIMA</t>
  </si>
  <si>
    <t>CHALLANGER NORD SUD</t>
  </si>
  <si>
    <t>YICHEN SARL</t>
  </si>
  <si>
    <t>MATAR DIANKHA</t>
  </si>
  <si>
    <t>NEGOCE FIABLE SENEGAL SARL</t>
  </si>
  <si>
    <t>MUSA MINING COMPANY</t>
  </si>
  <si>
    <t>BAMBADJI SA</t>
  </si>
  <si>
    <t>SGPS</t>
  </si>
  <si>
    <t>Entreprise Darou Salam Tawfekh</t>
  </si>
  <si>
    <t>ETDSG</t>
  </si>
  <si>
    <t>CHESSER</t>
  </si>
  <si>
    <t>SILEX SENEGAL</t>
  </si>
  <si>
    <t>SOCIETE SWMS</t>
  </si>
  <si>
    <t>ABLAYE NIANG</t>
  </si>
  <si>
    <t>BAMBUK MINERALS SENEGAL SARL</t>
  </si>
  <si>
    <t>ENTREPRISE DIA COMPANY</t>
  </si>
  <si>
    <t>GIE NGAAYE DJITEE</t>
  </si>
  <si>
    <t>ABDOU KHADRE KEBE</t>
  </si>
  <si>
    <t>AWAHABA</t>
  </si>
  <si>
    <t>CDESénégal</t>
  </si>
  <si>
    <t>EIFFAGE SA.</t>
  </si>
  <si>
    <t>GIETAIF</t>
  </si>
  <si>
    <t>ICONS</t>
  </si>
  <si>
    <t>KILIMANE
ENTREPRISE</t>
  </si>
  <si>
    <t>LGCS</t>
  </si>
  <si>
    <t>NAZATA AND MAYA SAS</t>
  </si>
  <si>
    <t>NGALAM MINING</t>
  </si>
  <si>
    <t>SENEGAL KOM KOM PLUS</t>
  </si>
  <si>
    <t>SOFAMAC</t>
  </si>
  <si>
    <t>SOPE NABY KEUR YAYE FATOU</t>
  </si>
  <si>
    <t>ETEMINING</t>
  </si>
  <si>
    <t>ETS DAME DIAKHATE</t>
  </si>
  <si>
    <t>EXPLOITANTS SABLE</t>
  </si>
  <si>
    <t>GLOBAL MINING ET RESSOURCES SA</t>
  </si>
  <si>
    <t>SAMBANDIAYE</t>
  </si>
  <si>
    <t>GIE DAKAR EXPRESS</t>
  </si>
  <si>
    <t>ETABLISSEMENT OUSMANE NDIAYE</t>
  </si>
  <si>
    <t>ELIKANE</t>
  </si>
  <si>
    <t>L'ENTREPRISE THIAM SENEGAL GOLD FAMILY</t>
  </si>
  <si>
    <t>SALOUM TRADING SERVICES</t>
  </si>
  <si>
    <t>JLS</t>
  </si>
  <si>
    <t>AMATH NDIAYE INTERNATIONAL PRESTIGE</t>
  </si>
  <si>
    <t>MINES DIAMA</t>
  </si>
  <si>
    <t>SOSECOS (SOCIETE SENEGALAISE DE COMMERCE ET DE SERVICES) SARL</t>
  </si>
  <si>
    <t>PROSPECTIUNI SARL</t>
  </si>
  <si>
    <t>EXPLOITATION SABLE</t>
  </si>
  <si>
    <t>SALAM GOLD SARL</t>
  </si>
  <si>
    <t>PREFA SENEGAL SARL</t>
  </si>
  <si>
    <t>CARIRRIERE ABDOU FATTAH</t>
  </si>
  <si>
    <t>CARRIERE ABDOU FATTAH</t>
  </si>
  <si>
    <t>GIE FEDDE MADINA KENIEBA</t>
  </si>
  <si>
    <t>JFSTALIX</t>
  </si>
  <si>
    <t>TOUBA NOBODJI SUARL (SOTONI)</t>
  </si>
  <si>
    <t>ABABACAR DIOP</t>
  </si>
  <si>
    <t>BATRIPROM</t>
  </si>
  <si>
    <t>RACKY PRESTATION TECHNIQUES SARL</t>
  </si>
  <si>
    <t>TAYSIR SARL</t>
  </si>
  <si>
    <t>KELIMANE ENTREPRISE</t>
  </si>
  <si>
    <t>COTRAC</t>
  </si>
  <si>
    <t>GIEGECOM</t>
  </si>
  <si>
    <t>MATARDIANKHA</t>
  </si>
  <si>
    <t xml:space="preserve">ALIOU SOUARE </t>
  </si>
  <si>
    <t>GIE TAIL</t>
  </si>
  <si>
    <t>SDK MINING SA</t>
  </si>
  <si>
    <t>SOULEYMANE DIOP</t>
  </si>
  <si>
    <t>SOCAM</t>
  </si>
  <si>
    <t>DIAMA TECH</t>
  </si>
  <si>
    <t>CONSORTIUM SENEGALAISE D'INDUSTRIE ET DE COMMERCE(CSIC)</t>
  </si>
  <si>
    <t>ETS/DIOP</t>
  </si>
  <si>
    <t>S.D.S.W.S.N</t>
  </si>
  <si>
    <t>Baba Garage</t>
  </si>
  <si>
    <t>CHESSER AUS</t>
  </si>
  <si>
    <t>DIA COMPANY</t>
  </si>
  <si>
    <t>SELT</t>
  </si>
  <si>
    <t>Khadim GAYE</t>
  </si>
  <si>
    <t>A2G</t>
  </si>
  <si>
    <t>ABDOU KHADRE HANN</t>
  </si>
  <si>
    <t>AWAHABA GROUP</t>
  </si>
  <si>
    <t>BINOME SUARL</t>
  </si>
  <si>
    <t>COMPTOIR COMMERCIAL BALLA AICHA</t>
  </si>
  <si>
    <t>ENTREPRISE AW AHABA</t>
  </si>
  <si>
    <t>ENTREPRISE BAYE ISMAILA GUEYE</t>
  </si>
  <si>
    <t>ENTREPRISE DJOLOFF</t>
  </si>
  <si>
    <t>ENTREPRISE GUEYE ET FRERES</t>
  </si>
  <si>
    <t>ENTREPRISE KA BUSINESS COMPANY</t>
  </si>
  <si>
    <t>ENTREPRISE WAHABA BUILDING</t>
  </si>
  <si>
    <t>ETF et FRERES</t>
  </si>
  <si>
    <t>ETS THIEUDEME SARR SERVICES</t>
  </si>
  <si>
    <t>EXPRESS LOGISTIC PLUS</t>
  </si>
  <si>
    <t>GENERAL SERVICE SA.</t>
  </si>
  <si>
    <t>GENERALSERVICESA.</t>
  </si>
  <si>
    <t>GIEABDOULAYEDIOP</t>
  </si>
  <si>
    <t>GLADIAMA SUARL</t>
  </si>
  <si>
    <t>GUEYE ET FRERES</t>
  </si>
  <si>
    <t>ICOPS</t>
  </si>
  <si>
    <t>INNOVATIONCOMMERCE</t>
  </si>
  <si>
    <t>KABUSINESS</t>
  </si>
  <si>
    <t>KEUR CHEIKH MOMAR</t>
  </si>
  <si>
    <t>LES MINES DE DIAMA</t>
  </si>
  <si>
    <t>MINES PROFESSIONAL HOLDING SARL</t>
  </si>
  <si>
    <t>NGALOU EXPLOITATION ET SERVICES SASU</t>
  </si>
  <si>
    <t>SAFEDINE</t>
  </si>
  <si>
    <t>SCI ARAMIS</t>
  </si>
  <si>
    <t>SENE CARRIERE</t>
  </si>
  <si>
    <t>SMIT</t>
  </si>
  <si>
    <t>SOCIETE ASSANE MINING INVESTMENT GROUP</t>
  </si>
  <si>
    <t>SOCIETE DAROU SALAM MBOUP W.S.MORY</t>
  </si>
  <si>
    <t>SOCIETE MBENGUE FAMILY BUSINESS</t>
  </si>
  <si>
    <t>SOGECAP</t>
  </si>
  <si>
    <t>SOGECAS</t>
  </si>
  <si>
    <t>SOGECAS (SOCIETE DE GESTION DES CARRIERES DU SENEGAL)</t>
  </si>
  <si>
    <t>SOGEMIC (SOCIETE DE GESTION DES MINES ET CARRIERES) SARL</t>
  </si>
  <si>
    <t>TERRACALCO</t>
  </si>
  <si>
    <t>TOUBA MINING CORPORATION</t>
  </si>
  <si>
    <t>WALY DIOUF PARTNERS SOLUTIONS</t>
  </si>
  <si>
    <t>SORED Mines</t>
  </si>
  <si>
    <t>Total Général</t>
  </si>
  <si>
    <t>Annexe 13 –  Détail des revenus budgétaires par flux de paiement</t>
  </si>
  <si>
    <t>Flux</t>
  </si>
  <si>
    <t>Régie</t>
  </si>
  <si>
    <t>Montat</t>
  </si>
  <si>
    <t>Redevance minière</t>
  </si>
  <si>
    <t>Autres flux de paiements significatifs (&gt; 25 millions de  FCFA) (reconciliables)</t>
  </si>
  <si>
    <t xml:space="preserve">Redressements fiscaux </t>
  </si>
  <si>
    <t xml:space="preserve">Retenue à la source sur sommes versées à des tiers </t>
  </si>
  <si>
    <t>Annexe 14 –  Détail du paiement global du secteur extractif</t>
  </si>
  <si>
    <t>AFRICAN MINING SERVICES SENEGAL</t>
  </si>
  <si>
    <t>MOTA ENGIL SENEGAL MINING SUARL</t>
  </si>
  <si>
    <t>SENEGAL MINES S.A</t>
  </si>
  <si>
    <t>INDUSTRIE MINES CONSTRUCTION (I.M.C.) SARL</t>
  </si>
  <si>
    <t>BAMBUK MINERALS SENEGAL BMS</t>
  </si>
  <si>
    <t>P R O C H I M A T</t>
  </si>
  <si>
    <t>CAPITAL MINING SERVICES SENEGAL - SAU</t>
  </si>
  <si>
    <t>ROYAL SENEGAL MINES ET EQUIPEM</t>
  </si>
  <si>
    <t>SEN PO MINING SA</t>
  </si>
  <si>
    <t>ULTIM MINES OPERATIONS SARL (U.M.O)</t>
  </si>
  <si>
    <t>LES CARRIERES DE POUT SARL</t>
  </si>
  <si>
    <t>GEOMIN</t>
  </si>
  <si>
    <t>DIYUAN EXPLOITATION MINIERE SUARL</t>
  </si>
  <si>
    <t>ISLE GRANULATES ET SERVICES</t>
  </si>
  <si>
    <t>SWAMI MINES SAU</t>
  </si>
  <si>
    <t>MINEREX SC CABINET MAYORO W</t>
  </si>
  <si>
    <t>ENTREPRISE DE RECHERCHE ET D'EXPLOITATION MINIERE</t>
  </si>
  <si>
    <t>TRANSAFRICA SENEGAL SUARL</t>
  </si>
  <si>
    <t>SOCIETE MINIERE AFRICAINE</t>
  </si>
  <si>
    <t>ENTREPRISE INTERNATIONAL BAMBADJI GROUPE</t>
  </si>
  <si>
    <t>Annexe 15 –  Détail des paiements des entreprises par flux de paiement</t>
  </si>
  <si>
    <t>Paiements sociaux obligatoires</t>
  </si>
  <si>
    <t>Autres Bénéficiaires (Paiements sociaux obligatoires)</t>
  </si>
  <si>
    <t>Paiements sociaux volontaires</t>
  </si>
  <si>
    <t>Autres Bénéficiaires (Paiements sociaux volontaires)</t>
  </si>
  <si>
    <t>Paiements environnementaux</t>
  </si>
  <si>
    <t>Autres Bénéficiaires (Paiements environnementaux)</t>
  </si>
  <si>
    <t>Annexe 16 – Détail de la déclaration Unilatérale de l’Etat</t>
  </si>
  <si>
    <t>Annexe 17 – Formulaire de déclaration 2024</t>
  </si>
  <si>
    <t>N°</t>
  </si>
  <si>
    <t>Payé à
/reçu par</t>
  </si>
  <si>
    <t>Montant
/Volume</t>
  </si>
  <si>
    <t>Montant</t>
  </si>
  <si>
    <t>Paiements en nature</t>
  </si>
  <si>
    <t xml:space="preserve">Part de la production de l'État (Profit Oil État) </t>
  </si>
  <si>
    <t xml:space="preserve">Part de la production de PETROSEN (Profit Oil - Cost Oil PETROSEN) </t>
  </si>
  <si>
    <t>Paiements en numéraire</t>
  </si>
  <si>
    <t>DMG</t>
  </si>
  <si>
    <t>Bonus (DMG)</t>
  </si>
  <si>
    <t>Bonus (PETROSEN)</t>
  </si>
  <si>
    <t xml:space="preserve">Appui à la formation </t>
  </si>
  <si>
    <t>Appui à l'équipement</t>
  </si>
  <si>
    <t>Revenus issus de la commercialisation de la Part de la production de l'État P</t>
  </si>
  <si>
    <t>Pénalités versées à PETROSEN</t>
  </si>
  <si>
    <t>Redevance</t>
  </si>
  <si>
    <t>Achat de données sismiques</t>
  </si>
  <si>
    <t xml:space="preserve">Revenus issus de la commercialisation de la Part de la production de l'État </t>
  </si>
  <si>
    <t>Contribution foncière des propriétés bâties (CFPB)</t>
  </si>
  <si>
    <t>Contribution foncière des propriétés non bâties (CFPNB)</t>
  </si>
  <si>
    <t xml:space="preserve">Impôt du minimum fiscal </t>
  </si>
  <si>
    <t>Bonus (DGCPT)</t>
  </si>
  <si>
    <t>Impôt minimum forfaitaire</t>
  </si>
  <si>
    <t xml:space="preserve">Frais d'inscription d'une concession minière ou d'un permis d'exploitation </t>
  </si>
  <si>
    <t>DEEC</t>
  </si>
  <si>
    <t xml:space="preserve">Garanties données par les entreprises extractives </t>
  </si>
  <si>
    <t>CDC</t>
  </si>
  <si>
    <t>Paiements effectués aux fournisseurs locaux et étrangers</t>
  </si>
  <si>
    <t>CNSCL</t>
  </si>
  <si>
    <t>Tous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</si>
</sst>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_€_-;\-* #,##0.00\ _€_-;_-* &quot;-&quot;??\ _€_-;_-@_-"/>
    <numFmt numFmtId="165" formatCode="_-* #,##0\ _€_-;\-* #,##0\ _€_-;_-* &quot;-&quot;??\ _€_-;_-@_-"/>
    <numFmt numFmtId="166" formatCode="_(* #,##0_);_(* \(#,##0\);_(* &quot;-&quot;??_);_(@_)"/>
  </numFmts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4"/>
      <color theme="1"/>
      <name val="Calibri Light"/>
      <family val="2"/>
      <scheme val="major"/>
    </font>
    <font>
      <b/>
      <sz val="8"/>
      <color theme="0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b/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rgb="FF444444"/>
      <name val="Calibri"/>
      <family val="2"/>
      <scheme val="minor"/>
    </font>
    <font>
      <sz val="10"/>
      <color theme="1"/>
      <name val="Calibri Light"/>
      <family val="2"/>
      <scheme val="major"/>
    </font>
    <font>
      <sz val="16"/>
      <color theme="1"/>
      <name val="Calibri Light"/>
      <family val="2"/>
      <scheme val="major"/>
    </font>
    <font>
      <b/>
      <sz val="10"/>
      <color rgb="FFFFFFFF"/>
      <name val="Calibri Light"/>
      <family val="2"/>
      <scheme val="major"/>
    </font>
    <font>
      <b/>
      <sz val="10"/>
      <color theme="0"/>
      <name val="Arial"/>
      <family val="2"/>
    </font>
    <font>
      <sz val="10"/>
      <name val="Calibri Light"/>
      <family val="2"/>
      <scheme val="major"/>
    </font>
    <font>
      <b/>
      <sz val="10"/>
      <color theme="0"/>
      <name val="Calibri Light"/>
      <family val="2"/>
      <scheme val="major"/>
    </font>
    <font>
      <sz val="18"/>
      <color theme="1"/>
      <name val="Calibri Light"/>
      <family val="2"/>
      <scheme val="major"/>
    </font>
    <font>
      <b/>
      <sz val="14"/>
      <color rgb="FF444444"/>
      <name val="Calibri Light"/>
      <family val="2"/>
      <scheme val="major"/>
    </font>
    <font>
      <sz val="10"/>
      <name val="Kohinoor Devanagari"/>
      <family val="3"/>
    </font>
    <font>
      <b/>
      <sz val="10"/>
      <name val="Kohinoor Devanagari"/>
      <family val="3"/>
    </font>
    <font>
      <b/>
      <sz val="10"/>
      <color theme="0"/>
      <name val="Kohinoor Devanagari"/>
      <family val="3"/>
    </font>
    <font>
      <sz val="10"/>
      <color theme="0"/>
      <name val="Kohinoor Devanagari"/>
      <family val="3"/>
    </font>
  </fonts>
  <fills count="9">
    <fill>
      <patternFill patternType="none"/>
    </fill>
    <fill>
      <patternFill patternType="gray125"/>
    </fill>
    <fill>
      <patternFill patternType="solid">
        <fgColor rgb="FF2A9E9B"/>
        <bgColor indexed="64"/>
      </patternFill>
    </fill>
    <fill>
      <patternFill patternType="solid">
        <fgColor rgb="FFA4E7E1"/>
        <bgColor indexed="64"/>
      </patternFill>
    </fill>
    <fill>
      <patternFill patternType="solid">
        <fgColor rgb="FF657C9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A9ECEF"/>
        <bgColor indexed="64"/>
      </patternFill>
    </fill>
    <fill>
      <patternFill patternType="solid">
        <fgColor rgb="FF218F8B"/>
        <bgColor indexed="64"/>
      </patternFill>
    </fill>
    <fill>
      <patternFill patternType="solid">
        <fgColor theme="5" tint="-0.499984740745262"/>
        <bgColor indexed="64"/>
      </patternFill>
    </fill>
  </fills>
  <borders count="15">
    <border>
      <left/>
      <right/>
      <top/>
      <bottom/>
      <diagonal/>
    </border>
    <border>
      <left style="thin">
        <color theme="0"/>
      </left>
      <right/>
      <top style="thin">
        <color theme="0"/>
      </top>
      <bottom style="medium">
        <color rgb="FFFF0000"/>
      </bottom>
      <diagonal/>
    </border>
    <border>
      <left/>
      <right/>
      <top style="thin">
        <color theme="0"/>
      </top>
      <bottom style="medium">
        <color rgb="FFFF0000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/>
      <bottom style="thick">
        <color rgb="FFC00000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8" fillId="0" borderId="0" applyNumberFormat="0" applyFill="0" applyBorder="0" applyAlignment="0" applyProtection="0"/>
  </cellStyleXfs>
  <cellXfs count="88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/>
    <xf numFmtId="0" fontId="4" fillId="2" borderId="0" xfId="0" applyFont="1" applyFill="1" applyAlignment="1">
      <alignment horizontal="center" vertical="center" wrapText="1"/>
    </xf>
    <xf numFmtId="165" fontId="6" fillId="3" borderId="0" xfId="2" applyNumberFormat="1" applyFont="1" applyFill="1" applyAlignment="1">
      <alignment vertical="center"/>
    </xf>
    <xf numFmtId="165" fontId="2" fillId="0" borderId="0" xfId="0" applyNumberFormat="1" applyFont="1" applyAlignment="1">
      <alignment vertical="center"/>
    </xf>
    <xf numFmtId="0" fontId="4" fillId="4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 wrapText="1"/>
    </xf>
    <xf numFmtId="165" fontId="4" fillId="4" borderId="0" xfId="2" applyNumberFormat="1" applyFont="1" applyFill="1" applyAlignment="1">
      <alignment horizontal="center" vertical="center"/>
    </xf>
    <xf numFmtId="165" fontId="4" fillId="4" borderId="0" xfId="2" applyNumberFormat="1" applyFont="1" applyFill="1" applyAlignment="1">
      <alignment horizontal="center" vertical="center" wrapText="1"/>
    </xf>
    <xf numFmtId="0" fontId="6" fillId="3" borderId="0" xfId="0" applyFont="1" applyFill="1" applyAlignment="1">
      <alignment vertical="center"/>
    </xf>
    <xf numFmtId="0" fontId="6" fillId="3" borderId="0" xfId="0" applyFont="1" applyFill="1" applyAlignment="1">
      <alignment horizontal="center" vertical="center"/>
    </xf>
    <xf numFmtId="166" fontId="6" fillId="3" borderId="0" xfId="2" applyNumberFormat="1" applyFont="1" applyFill="1" applyAlignment="1">
      <alignment vertical="center"/>
    </xf>
    <xf numFmtId="166" fontId="7" fillId="3" borderId="0" xfId="2" applyNumberFormat="1" applyFont="1" applyFill="1" applyAlignment="1">
      <alignment vertical="center"/>
    </xf>
    <xf numFmtId="0" fontId="6" fillId="5" borderId="0" xfId="0" applyFont="1" applyFill="1" applyAlignment="1">
      <alignment vertical="center"/>
    </xf>
    <xf numFmtId="0" fontId="6" fillId="5" borderId="0" xfId="0" applyFont="1" applyFill="1" applyAlignment="1">
      <alignment horizontal="center" vertical="center"/>
    </xf>
    <xf numFmtId="165" fontId="6" fillId="5" borderId="0" xfId="2" applyNumberFormat="1" applyFont="1" applyFill="1" applyAlignment="1">
      <alignment vertical="center"/>
    </xf>
    <xf numFmtId="166" fontId="6" fillId="5" borderId="0" xfId="2" applyNumberFormat="1" applyFont="1" applyFill="1" applyAlignment="1">
      <alignment vertical="center"/>
    </xf>
    <xf numFmtId="166" fontId="7" fillId="5" borderId="0" xfId="2" applyNumberFormat="1" applyFont="1" applyFill="1" applyAlignment="1">
      <alignment vertical="center"/>
    </xf>
    <xf numFmtId="0" fontId="4" fillId="2" borderId="0" xfId="0" applyFont="1" applyFill="1" applyAlignment="1">
      <alignment vertical="center"/>
    </xf>
    <xf numFmtId="166" fontId="4" fillId="2" borderId="0" xfId="2" applyNumberFormat="1" applyFont="1" applyFill="1" applyAlignment="1">
      <alignment vertical="center"/>
    </xf>
    <xf numFmtId="0" fontId="9" fillId="0" borderId="0" xfId="3" applyFont="1" applyAlignment="1">
      <alignment vertical="center"/>
    </xf>
    <xf numFmtId="0" fontId="10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2" fillId="4" borderId="1" xfId="0" applyFont="1" applyFill="1" applyBorder="1" applyAlignment="1">
      <alignment horizontal="center" vertical="center"/>
    </xf>
    <xf numFmtId="165" fontId="12" fillId="4" borderId="2" xfId="2" applyNumberFormat="1" applyFont="1" applyFill="1" applyBorder="1" applyAlignment="1">
      <alignment horizontal="center" vertical="center"/>
    </xf>
    <xf numFmtId="0" fontId="0" fillId="6" borderId="0" xfId="0" applyFill="1"/>
    <xf numFmtId="165" fontId="0" fillId="6" borderId="0" xfId="2" applyNumberFormat="1" applyFont="1" applyFill="1"/>
    <xf numFmtId="0" fontId="0" fillId="5" borderId="0" xfId="0" applyFill="1"/>
    <xf numFmtId="165" fontId="0" fillId="5" borderId="0" xfId="2" applyNumberFormat="1" applyFont="1" applyFill="1"/>
    <xf numFmtId="0" fontId="13" fillId="7" borderId="0" xfId="0" applyFont="1" applyFill="1"/>
    <xf numFmtId="165" fontId="13" fillId="7" borderId="0" xfId="2" applyNumberFormat="1" applyFont="1" applyFill="1"/>
    <xf numFmtId="165" fontId="10" fillId="0" borderId="0" xfId="1" applyNumberFormat="1" applyFont="1" applyAlignment="1">
      <alignment vertical="center"/>
    </xf>
    <xf numFmtId="165" fontId="11" fillId="0" borderId="0" xfId="1" applyNumberFormat="1" applyFont="1" applyAlignment="1">
      <alignment vertical="center"/>
    </xf>
    <xf numFmtId="0" fontId="14" fillId="6" borderId="0" xfId="0" applyFont="1" applyFill="1"/>
    <xf numFmtId="165" fontId="14" fillId="6" borderId="0" xfId="2" applyNumberFormat="1" applyFont="1" applyFill="1"/>
    <xf numFmtId="0" fontId="14" fillId="5" borderId="0" xfId="0" applyFont="1" applyFill="1"/>
    <xf numFmtId="165" fontId="14" fillId="5" borderId="0" xfId="2" applyNumberFormat="1" applyFont="1" applyFill="1"/>
    <xf numFmtId="0" fontId="15" fillId="2" borderId="3" xfId="0" applyFont="1" applyFill="1" applyBorder="1" applyAlignment="1">
      <alignment horizontal="center" vertical="center"/>
    </xf>
    <xf numFmtId="165" fontId="15" fillId="2" borderId="3" xfId="0" applyNumberFormat="1" applyFont="1" applyFill="1" applyBorder="1" applyAlignment="1">
      <alignment vertical="center"/>
    </xf>
    <xf numFmtId="0" fontId="10" fillId="0" borderId="0" xfId="0" applyFont="1"/>
    <xf numFmtId="0" fontId="16" fillId="0" borderId="0" xfId="0" applyFont="1"/>
    <xf numFmtId="0" fontId="14" fillId="6" borderId="0" xfId="0" applyFont="1" applyFill="1" applyAlignment="1">
      <alignment vertical="center"/>
    </xf>
    <xf numFmtId="165" fontId="14" fillId="6" borderId="0" xfId="2" applyNumberFormat="1" applyFont="1" applyFill="1" applyAlignment="1">
      <alignment vertical="center"/>
    </xf>
    <xf numFmtId="0" fontId="14" fillId="5" borderId="0" xfId="0" applyFont="1" applyFill="1" applyAlignment="1">
      <alignment vertical="center"/>
    </xf>
    <xf numFmtId="165" fontId="14" fillId="5" borderId="0" xfId="2" applyNumberFormat="1" applyFont="1" applyFill="1" applyAlignment="1">
      <alignment vertical="center"/>
    </xf>
    <xf numFmtId="0" fontId="15" fillId="2" borderId="3" xfId="0" applyFont="1" applyFill="1" applyBorder="1" applyAlignment="1">
      <alignment vertical="center"/>
    </xf>
    <xf numFmtId="0" fontId="17" fillId="0" borderId="0" xfId="0" applyFont="1" applyAlignment="1">
      <alignment vertical="center"/>
    </xf>
    <xf numFmtId="0" fontId="11" fillId="0" borderId="0" xfId="0" applyFont="1"/>
    <xf numFmtId="0" fontId="12" fillId="4" borderId="2" xfId="0" applyFont="1" applyFill="1" applyBorder="1" applyAlignment="1">
      <alignment horizontal="center" vertical="center"/>
    </xf>
    <xf numFmtId="165" fontId="12" fillId="4" borderId="2" xfId="1" applyNumberFormat="1" applyFont="1" applyFill="1" applyBorder="1" applyAlignment="1">
      <alignment horizontal="center" vertical="center"/>
    </xf>
    <xf numFmtId="165" fontId="14" fillId="6" borderId="0" xfId="1" applyNumberFormat="1" applyFont="1" applyFill="1" applyAlignment="1">
      <alignment vertical="center"/>
    </xf>
    <xf numFmtId="165" fontId="14" fillId="5" borderId="0" xfId="1" applyNumberFormat="1" applyFont="1" applyFill="1" applyAlignment="1">
      <alignment vertical="center"/>
    </xf>
    <xf numFmtId="0" fontId="18" fillId="0" borderId="0" xfId="0" applyFont="1" applyAlignment="1">
      <alignment horizontal="left" vertical="center"/>
    </xf>
    <xf numFmtId="0" fontId="19" fillId="0" borderId="0" xfId="0" applyFont="1" applyAlignment="1">
      <alignment vertical="center" wrapText="1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0" fontId="20" fillId="4" borderId="4" xfId="0" applyFont="1" applyFill="1" applyBorder="1" applyAlignment="1">
      <alignment horizontal="center" vertical="center"/>
    </xf>
    <xf numFmtId="0" fontId="20" fillId="4" borderId="4" xfId="0" applyFont="1" applyFill="1" applyBorder="1" applyAlignment="1">
      <alignment horizontal="center" vertical="center" wrapText="1"/>
    </xf>
    <xf numFmtId="0" fontId="20" fillId="8" borderId="0" xfId="0" applyFont="1" applyFill="1" applyAlignment="1">
      <alignment horizontal="left" vertical="center"/>
    </xf>
    <xf numFmtId="0" fontId="20" fillId="8" borderId="0" xfId="0" applyFont="1" applyFill="1" applyAlignment="1">
      <alignment horizontal="left" vertical="center" wrapText="1"/>
    </xf>
    <xf numFmtId="0" fontId="18" fillId="6" borderId="5" xfId="0" applyFont="1" applyFill="1" applyBorder="1" applyAlignment="1">
      <alignment horizontal="center" vertical="center"/>
    </xf>
    <xf numFmtId="0" fontId="18" fillId="6" borderId="6" xfId="0" applyFont="1" applyFill="1" applyBorder="1" applyAlignment="1">
      <alignment horizontal="left" vertical="center"/>
    </xf>
    <xf numFmtId="0" fontId="18" fillId="6" borderId="7" xfId="0" applyFont="1" applyFill="1" applyBorder="1" applyAlignment="1">
      <alignment horizontal="left" vertical="center"/>
    </xf>
    <xf numFmtId="0" fontId="18" fillId="0" borderId="8" xfId="0" applyFont="1" applyBorder="1" applyAlignment="1">
      <alignment horizontal="center" vertical="center"/>
    </xf>
    <xf numFmtId="0" fontId="18" fillId="0" borderId="9" xfId="0" applyFont="1" applyBorder="1" applyAlignment="1">
      <alignment horizontal="left" vertical="center"/>
    </xf>
    <xf numFmtId="0" fontId="18" fillId="0" borderId="10" xfId="0" applyFont="1" applyBorder="1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18" fillId="0" borderId="11" xfId="0" applyFont="1" applyBorder="1" applyAlignment="1">
      <alignment horizontal="center" vertical="center"/>
    </xf>
    <xf numFmtId="0" fontId="18" fillId="0" borderId="12" xfId="0" applyFont="1" applyBorder="1" applyAlignment="1">
      <alignment horizontal="left" vertical="center"/>
    </xf>
    <xf numFmtId="0" fontId="18" fillId="6" borderId="11" xfId="0" applyFont="1" applyFill="1" applyBorder="1" applyAlignment="1">
      <alignment horizontal="center" vertical="center"/>
    </xf>
    <xf numFmtId="0" fontId="18" fillId="6" borderId="0" xfId="0" applyFont="1" applyFill="1" applyAlignment="1">
      <alignment horizontal="left" vertical="center"/>
    </xf>
    <xf numFmtId="0" fontId="18" fillId="6" borderId="12" xfId="0" applyFont="1" applyFill="1" applyBorder="1" applyAlignment="1">
      <alignment horizontal="left" vertical="center"/>
    </xf>
    <xf numFmtId="0" fontId="18" fillId="6" borderId="8" xfId="0" applyFont="1" applyFill="1" applyBorder="1" applyAlignment="1">
      <alignment horizontal="center" vertical="center"/>
    </xf>
    <xf numFmtId="0" fontId="18" fillId="6" borderId="9" xfId="0" applyFont="1" applyFill="1" applyBorder="1" applyAlignment="1">
      <alignment horizontal="left" vertical="center"/>
    </xf>
    <xf numFmtId="0" fontId="18" fillId="6" borderId="10" xfId="0" applyFont="1" applyFill="1" applyBorder="1" applyAlignment="1">
      <alignment horizontal="left" vertical="center"/>
    </xf>
    <xf numFmtId="0" fontId="18" fillId="0" borderId="5" xfId="0" applyFont="1" applyBorder="1" applyAlignment="1">
      <alignment horizontal="center" vertical="center"/>
    </xf>
    <xf numFmtId="0" fontId="18" fillId="0" borderId="6" xfId="0" applyFont="1" applyBorder="1" applyAlignment="1">
      <alignment horizontal="left" vertical="center"/>
    </xf>
    <xf numFmtId="0" fontId="18" fillId="0" borderId="7" xfId="0" applyFont="1" applyBorder="1" applyAlignment="1">
      <alignment horizontal="left" vertical="center"/>
    </xf>
    <xf numFmtId="0" fontId="18" fillId="5" borderId="0" xfId="0" applyFont="1" applyFill="1" applyAlignment="1">
      <alignment vertical="center"/>
    </xf>
    <xf numFmtId="0" fontId="18" fillId="6" borderId="13" xfId="0" applyFont="1" applyFill="1" applyBorder="1" applyAlignment="1">
      <alignment horizontal="center" vertical="center"/>
    </xf>
    <xf numFmtId="0" fontId="18" fillId="6" borderId="3" xfId="0" applyFont="1" applyFill="1" applyBorder="1" applyAlignment="1">
      <alignment horizontal="left" vertical="center"/>
    </xf>
    <xf numFmtId="0" fontId="18" fillId="6" borderId="14" xfId="0" applyFont="1" applyFill="1" applyBorder="1" applyAlignment="1">
      <alignment horizontal="left" vertical="center"/>
    </xf>
    <xf numFmtId="0" fontId="18" fillId="0" borderId="13" xfId="0" applyFont="1" applyBorder="1" applyAlignment="1">
      <alignment horizontal="center" vertical="center"/>
    </xf>
    <xf numFmtId="0" fontId="18" fillId="0" borderId="3" xfId="0" applyFont="1" applyBorder="1" applyAlignment="1">
      <alignment horizontal="left" vertical="center"/>
    </xf>
    <xf numFmtId="0" fontId="18" fillId="0" borderId="14" xfId="0" applyFont="1" applyBorder="1" applyAlignment="1">
      <alignment horizontal="left" vertical="center"/>
    </xf>
    <xf numFmtId="0" fontId="18" fillId="0" borderId="0" xfId="0" applyFont="1" applyAlignment="1">
      <alignment vertical="center" wrapText="1"/>
    </xf>
  </cellXfs>
  <cellStyles count="4">
    <cellStyle name="Lien hypertexte" xfId="3" builtinId="8"/>
    <cellStyle name="Milliers" xfId="1" builtinId="3"/>
    <cellStyle name="Milliers 414" xfId="2" xr:uid="{B137A948-59D3-444E-8F95-D55B35FD72F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Bmd\Documents\ISE\Cours\ISE3\Stage%20ITIE\rapports\2024\Rapport-final-ITIE-Senegal-2024-Version-Finale-annexes-VF221225.xlsx" TargetMode="External"/><Relationship Id="rId1" Type="http://schemas.openxmlformats.org/officeDocument/2006/relationships/externalLinkPath" Target="/Users/Bmd/Documents/ISE/Cours/ISE3/Stage%20ITIE/rapports/2024/Rapport-final-ITIE-Senegal-2024-Version-Finale-annexes-VF2212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ommaire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-1"/>
      <sheetName val="18-2"/>
      <sheetName val="18-3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42"/>
      <sheetName val="43"/>
      <sheetName val="44"/>
      <sheetName val="4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C6E1B-1A58-457D-A118-A92BEA8D20E2}">
  <sheetPr>
    <tabColor rgb="FF00B050"/>
  </sheetPr>
  <dimension ref="A1:M459"/>
  <sheetViews>
    <sheetView tabSelected="1" zoomScale="93" workbookViewId="0">
      <selection activeCell="B8" sqref="B8"/>
    </sheetView>
  </sheetViews>
  <sheetFormatPr baseColWidth="10" defaultColWidth="12.6328125" defaultRowHeight="10.5"/>
  <cols>
    <col min="1" max="1" width="43.6328125" style="1" bestFit="1" customWidth="1"/>
    <col min="2" max="2" width="19.6328125" style="1" bestFit="1" customWidth="1"/>
    <col min="3" max="3" width="15" style="1" bestFit="1" customWidth="1"/>
    <col min="4" max="4" width="13.36328125" style="1" bestFit="1" customWidth="1"/>
    <col min="5" max="5" width="53.26953125" style="1" bestFit="1" customWidth="1"/>
    <col min="6" max="6" width="13.36328125" style="1" bestFit="1" customWidth="1"/>
    <col min="7" max="7" width="15.08984375" style="1" bestFit="1" customWidth="1"/>
    <col min="8" max="8" width="14.1796875" style="1" bestFit="1" customWidth="1"/>
    <col min="9" max="10" width="15.08984375" style="1" bestFit="1" customWidth="1"/>
    <col min="11" max="11" width="14.1796875" style="1" bestFit="1" customWidth="1"/>
    <col min="12" max="12" width="15.08984375" style="1" bestFit="1" customWidth="1"/>
    <col min="13" max="13" width="13.7265625" style="1" bestFit="1" customWidth="1"/>
    <col min="14" max="16384" width="12.6328125" style="1"/>
  </cols>
  <sheetData>
    <row r="1" spans="1:13" ht="14.5">
      <c r="A1" t="s">
        <v>0</v>
      </c>
      <c r="B1"/>
      <c r="C1"/>
    </row>
    <row r="2" spans="1:13" ht="14.5">
      <c r="A2"/>
      <c r="B2"/>
      <c r="C2"/>
    </row>
    <row r="3" spans="1:13" ht="18.5">
      <c r="A3" s="2" t="s">
        <v>1</v>
      </c>
      <c r="B3"/>
      <c r="C3"/>
    </row>
    <row r="4" spans="1:13" ht="14.5">
      <c r="A4"/>
      <c r="B4"/>
      <c r="C4"/>
    </row>
    <row r="5" spans="1:13" ht="21">
      <c r="A5"/>
      <c r="B5" s="3" t="s">
        <v>2</v>
      </c>
      <c r="C5" s="3" t="s">
        <v>3</v>
      </c>
      <c r="D5" s="3" t="s">
        <v>4</v>
      </c>
    </row>
    <row r="6" spans="1:13" ht="14.5">
      <c r="A6"/>
      <c r="B6" s="4">
        <f>SUM(I9:I457)</f>
        <v>417874941546</v>
      </c>
      <c r="C6" s="4">
        <f>SUM(L9:L457)</f>
        <v>415396964564</v>
      </c>
      <c r="D6" s="4">
        <f>+B6-C6</f>
        <v>2477976982</v>
      </c>
    </row>
    <row r="7" spans="1:13" ht="14.5">
      <c r="A7"/>
      <c r="B7"/>
      <c r="C7"/>
      <c r="D7" s="5"/>
    </row>
    <row r="8" spans="1:13" ht="21">
      <c r="A8" s="6" t="s">
        <v>5</v>
      </c>
      <c r="B8" s="6" t="s">
        <v>6</v>
      </c>
      <c r="C8" s="6" t="s">
        <v>7</v>
      </c>
      <c r="D8" s="6" t="s">
        <v>8</v>
      </c>
      <c r="E8" s="6" t="s">
        <v>9</v>
      </c>
      <c r="F8" s="7" t="s">
        <v>10</v>
      </c>
      <c r="G8" s="8" t="s">
        <v>11</v>
      </c>
      <c r="H8" s="6" t="s">
        <v>12</v>
      </c>
      <c r="I8" s="9" t="s">
        <v>13</v>
      </c>
      <c r="J8" s="8" t="s">
        <v>11</v>
      </c>
      <c r="K8" s="6" t="s">
        <v>12</v>
      </c>
      <c r="L8" s="9" t="s">
        <v>14</v>
      </c>
      <c r="M8" s="7" t="s">
        <v>15</v>
      </c>
    </row>
    <row r="9" spans="1:13">
      <c r="A9" s="10" t="s">
        <v>16</v>
      </c>
      <c r="B9" s="10" t="s">
        <v>17</v>
      </c>
      <c r="C9" s="10">
        <v>1</v>
      </c>
      <c r="D9" s="11">
        <v>28</v>
      </c>
      <c r="E9" s="10" t="s">
        <v>18</v>
      </c>
      <c r="F9" s="10" t="s">
        <v>19</v>
      </c>
      <c r="G9" s="4">
        <v>47602125</v>
      </c>
      <c r="H9" s="12">
        <v>-524476</v>
      </c>
      <c r="I9" s="4">
        <v>47077649</v>
      </c>
      <c r="J9" s="12">
        <v>66603270</v>
      </c>
      <c r="K9" s="12">
        <v>0</v>
      </c>
      <c r="L9" s="4">
        <v>66603270</v>
      </c>
      <c r="M9" s="13">
        <v>-19525621</v>
      </c>
    </row>
    <row r="10" spans="1:13">
      <c r="A10" s="14" t="s">
        <v>16</v>
      </c>
      <c r="B10" s="14" t="s">
        <v>17</v>
      </c>
      <c r="C10" s="14">
        <v>1</v>
      </c>
      <c r="D10" s="15">
        <v>34</v>
      </c>
      <c r="E10" s="14" t="s">
        <v>20</v>
      </c>
      <c r="F10" s="14" t="s">
        <v>19</v>
      </c>
      <c r="G10" s="16">
        <v>0</v>
      </c>
      <c r="H10" s="17">
        <v>524476</v>
      </c>
      <c r="I10" s="16">
        <v>524476</v>
      </c>
      <c r="J10" s="17">
        <v>524476</v>
      </c>
      <c r="K10" s="17">
        <v>0</v>
      </c>
      <c r="L10" s="16">
        <v>524476</v>
      </c>
      <c r="M10" s="18">
        <v>0</v>
      </c>
    </row>
    <row r="11" spans="1:13">
      <c r="A11" s="10" t="s">
        <v>16</v>
      </c>
      <c r="B11" s="10" t="s">
        <v>17</v>
      </c>
      <c r="C11" s="10">
        <v>1</v>
      </c>
      <c r="D11" s="11">
        <v>57</v>
      </c>
      <c r="E11" s="10" t="s">
        <v>21</v>
      </c>
      <c r="F11" s="10" t="s">
        <v>22</v>
      </c>
      <c r="G11" s="4">
        <v>0</v>
      </c>
      <c r="H11" s="12">
        <v>0</v>
      </c>
      <c r="I11" s="4">
        <v>0</v>
      </c>
      <c r="J11" s="12">
        <v>2925721</v>
      </c>
      <c r="K11" s="12">
        <v>0</v>
      </c>
      <c r="L11" s="4">
        <v>2925721</v>
      </c>
      <c r="M11" s="13">
        <v>-2925721</v>
      </c>
    </row>
    <row r="12" spans="1:13">
      <c r="A12" s="14" t="s">
        <v>16</v>
      </c>
      <c r="B12" s="14" t="s">
        <v>17</v>
      </c>
      <c r="C12" s="14">
        <v>1</v>
      </c>
      <c r="D12" s="15">
        <v>58</v>
      </c>
      <c r="E12" s="14" t="s">
        <v>23</v>
      </c>
      <c r="F12" s="14" t="s">
        <v>24</v>
      </c>
      <c r="G12" s="16">
        <v>16875803</v>
      </c>
      <c r="H12" s="17">
        <v>0</v>
      </c>
      <c r="I12" s="16">
        <v>16875803</v>
      </c>
      <c r="J12" s="17">
        <v>0</v>
      </c>
      <c r="K12" s="17">
        <v>0</v>
      </c>
      <c r="L12" s="16">
        <v>0</v>
      </c>
      <c r="M12" s="18">
        <v>16875803</v>
      </c>
    </row>
    <row r="13" spans="1:13">
      <c r="A13" s="10" t="s">
        <v>25</v>
      </c>
      <c r="B13" s="10" t="s">
        <v>17</v>
      </c>
      <c r="C13" s="10">
        <v>2</v>
      </c>
      <c r="D13" s="11">
        <v>3</v>
      </c>
      <c r="E13" s="10" t="s">
        <v>26</v>
      </c>
      <c r="F13" s="10" t="s">
        <v>27</v>
      </c>
      <c r="G13" s="4">
        <v>9388278</v>
      </c>
      <c r="H13" s="12">
        <v>0</v>
      </c>
      <c r="I13" s="4">
        <v>9388278</v>
      </c>
      <c r="J13" s="12">
        <v>9388278</v>
      </c>
      <c r="K13" s="12">
        <v>0</v>
      </c>
      <c r="L13" s="4">
        <v>9388278</v>
      </c>
      <c r="M13" s="13">
        <v>0</v>
      </c>
    </row>
    <row r="14" spans="1:13">
      <c r="A14" s="14" t="s">
        <v>25</v>
      </c>
      <c r="B14" s="14" t="s">
        <v>17</v>
      </c>
      <c r="C14" s="14">
        <v>2</v>
      </c>
      <c r="D14" s="15">
        <v>7</v>
      </c>
      <c r="E14" s="14" t="s">
        <v>28</v>
      </c>
      <c r="F14" s="14" t="s">
        <v>27</v>
      </c>
      <c r="G14" s="16">
        <v>40881970</v>
      </c>
      <c r="H14" s="17">
        <v>625000</v>
      </c>
      <c r="I14" s="16">
        <v>41506970</v>
      </c>
      <c r="J14" s="17">
        <v>41506970</v>
      </c>
      <c r="K14" s="17">
        <v>0</v>
      </c>
      <c r="L14" s="16">
        <v>41506970</v>
      </c>
      <c r="M14" s="18">
        <v>0</v>
      </c>
    </row>
    <row r="15" spans="1:13">
      <c r="A15" s="10" t="s">
        <v>25</v>
      </c>
      <c r="B15" s="10" t="s">
        <v>17</v>
      </c>
      <c r="C15" s="10">
        <v>2</v>
      </c>
      <c r="D15" s="11">
        <v>18</v>
      </c>
      <c r="E15" s="10" t="s">
        <v>29</v>
      </c>
      <c r="F15" s="10" t="s">
        <v>30</v>
      </c>
      <c r="G15" s="4">
        <v>1550000000</v>
      </c>
      <c r="H15" s="12">
        <v>0</v>
      </c>
      <c r="I15" s="4">
        <v>1550000000</v>
      </c>
      <c r="J15" s="12">
        <v>1550000000</v>
      </c>
      <c r="K15" s="12">
        <v>0</v>
      </c>
      <c r="L15" s="4">
        <v>1550000000</v>
      </c>
      <c r="M15" s="13">
        <v>0</v>
      </c>
    </row>
    <row r="16" spans="1:13">
      <c r="A16" s="14" t="s">
        <v>25</v>
      </c>
      <c r="B16" s="14" t="s">
        <v>17</v>
      </c>
      <c r="C16" s="14">
        <v>2</v>
      </c>
      <c r="D16" s="15">
        <v>21</v>
      </c>
      <c r="E16" s="14" t="s">
        <v>31</v>
      </c>
      <c r="F16" s="14" t="s">
        <v>30</v>
      </c>
      <c r="G16" s="16">
        <v>62500000</v>
      </c>
      <c r="H16" s="17">
        <v>-12500000</v>
      </c>
      <c r="I16" s="16">
        <v>50000000</v>
      </c>
      <c r="J16" s="17">
        <v>50000000</v>
      </c>
      <c r="K16" s="17">
        <v>0</v>
      </c>
      <c r="L16" s="16">
        <v>50000000</v>
      </c>
      <c r="M16" s="18">
        <v>0</v>
      </c>
    </row>
    <row r="17" spans="1:13">
      <c r="A17" s="10" t="s">
        <v>25</v>
      </c>
      <c r="B17" s="10" t="s">
        <v>17</v>
      </c>
      <c r="C17" s="10">
        <v>2</v>
      </c>
      <c r="D17" s="11">
        <v>27</v>
      </c>
      <c r="E17" s="10" t="s">
        <v>32</v>
      </c>
      <c r="F17" s="10" t="s">
        <v>19</v>
      </c>
      <c r="G17" s="4">
        <v>23825893086</v>
      </c>
      <c r="H17" s="12">
        <v>-19626885</v>
      </c>
      <c r="I17" s="4">
        <v>23806266201</v>
      </c>
      <c r="J17" s="12">
        <v>23806266201</v>
      </c>
      <c r="K17" s="12">
        <v>0</v>
      </c>
      <c r="L17" s="4">
        <v>23806266201</v>
      </c>
      <c r="M17" s="13">
        <v>0</v>
      </c>
    </row>
    <row r="18" spans="1:13">
      <c r="A18" s="14" t="s">
        <v>25</v>
      </c>
      <c r="B18" s="14" t="s">
        <v>17</v>
      </c>
      <c r="C18" s="14">
        <v>2</v>
      </c>
      <c r="D18" s="15">
        <v>28</v>
      </c>
      <c r="E18" s="14" t="s">
        <v>18</v>
      </c>
      <c r="F18" s="14" t="s">
        <v>19</v>
      </c>
      <c r="G18" s="16">
        <v>2614316501</v>
      </c>
      <c r="H18" s="17">
        <v>0</v>
      </c>
      <c r="I18" s="16">
        <v>2614316501</v>
      </c>
      <c r="J18" s="17">
        <v>2638630463</v>
      </c>
      <c r="K18" s="17">
        <v>-24313962</v>
      </c>
      <c r="L18" s="16">
        <v>2614316501</v>
      </c>
      <c r="M18" s="18">
        <v>0</v>
      </c>
    </row>
    <row r="19" spans="1:13">
      <c r="A19" s="10" t="s">
        <v>25</v>
      </c>
      <c r="B19" s="10" t="s">
        <v>17</v>
      </c>
      <c r="C19" s="10">
        <v>2</v>
      </c>
      <c r="D19" s="11">
        <v>34</v>
      </c>
      <c r="E19" s="10" t="s">
        <v>20</v>
      </c>
      <c r="F19" s="10" t="s">
        <v>19</v>
      </c>
      <c r="G19" s="4">
        <v>68558054</v>
      </c>
      <c r="H19" s="12">
        <v>0</v>
      </c>
      <c r="I19" s="4">
        <v>68558054</v>
      </c>
      <c r="J19" s="12">
        <v>68558054</v>
      </c>
      <c r="K19" s="12">
        <v>0</v>
      </c>
      <c r="L19" s="4">
        <v>68558054</v>
      </c>
      <c r="M19" s="13">
        <v>0</v>
      </c>
    </row>
    <row r="20" spans="1:13">
      <c r="A20" s="14" t="s">
        <v>25</v>
      </c>
      <c r="B20" s="14" t="s">
        <v>17</v>
      </c>
      <c r="C20" s="14">
        <v>2</v>
      </c>
      <c r="D20" s="15">
        <v>35</v>
      </c>
      <c r="E20" s="14" t="s">
        <v>33</v>
      </c>
      <c r="F20" s="14" t="s">
        <v>19</v>
      </c>
      <c r="G20" s="16">
        <v>191161313</v>
      </c>
      <c r="H20" s="17">
        <v>0</v>
      </c>
      <c r="I20" s="16">
        <v>191161313</v>
      </c>
      <c r="J20" s="17">
        <v>191161313</v>
      </c>
      <c r="K20" s="17">
        <v>0</v>
      </c>
      <c r="L20" s="16">
        <v>191161313</v>
      </c>
      <c r="M20" s="18">
        <v>0</v>
      </c>
    </row>
    <row r="21" spans="1:13">
      <c r="A21" s="10" t="s">
        <v>25</v>
      </c>
      <c r="B21" s="10" t="s">
        <v>17</v>
      </c>
      <c r="C21" s="10">
        <v>2</v>
      </c>
      <c r="D21" s="11">
        <v>40</v>
      </c>
      <c r="E21" s="10" t="s">
        <v>34</v>
      </c>
      <c r="F21" s="10" t="s">
        <v>19</v>
      </c>
      <c r="G21" s="4">
        <v>9227795151</v>
      </c>
      <c r="H21" s="12">
        <v>0</v>
      </c>
      <c r="I21" s="4">
        <v>9227795151</v>
      </c>
      <c r="J21" s="12">
        <v>9227795151</v>
      </c>
      <c r="K21" s="12">
        <v>0</v>
      </c>
      <c r="L21" s="4">
        <v>9227795151</v>
      </c>
      <c r="M21" s="13">
        <v>0</v>
      </c>
    </row>
    <row r="22" spans="1:13">
      <c r="A22" s="14" t="s">
        <v>25</v>
      </c>
      <c r="B22" s="14" t="s">
        <v>17</v>
      </c>
      <c r="C22" s="14">
        <v>2</v>
      </c>
      <c r="D22" s="15">
        <v>42</v>
      </c>
      <c r="E22" s="14" t="s">
        <v>35</v>
      </c>
      <c r="F22" s="14" t="s">
        <v>19</v>
      </c>
      <c r="G22" s="16">
        <v>3854953928</v>
      </c>
      <c r="H22" s="17">
        <v>0</v>
      </c>
      <c r="I22" s="16">
        <v>3854953928</v>
      </c>
      <c r="J22" s="17">
        <v>3854953928</v>
      </c>
      <c r="K22" s="17">
        <v>0</v>
      </c>
      <c r="L22" s="16">
        <v>3854953928</v>
      </c>
      <c r="M22" s="18">
        <v>0</v>
      </c>
    </row>
    <row r="23" spans="1:13">
      <c r="A23" s="10" t="s">
        <v>25</v>
      </c>
      <c r="B23" s="10" t="s">
        <v>17</v>
      </c>
      <c r="C23" s="10">
        <v>2</v>
      </c>
      <c r="D23" s="11">
        <v>43</v>
      </c>
      <c r="E23" s="10" t="s">
        <v>36</v>
      </c>
      <c r="F23" s="10" t="s">
        <v>37</v>
      </c>
      <c r="G23" s="4">
        <v>0</v>
      </c>
      <c r="H23" s="12">
        <v>0</v>
      </c>
      <c r="I23" s="4">
        <v>0</v>
      </c>
      <c r="J23" s="12">
        <v>2231894708</v>
      </c>
      <c r="K23" s="12">
        <v>0</v>
      </c>
      <c r="L23" s="4">
        <v>2231894708</v>
      </c>
      <c r="M23" s="13">
        <v>0</v>
      </c>
    </row>
    <row r="24" spans="1:13">
      <c r="A24" s="14" t="s">
        <v>25</v>
      </c>
      <c r="B24" s="14" t="s">
        <v>17</v>
      </c>
      <c r="C24" s="14">
        <v>2</v>
      </c>
      <c r="D24" s="15">
        <v>44</v>
      </c>
      <c r="E24" s="14" t="s">
        <v>38</v>
      </c>
      <c r="F24" s="14" t="s">
        <v>37</v>
      </c>
      <c r="G24" s="16">
        <v>0</v>
      </c>
      <c r="H24" s="17">
        <v>0</v>
      </c>
      <c r="I24" s="16">
        <v>0</v>
      </c>
      <c r="J24" s="17">
        <v>89139104</v>
      </c>
      <c r="K24" s="17">
        <v>0</v>
      </c>
      <c r="L24" s="16">
        <v>89139104</v>
      </c>
      <c r="M24" s="18">
        <v>0</v>
      </c>
    </row>
    <row r="25" spans="1:13">
      <c r="A25" s="10" t="s">
        <v>25</v>
      </c>
      <c r="B25" s="10" t="s">
        <v>17</v>
      </c>
      <c r="C25" s="10">
        <v>2</v>
      </c>
      <c r="D25" s="11">
        <v>45</v>
      </c>
      <c r="E25" s="10" t="s">
        <v>39</v>
      </c>
      <c r="F25" s="10" t="s">
        <v>37</v>
      </c>
      <c r="G25" s="4">
        <v>0</v>
      </c>
      <c r="H25" s="12">
        <v>0</v>
      </c>
      <c r="I25" s="4">
        <v>0</v>
      </c>
      <c r="J25" s="12">
        <v>111423870</v>
      </c>
      <c r="K25" s="12">
        <v>0</v>
      </c>
      <c r="L25" s="4">
        <v>111423870</v>
      </c>
      <c r="M25" s="13">
        <v>0</v>
      </c>
    </row>
    <row r="26" spans="1:13">
      <c r="A26" s="14" t="s">
        <v>25</v>
      </c>
      <c r="B26" s="14" t="s">
        <v>17</v>
      </c>
      <c r="C26" s="14">
        <v>2</v>
      </c>
      <c r="D26" s="15">
        <v>46</v>
      </c>
      <c r="E26" s="14" t="s">
        <v>40</v>
      </c>
      <c r="F26" s="14" t="s">
        <v>37</v>
      </c>
      <c r="G26" s="16">
        <v>3459620312</v>
      </c>
      <c r="H26" s="17">
        <v>23767890</v>
      </c>
      <c r="I26" s="16">
        <v>3483388202</v>
      </c>
      <c r="J26" s="17">
        <v>1151032771</v>
      </c>
      <c r="K26" s="17">
        <v>0</v>
      </c>
      <c r="L26" s="16">
        <v>1151032771</v>
      </c>
      <c r="M26" s="18">
        <v>-422435238</v>
      </c>
    </row>
    <row r="27" spans="1:13">
      <c r="A27" s="10" t="s">
        <v>25</v>
      </c>
      <c r="B27" s="10" t="s">
        <v>17</v>
      </c>
      <c r="C27" s="10">
        <v>2</v>
      </c>
      <c r="D27" s="11">
        <v>47</v>
      </c>
      <c r="E27" s="10" t="s">
        <v>41</v>
      </c>
      <c r="F27" s="10" t="s">
        <v>37</v>
      </c>
      <c r="G27" s="4">
        <v>0</v>
      </c>
      <c r="H27" s="12">
        <v>0</v>
      </c>
      <c r="I27" s="4">
        <v>0</v>
      </c>
      <c r="J27" s="12">
        <v>55711936</v>
      </c>
      <c r="K27" s="12">
        <v>0</v>
      </c>
      <c r="L27" s="4">
        <v>55711936</v>
      </c>
      <c r="M27" s="13">
        <v>0</v>
      </c>
    </row>
    <row r="28" spans="1:13">
      <c r="A28" s="14" t="s">
        <v>25</v>
      </c>
      <c r="B28" s="14" t="s">
        <v>17</v>
      </c>
      <c r="C28" s="14">
        <v>2</v>
      </c>
      <c r="D28" s="15">
        <v>48</v>
      </c>
      <c r="E28" s="14" t="s">
        <v>42</v>
      </c>
      <c r="F28" s="14" t="s">
        <v>37</v>
      </c>
      <c r="G28" s="16">
        <v>0</v>
      </c>
      <c r="H28" s="17">
        <v>0</v>
      </c>
      <c r="I28" s="16">
        <v>0</v>
      </c>
      <c r="J28" s="17">
        <v>43773295</v>
      </c>
      <c r="K28" s="17">
        <v>0</v>
      </c>
      <c r="L28" s="16">
        <v>43773295</v>
      </c>
      <c r="M28" s="18">
        <v>0</v>
      </c>
    </row>
    <row r="29" spans="1:13">
      <c r="A29" s="10" t="s">
        <v>25</v>
      </c>
      <c r="B29" s="10" t="s">
        <v>17</v>
      </c>
      <c r="C29" s="10">
        <v>2</v>
      </c>
      <c r="D29" s="11">
        <v>50</v>
      </c>
      <c r="E29" s="10" t="s">
        <v>43</v>
      </c>
      <c r="F29" s="10" t="s">
        <v>37</v>
      </c>
      <c r="G29" s="4">
        <v>0</v>
      </c>
      <c r="H29" s="12">
        <v>0</v>
      </c>
      <c r="I29" s="4">
        <v>0</v>
      </c>
      <c r="J29" s="12">
        <v>222847756</v>
      </c>
      <c r="K29" s="12">
        <v>0</v>
      </c>
      <c r="L29" s="4">
        <v>222847756</v>
      </c>
      <c r="M29" s="13">
        <v>0</v>
      </c>
    </row>
    <row r="30" spans="1:13">
      <c r="A30" s="14" t="s">
        <v>25</v>
      </c>
      <c r="B30" s="14" t="s">
        <v>17</v>
      </c>
      <c r="C30" s="14">
        <v>2</v>
      </c>
      <c r="D30" s="15">
        <v>52</v>
      </c>
      <c r="E30" s="14" t="s">
        <v>44</v>
      </c>
      <c r="F30" s="14" t="s">
        <v>45</v>
      </c>
      <c r="G30" s="16">
        <v>9413652</v>
      </c>
      <c r="H30" s="17">
        <v>0</v>
      </c>
      <c r="I30" s="16">
        <v>9413652</v>
      </c>
      <c r="J30" s="17">
        <v>9413652</v>
      </c>
      <c r="K30" s="17">
        <v>0</v>
      </c>
      <c r="L30" s="16">
        <v>9413652</v>
      </c>
      <c r="M30" s="18">
        <v>0</v>
      </c>
    </row>
    <row r="31" spans="1:13">
      <c r="A31" s="10" t="s">
        <v>25</v>
      </c>
      <c r="B31" s="10" t="s">
        <v>17</v>
      </c>
      <c r="C31" s="10">
        <v>2</v>
      </c>
      <c r="D31" s="11">
        <v>57</v>
      </c>
      <c r="E31" s="10" t="s">
        <v>21</v>
      </c>
      <c r="F31" s="10" t="s">
        <v>22</v>
      </c>
      <c r="G31" s="4">
        <v>33984395</v>
      </c>
      <c r="H31" s="12">
        <v>0</v>
      </c>
      <c r="I31" s="4">
        <v>33984395</v>
      </c>
      <c r="J31" s="12">
        <v>33991345</v>
      </c>
      <c r="K31" s="12">
        <v>0</v>
      </c>
      <c r="L31" s="4">
        <v>33991345</v>
      </c>
      <c r="M31" s="13">
        <v>-6950</v>
      </c>
    </row>
    <row r="32" spans="1:13">
      <c r="A32" s="14" t="s">
        <v>25</v>
      </c>
      <c r="B32" s="14" t="s">
        <v>17</v>
      </c>
      <c r="C32" s="14">
        <v>2</v>
      </c>
      <c r="D32" s="15">
        <v>58</v>
      </c>
      <c r="E32" s="14" t="s">
        <v>23</v>
      </c>
      <c r="F32" s="14" t="s">
        <v>24</v>
      </c>
      <c r="G32" s="16">
        <v>374352730</v>
      </c>
      <c r="H32" s="17">
        <v>0</v>
      </c>
      <c r="I32" s="16">
        <v>374352730</v>
      </c>
      <c r="J32" s="17">
        <v>374345280</v>
      </c>
      <c r="K32" s="17">
        <v>0</v>
      </c>
      <c r="L32" s="16">
        <v>374345280</v>
      </c>
      <c r="M32" s="18">
        <v>7450</v>
      </c>
    </row>
    <row r="33" spans="1:13">
      <c r="A33" s="10" t="s">
        <v>46</v>
      </c>
      <c r="B33" s="10" t="s">
        <v>17</v>
      </c>
      <c r="C33" s="10">
        <v>3</v>
      </c>
      <c r="D33" s="11">
        <v>3</v>
      </c>
      <c r="E33" s="10" t="s">
        <v>26</v>
      </c>
      <c r="F33" s="10" t="s">
        <v>27</v>
      </c>
      <c r="G33" s="4">
        <v>12982245458</v>
      </c>
      <c r="H33" s="12">
        <v>0</v>
      </c>
      <c r="I33" s="4">
        <v>12982245458</v>
      </c>
      <c r="J33" s="12">
        <v>16602372813</v>
      </c>
      <c r="K33" s="12">
        <v>-3620127355</v>
      </c>
      <c r="L33" s="4">
        <v>12982245458</v>
      </c>
      <c r="M33" s="13">
        <v>0</v>
      </c>
    </row>
    <row r="34" spans="1:13">
      <c r="A34" s="14" t="s">
        <v>46</v>
      </c>
      <c r="B34" s="14" t="s">
        <v>17</v>
      </c>
      <c r="C34" s="14">
        <v>3</v>
      </c>
      <c r="D34" s="15">
        <v>4</v>
      </c>
      <c r="E34" s="14" t="s">
        <v>47</v>
      </c>
      <c r="F34" s="14" t="s">
        <v>27</v>
      </c>
      <c r="G34" s="16">
        <v>340412008</v>
      </c>
      <c r="H34" s="17">
        <v>-62720000</v>
      </c>
      <c r="I34" s="16">
        <v>277692008</v>
      </c>
      <c r="J34" s="17">
        <v>0</v>
      </c>
      <c r="K34" s="17">
        <v>0</v>
      </c>
      <c r="L34" s="16">
        <v>0</v>
      </c>
      <c r="M34" s="18">
        <v>277692008</v>
      </c>
    </row>
    <row r="35" spans="1:13">
      <c r="A35" s="10" t="s">
        <v>46</v>
      </c>
      <c r="B35" s="10" t="s">
        <v>17</v>
      </c>
      <c r="C35" s="10">
        <v>3</v>
      </c>
      <c r="D35" s="11">
        <v>5</v>
      </c>
      <c r="E35" s="10" t="s">
        <v>48</v>
      </c>
      <c r="F35" s="10" t="s">
        <v>27</v>
      </c>
      <c r="G35" s="4">
        <v>10000000</v>
      </c>
      <c r="H35" s="12">
        <v>0</v>
      </c>
      <c r="I35" s="4">
        <v>10000000</v>
      </c>
      <c r="J35" s="12">
        <v>10000000</v>
      </c>
      <c r="K35" s="12">
        <v>0</v>
      </c>
      <c r="L35" s="4">
        <v>10000000</v>
      </c>
      <c r="M35" s="13">
        <v>0</v>
      </c>
    </row>
    <row r="36" spans="1:13">
      <c r="A36" s="14" t="s">
        <v>46</v>
      </c>
      <c r="B36" s="14" t="s">
        <v>17</v>
      </c>
      <c r="C36" s="14">
        <v>3</v>
      </c>
      <c r="D36" s="15">
        <v>7</v>
      </c>
      <c r="E36" s="14" t="s">
        <v>28</v>
      </c>
      <c r="F36" s="14" t="s">
        <v>27</v>
      </c>
      <c r="G36" s="16">
        <v>165308750</v>
      </c>
      <c r="H36" s="17">
        <v>0</v>
      </c>
      <c r="I36" s="16">
        <v>165308750</v>
      </c>
      <c r="J36" s="17">
        <v>165308750</v>
      </c>
      <c r="K36" s="17">
        <v>0</v>
      </c>
      <c r="L36" s="16">
        <v>165308750</v>
      </c>
      <c r="M36" s="18">
        <v>0</v>
      </c>
    </row>
    <row r="37" spans="1:13">
      <c r="A37" s="10" t="s">
        <v>46</v>
      </c>
      <c r="B37" s="10" t="s">
        <v>17</v>
      </c>
      <c r="C37" s="10">
        <v>3</v>
      </c>
      <c r="D37" s="11">
        <v>18</v>
      </c>
      <c r="E37" s="10" t="s">
        <v>29</v>
      </c>
      <c r="F37" s="10" t="s">
        <v>30</v>
      </c>
      <c r="G37" s="4">
        <v>5156057429</v>
      </c>
      <c r="H37" s="12">
        <v>0</v>
      </c>
      <c r="I37" s="4">
        <v>5156057429</v>
      </c>
      <c r="J37" s="12">
        <v>2810289838</v>
      </c>
      <c r="K37" s="12">
        <v>2345767591</v>
      </c>
      <c r="L37" s="4">
        <v>5156057429</v>
      </c>
      <c r="M37" s="13">
        <v>0</v>
      </c>
    </row>
    <row r="38" spans="1:13">
      <c r="A38" s="14" t="s">
        <v>46</v>
      </c>
      <c r="B38" s="14" t="s">
        <v>17</v>
      </c>
      <c r="C38" s="14">
        <v>3</v>
      </c>
      <c r="D38" s="15">
        <v>23</v>
      </c>
      <c r="E38" s="14" t="s">
        <v>49</v>
      </c>
      <c r="F38" s="14" t="s">
        <v>30</v>
      </c>
      <c r="G38" s="16">
        <v>8550085532</v>
      </c>
      <c r="H38" s="17">
        <v>0</v>
      </c>
      <c r="I38" s="16">
        <v>8550085532</v>
      </c>
      <c r="J38" s="17">
        <v>8550085532</v>
      </c>
      <c r="K38" s="17">
        <v>0</v>
      </c>
      <c r="L38" s="16">
        <v>8550085532</v>
      </c>
      <c r="M38" s="18">
        <v>0</v>
      </c>
    </row>
    <row r="39" spans="1:13">
      <c r="A39" s="10" t="s">
        <v>46</v>
      </c>
      <c r="B39" s="10" t="s">
        <v>17</v>
      </c>
      <c r="C39" s="10">
        <v>3</v>
      </c>
      <c r="D39" s="11">
        <v>27</v>
      </c>
      <c r="E39" s="10" t="s">
        <v>32</v>
      </c>
      <c r="F39" s="10" t="s">
        <v>19</v>
      </c>
      <c r="G39" s="4">
        <v>2963333944</v>
      </c>
      <c r="H39" s="12">
        <v>-1738534</v>
      </c>
      <c r="I39" s="4">
        <v>2961595410</v>
      </c>
      <c r="J39" s="12">
        <v>2961595410</v>
      </c>
      <c r="K39" s="12">
        <v>0</v>
      </c>
      <c r="L39" s="4">
        <v>2961595410</v>
      </c>
      <c r="M39" s="13">
        <v>0</v>
      </c>
    </row>
    <row r="40" spans="1:13">
      <c r="A40" s="14" t="s">
        <v>46</v>
      </c>
      <c r="B40" s="14" t="s">
        <v>17</v>
      </c>
      <c r="C40" s="14">
        <v>3</v>
      </c>
      <c r="D40" s="15">
        <v>28</v>
      </c>
      <c r="E40" s="14" t="s">
        <v>18</v>
      </c>
      <c r="F40" s="14" t="s">
        <v>19</v>
      </c>
      <c r="G40" s="16">
        <v>7765358367</v>
      </c>
      <c r="H40" s="17">
        <v>0</v>
      </c>
      <c r="I40" s="16">
        <v>7765358367</v>
      </c>
      <c r="J40" s="17">
        <v>7765358367</v>
      </c>
      <c r="K40" s="17">
        <v>0</v>
      </c>
      <c r="L40" s="16">
        <v>7765358367</v>
      </c>
      <c r="M40" s="18">
        <v>0</v>
      </c>
    </row>
    <row r="41" spans="1:13">
      <c r="A41" s="10" t="s">
        <v>46</v>
      </c>
      <c r="B41" s="10" t="s">
        <v>17</v>
      </c>
      <c r="C41" s="10">
        <v>3</v>
      </c>
      <c r="D41" s="11">
        <v>29</v>
      </c>
      <c r="E41" s="10" t="s">
        <v>50</v>
      </c>
      <c r="F41" s="10" t="s">
        <v>19</v>
      </c>
      <c r="G41" s="4">
        <v>100000000</v>
      </c>
      <c r="H41" s="12">
        <v>0</v>
      </c>
      <c r="I41" s="4">
        <v>100000000</v>
      </c>
      <c r="J41" s="12">
        <v>0</v>
      </c>
      <c r="K41" s="12">
        <v>0</v>
      </c>
      <c r="L41" s="4">
        <v>0</v>
      </c>
      <c r="M41" s="13">
        <v>100000000</v>
      </c>
    </row>
    <row r="42" spans="1:13">
      <c r="A42" s="14" t="s">
        <v>46</v>
      </c>
      <c r="B42" s="14" t="s">
        <v>17</v>
      </c>
      <c r="C42" s="14">
        <v>3</v>
      </c>
      <c r="D42" s="15">
        <v>30</v>
      </c>
      <c r="E42" s="14" t="s">
        <v>51</v>
      </c>
      <c r="F42" s="14" t="s">
        <v>19</v>
      </c>
      <c r="G42" s="16">
        <v>37354442924</v>
      </c>
      <c r="H42" s="17">
        <v>0</v>
      </c>
      <c r="I42" s="16">
        <v>37354442924</v>
      </c>
      <c r="J42" s="17">
        <v>37354442924</v>
      </c>
      <c r="K42" s="17">
        <v>0</v>
      </c>
      <c r="L42" s="16">
        <v>37354442924</v>
      </c>
      <c r="M42" s="18">
        <v>0</v>
      </c>
    </row>
    <row r="43" spans="1:13">
      <c r="A43" s="10" t="s">
        <v>46</v>
      </c>
      <c r="B43" s="10" t="s">
        <v>17</v>
      </c>
      <c r="C43" s="10">
        <v>3</v>
      </c>
      <c r="D43" s="11">
        <v>31</v>
      </c>
      <c r="E43" s="10" t="s">
        <v>52</v>
      </c>
      <c r="F43" s="10" t="s">
        <v>19</v>
      </c>
      <c r="G43" s="4">
        <v>8753036627</v>
      </c>
      <c r="H43" s="12">
        <v>0</v>
      </c>
      <c r="I43" s="4">
        <v>8753036627</v>
      </c>
      <c r="J43" s="12">
        <v>8753036627</v>
      </c>
      <c r="K43" s="12">
        <v>0</v>
      </c>
      <c r="L43" s="4">
        <v>8753036627</v>
      </c>
      <c r="M43" s="13">
        <v>0</v>
      </c>
    </row>
    <row r="44" spans="1:13">
      <c r="A44" s="14" t="s">
        <v>46</v>
      </c>
      <c r="B44" s="14" t="s">
        <v>17</v>
      </c>
      <c r="C44" s="14">
        <v>3</v>
      </c>
      <c r="D44" s="15">
        <v>32</v>
      </c>
      <c r="E44" s="14" t="s">
        <v>53</v>
      </c>
      <c r="F44" s="14" t="s">
        <v>19</v>
      </c>
      <c r="G44" s="16">
        <v>2798450498</v>
      </c>
      <c r="H44" s="17">
        <v>0</v>
      </c>
      <c r="I44" s="16">
        <v>2798450498</v>
      </c>
      <c r="J44" s="17">
        <v>2634565451</v>
      </c>
      <c r="K44" s="17">
        <v>163885044</v>
      </c>
      <c r="L44" s="16">
        <v>2798450495</v>
      </c>
      <c r="M44" s="18">
        <v>3</v>
      </c>
    </row>
    <row r="45" spans="1:13">
      <c r="A45" s="10" t="s">
        <v>46</v>
      </c>
      <c r="B45" s="10" t="s">
        <v>17</v>
      </c>
      <c r="C45" s="10">
        <v>3</v>
      </c>
      <c r="D45" s="11">
        <v>34</v>
      </c>
      <c r="E45" s="10" t="s">
        <v>20</v>
      </c>
      <c r="F45" s="10" t="s">
        <v>19</v>
      </c>
      <c r="G45" s="4">
        <v>17817365</v>
      </c>
      <c r="H45" s="12">
        <v>0</v>
      </c>
      <c r="I45" s="4">
        <v>17817365</v>
      </c>
      <c r="J45" s="12">
        <v>17817365</v>
      </c>
      <c r="K45" s="12">
        <v>0</v>
      </c>
      <c r="L45" s="4">
        <v>17817365</v>
      </c>
      <c r="M45" s="13">
        <v>0</v>
      </c>
    </row>
    <row r="46" spans="1:13">
      <c r="A46" s="14" t="s">
        <v>46</v>
      </c>
      <c r="B46" s="14" t="s">
        <v>17</v>
      </c>
      <c r="C46" s="14">
        <v>3</v>
      </c>
      <c r="D46" s="15">
        <v>35</v>
      </c>
      <c r="E46" s="14" t="s">
        <v>33</v>
      </c>
      <c r="F46" s="14" t="s">
        <v>19</v>
      </c>
      <c r="G46" s="16">
        <v>0</v>
      </c>
      <c r="H46" s="17">
        <v>189710162</v>
      </c>
      <c r="I46" s="16">
        <v>189710162</v>
      </c>
      <c r="J46" s="17">
        <v>189710162</v>
      </c>
      <c r="K46" s="17">
        <v>0</v>
      </c>
      <c r="L46" s="16">
        <v>189710162</v>
      </c>
      <c r="M46" s="18">
        <v>0</v>
      </c>
    </row>
    <row r="47" spans="1:13">
      <c r="A47" s="10" t="s">
        <v>46</v>
      </c>
      <c r="B47" s="10" t="s">
        <v>17</v>
      </c>
      <c r="C47" s="10">
        <v>3</v>
      </c>
      <c r="D47" s="11">
        <v>39</v>
      </c>
      <c r="E47" s="10" t="s">
        <v>54</v>
      </c>
      <c r="F47" s="10" t="s">
        <v>19</v>
      </c>
      <c r="G47" s="4">
        <v>9719760854</v>
      </c>
      <c r="H47" s="12">
        <v>0</v>
      </c>
      <c r="I47" s="4">
        <v>9719760854</v>
      </c>
      <c r="J47" s="12">
        <v>9719760854</v>
      </c>
      <c r="K47" s="12">
        <v>0</v>
      </c>
      <c r="L47" s="4">
        <v>9719760854</v>
      </c>
      <c r="M47" s="13">
        <v>0</v>
      </c>
    </row>
    <row r="48" spans="1:13">
      <c r="A48" s="14" t="s">
        <v>46</v>
      </c>
      <c r="B48" s="14" t="s">
        <v>17</v>
      </c>
      <c r="C48" s="14">
        <v>3</v>
      </c>
      <c r="D48" s="15">
        <v>43</v>
      </c>
      <c r="E48" s="14" t="s">
        <v>36</v>
      </c>
      <c r="F48" s="14" t="s">
        <v>37</v>
      </c>
      <c r="G48" s="16">
        <v>0</v>
      </c>
      <c r="H48" s="17">
        <v>12479862303</v>
      </c>
      <c r="I48" s="16">
        <v>12479862303</v>
      </c>
      <c r="J48" s="17">
        <v>12479862303</v>
      </c>
      <c r="K48" s="17">
        <v>0</v>
      </c>
      <c r="L48" s="16">
        <v>12479862303</v>
      </c>
      <c r="M48" s="18">
        <v>0</v>
      </c>
    </row>
    <row r="49" spans="1:13">
      <c r="A49" s="10" t="s">
        <v>46</v>
      </c>
      <c r="B49" s="10" t="s">
        <v>17</v>
      </c>
      <c r="C49" s="10">
        <v>3</v>
      </c>
      <c r="D49" s="11">
        <v>44</v>
      </c>
      <c r="E49" s="10" t="s">
        <v>38</v>
      </c>
      <c r="F49" s="10" t="s">
        <v>37</v>
      </c>
      <c r="G49" s="4">
        <v>0</v>
      </c>
      <c r="H49" s="12">
        <v>47512057</v>
      </c>
      <c r="I49" s="4">
        <v>47512057</v>
      </c>
      <c r="J49" s="12">
        <v>47512057</v>
      </c>
      <c r="K49" s="12">
        <v>0</v>
      </c>
      <c r="L49" s="4">
        <v>47512057</v>
      </c>
      <c r="M49" s="13">
        <v>0</v>
      </c>
    </row>
    <row r="50" spans="1:13">
      <c r="A50" s="14" t="s">
        <v>46</v>
      </c>
      <c r="B50" s="14" t="s">
        <v>17</v>
      </c>
      <c r="C50" s="14">
        <v>3</v>
      </c>
      <c r="D50" s="15">
        <v>45</v>
      </c>
      <c r="E50" s="14" t="s">
        <v>39</v>
      </c>
      <c r="F50" s="14" t="s">
        <v>37</v>
      </c>
      <c r="G50" s="16">
        <v>0</v>
      </c>
      <c r="H50" s="17">
        <v>59390072</v>
      </c>
      <c r="I50" s="16">
        <v>59390072</v>
      </c>
      <c r="J50" s="17">
        <v>59390072</v>
      </c>
      <c r="K50" s="17">
        <v>0</v>
      </c>
      <c r="L50" s="16">
        <v>59390072</v>
      </c>
      <c r="M50" s="18">
        <v>0</v>
      </c>
    </row>
    <row r="51" spans="1:13">
      <c r="A51" s="10" t="s">
        <v>46</v>
      </c>
      <c r="B51" s="10" t="s">
        <v>17</v>
      </c>
      <c r="C51" s="10">
        <v>3</v>
      </c>
      <c r="D51" s="11">
        <v>46</v>
      </c>
      <c r="E51" s="10" t="s">
        <v>40</v>
      </c>
      <c r="F51" s="10" t="s">
        <v>37</v>
      </c>
      <c r="G51" s="4">
        <v>11095908502</v>
      </c>
      <c r="H51" s="12">
        <v>-10735094737</v>
      </c>
      <c r="I51" s="4">
        <v>360813765</v>
      </c>
      <c r="J51" s="12">
        <v>360813765</v>
      </c>
      <c r="K51" s="12">
        <v>0</v>
      </c>
      <c r="L51" s="4">
        <v>360813765</v>
      </c>
      <c r="M51" s="13">
        <v>0</v>
      </c>
    </row>
    <row r="52" spans="1:13">
      <c r="A52" s="14" t="s">
        <v>46</v>
      </c>
      <c r="B52" s="14" t="s">
        <v>17</v>
      </c>
      <c r="C52" s="14">
        <v>3</v>
      </c>
      <c r="D52" s="15">
        <v>47</v>
      </c>
      <c r="E52" s="14" t="s">
        <v>41</v>
      </c>
      <c r="F52" s="14" t="s">
        <v>37</v>
      </c>
      <c r="G52" s="16">
        <v>0</v>
      </c>
      <c r="H52" s="17">
        <v>29695037</v>
      </c>
      <c r="I52" s="16">
        <v>29695037</v>
      </c>
      <c r="J52" s="17">
        <v>29695037</v>
      </c>
      <c r="K52" s="17">
        <v>0</v>
      </c>
      <c r="L52" s="16">
        <v>29695037</v>
      </c>
      <c r="M52" s="18">
        <v>0</v>
      </c>
    </row>
    <row r="53" spans="1:13">
      <c r="A53" s="10" t="s">
        <v>46</v>
      </c>
      <c r="B53" s="10" t="s">
        <v>17</v>
      </c>
      <c r="C53" s="10">
        <v>3</v>
      </c>
      <c r="D53" s="11">
        <v>48</v>
      </c>
      <c r="E53" s="10" t="s">
        <v>42</v>
      </c>
      <c r="F53" s="10" t="s">
        <v>37</v>
      </c>
      <c r="G53" s="4">
        <v>0</v>
      </c>
      <c r="H53" s="12">
        <v>51467044</v>
      </c>
      <c r="I53" s="4">
        <v>51467044</v>
      </c>
      <c r="J53" s="12">
        <v>51467044</v>
      </c>
      <c r="K53" s="12">
        <v>0</v>
      </c>
      <c r="L53" s="4">
        <v>51467044</v>
      </c>
      <c r="M53" s="13">
        <v>0</v>
      </c>
    </row>
    <row r="54" spans="1:13">
      <c r="A54" s="14" t="s">
        <v>46</v>
      </c>
      <c r="B54" s="14" t="s">
        <v>17</v>
      </c>
      <c r="C54" s="14">
        <v>3</v>
      </c>
      <c r="D54" s="15">
        <v>49</v>
      </c>
      <c r="E54" s="14" t="s">
        <v>55</v>
      </c>
      <c r="F54" s="14" t="s">
        <v>37</v>
      </c>
      <c r="G54" s="16">
        <v>0</v>
      </c>
      <c r="H54" s="17">
        <v>39601445</v>
      </c>
      <c r="I54" s="16">
        <v>39601445</v>
      </c>
      <c r="J54" s="17">
        <v>39601445</v>
      </c>
      <c r="K54" s="17">
        <v>0</v>
      </c>
      <c r="L54" s="16">
        <v>39601445</v>
      </c>
      <c r="M54" s="18">
        <v>0</v>
      </c>
    </row>
    <row r="55" spans="1:13">
      <c r="A55" s="10" t="s">
        <v>46</v>
      </c>
      <c r="B55" s="10" t="s">
        <v>17</v>
      </c>
      <c r="C55" s="10">
        <v>3</v>
      </c>
      <c r="D55" s="11">
        <v>50</v>
      </c>
      <c r="E55" s="10" t="s">
        <v>43</v>
      </c>
      <c r="F55" s="10" t="s">
        <v>37</v>
      </c>
      <c r="G55" s="4">
        <v>0</v>
      </c>
      <c r="H55" s="12">
        <v>118255043</v>
      </c>
      <c r="I55" s="4">
        <v>118255043</v>
      </c>
      <c r="J55" s="12">
        <v>118255043</v>
      </c>
      <c r="K55" s="12">
        <v>0</v>
      </c>
      <c r="L55" s="4">
        <v>118255043</v>
      </c>
      <c r="M55" s="13">
        <v>0</v>
      </c>
    </row>
    <row r="56" spans="1:13">
      <c r="A56" s="14" t="s">
        <v>46</v>
      </c>
      <c r="B56" s="14" t="s">
        <v>17</v>
      </c>
      <c r="C56" s="14">
        <v>3</v>
      </c>
      <c r="D56" s="15">
        <v>51</v>
      </c>
      <c r="E56" s="14" t="s">
        <v>56</v>
      </c>
      <c r="F56" s="14" t="s">
        <v>37</v>
      </c>
      <c r="G56" s="16">
        <v>8000000000</v>
      </c>
      <c r="H56" s="17">
        <v>101133842</v>
      </c>
      <c r="I56" s="16">
        <v>8101133842</v>
      </c>
      <c r="J56" s="17">
        <v>101133842</v>
      </c>
      <c r="K56" s="17">
        <v>8000000000</v>
      </c>
      <c r="L56" s="16">
        <v>8101133842</v>
      </c>
      <c r="M56" s="18">
        <v>0</v>
      </c>
    </row>
    <row r="57" spans="1:13">
      <c r="A57" s="10" t="s">
        <v>46</v>
      </c>
      <c r="B57" s="10" t="s">
        <v>17</v>
      </c>
      <c r="C57" s="10">
        <v>3</v>
      </c>
      <c r="D57" s="11">
        <v>52</v>
      </c>
      <c r="E57" s="10" t="s">
        <v>44</v>
      </c>
      <c r="F57" s="10" t="s">
        <v>45</v>
      </c>
      <c r="G57" s="4">
        <v>1291096215</v>
      </c>
      <c r="H57" s="12">
        <v>0</v>
      </c>
      <c r="I57" s="4">
        <v>1291096215</v>
      </c>
      <c r="J57" s="12">
        <v>645548107</v>
      </c>
      <c r="K57" s="12">
        <v>0</v>
      </c>
      <c r="L57" s="4">
        <v>645548107</v>
      </c>
      <c r="M57" s="13">
        <v>645548108</v>
      </c>
    </row>
    <row r="58" spans="1:13">
      <c r="A58" s="14" t="s">
        <v>46</v>
      </c>
      <c r="B58" s="14" t="s">
        <v>17</v>
      </c>
      <c r="C58" s="14">
        <v>3</v>
      </c>
      <c r="D58" s="15">
        <v>56</v>
      </c>
      <c r="E58" s="14" t="s">
        <v>57</v>
      </c>
      <c r="F58" s="14" t="s">
        <v>58</v>
      </c>
      <c r="G58" s="16">
        <v>272585030</v>
      </c>
      <c r="H58" s="17">
        <v>0</v>
      </c>
      <c r="I58" s="16">
        <v>272585030</v>
      </c>
      <c r="J58" s="17">
        <v>272585030</v>
      </c>
      <c r="K58" s="17">
        <v>0</v>
      </c>
      <c r="L58" s="16">
        <v>272585030</v>
      </c>
      <c r="M58" s="18">
        <v>0</v>
      </c>
    </row>
    <row r="59" spans="1:13">
      <c r="A59" s="10" t="s">
        <v>46</v>
      </c>
      <c r="B59" s="10" t="s">
        <v>17</v>
      </c>
      <c r="C59" s="10">
        <v>3</v>
      </c>
      <c r="D59" s="11">
        <v>57</v>
      </c>
      <c r="E59" s="10" t="s">
        <v>21</v>
      </c>
      <c r="F59" s="10" t="s">
        <v>22</v>
      </c>
      <c r="G59" s="4">
        <v>0</v>
      </c>
      <c r="H59" s="12">
        <v>109702542</v>
      </c>
      <c r="I59" s="4">
        <v>109702542</v>
      </c>
      <c r="J59" s="12">
        <v>109702542</v>
      </c>
      <c r="K59" s="12">
        <v>0</v>
      </c>
      <c r="L59" s="4">
        <v>109702542</v>
      </c>
      <c r="M59" s="13">
        <v>0</v>
      </c>
    </row>
    <row r="60" spans="1:13">
      <c r="A60" s="14" t="s">
        <v>46</v>
      </c>
      <c r="B60" s="14" t="s">
        <v>17</v>
      </c>
      <c r="C60" s="14">
        <v>3</v>
      </c>
      <c r="D60" s="15">
        <v>58</v>
      </c>
      <c r="E60" s="14" t="s">
        <v>23</v>
      </c>
      <c r="F60" s="14" t="s">
        <v>24</v>
      </c>
      <c r="G60" s="16">
        <v>1163753892</v>
      </c>
      <c r="H60" s="17">
        <v>-109702542</v>
      </c>
      <c r="I60" s="16">
        <v>1054051350</v>
      </c>
      <c r="J60" s="17">
        <v>1054051350</v>
      </c>
      <c r="K60" s="17">
        <v>0</v>
      </c>
      <c r="L60" s="16">
        <v>1054051350</v>
      </c>
      <c r="M60" s="18">
        <v>0</v>
      </c>
    </row>
    <row r="61" spans="1:13">
      <c r="A61" s="10" t="s">
        <v>59</v>
      </c>
      <c r="B61" s="10" t="s">
        <v>17</v>
      </c>
      <c r="C61" s="10">
        <v>4</v>
      </c>
      <c r="D61" s="11">
        <v>5</v>
      </c>
      <c r="E61" s="10" t="s">
        <v>48</v>
      </c>
      <c r="F61" s="10" t="s">
        <v>27</v>
      </c>
      <c r="G61" s="4">
        <v>6000000</v>
      </c>
      <c r="H61" s="12">
        <v>0</v>
      </c>
      <c r="I61" s="4">
        <v>6000000</v>
      </c>
      <c r="J61" s="12">
        <v>6000000</v>
      </c>
      <c r="K61" s="12">
        <v>0</v>
      </c>
      <c r="L61" s="4">
        <v>6000000</v>
      </c>
      <c r="M61" s="13">
        <v>0</v>
      </c>
    </row>
    <row r="62" spans="1:13">
      <c r="A62" s="14" t="s">
        <v>59</v>
      </c>
      <c r="B62" s="14" t="s">
        <v>17</v>
      </c>
      <c r="C62" s="14">
        <v>4</v>
      </c>
      <c r="D62" s="15">
        <v>7</v>
      </c>
      <c r="E62" s="14" t="s">
        <v>28</v>
      </c>
      <c r="F62" s="14" t="s">
        <v>27</v>
      </c>
      <c r="G62" s="16">
        <v>786000</v>
      </c>
      <c r="H62" s="17">
        <v>0</v>
      </c>
      <c r="I62" s="16">
        <v>786000</v>
      </c>
      <c r="J62" s="17">
        <v>786000</v>
      </c>
      <c r="K62" s="17">
        <v>0</v>
      </c>
      <c r="L62" s="16">
        <v>786000</v>
      </c>
      <c r="M62" s="18">
        <v>0</v>
      </c>
    </row>
    <row r="63" spans="1:13">
      <c r="A63" s="10" t="s">
        <v>59</v>
      </c>
      <c r="B63" s="10" t="s">
        <v>17</v>
      </c>
      <c r="C63" s="10">
        <v>4</v>
      </c>
      <c r="D63" s="11">
        <v>27</v>
      </c>
      <c r="E63" s="10" t="s">
        <v>32</v>
      </c>
      <c r="F63" s="10" t="s">
        <v>19</v>
      </c>
      <c r="G63" s="4">
        <v>17777245760</v>
      </c>
      <c r="H63" s="12">
        <v>0</v>
      </c>
      <c r="I63" s="4">
        <v>17777245760</v>
      </c>
      <c r="J63" s="12">
        <v>17777245760</v>
      </c>
      <c r="K63" s="12">
        <v>0</v>
      </c>
      <c r="L63" s="4">
        <v>17777245760</v>
      </c>
      <c r="M63" s="13">
        <v>0</v>
      </c>
    </row>
    <row r="64" spans="1:13">
      <c r="A64" s="14" t="s">
        <v>59</v>
      </c>
      <c r="B64" s="14" t="s">
        <v>17</v>
      </c>
      <c r="C64" s="14">
        <v>4</v>
      </c>
      <c r="D64" s="15">
        <v>28</v>
      </c>
      <c r="E64" s="14" t="s">
        <v>18</v>
      </c>
      <c r="F64" s="14" t="s">
        <v>19</v>
      </c>
      <c r="G64" s="16">
        <v>2420591970</v>
      </c>
      <c r="H64" s="17">
        <v>0</v>
      </c>
      <c r="I64" s="16">
        <v>2420591970</v>
      </c>
      <c r="J64" s="17">
        <v>2420591970</v>
      </c>
      <c r="K64" s="17">
        <v>0</v>
      </c>
      <c r="L64" s="16">
        <v>2420591970</v>
      </c>
      <c r="M64" s="18">
        <v>0</v>
      </c>
    </row>
    <row r="65" spans="1:13">
      <c r="A65" s="10" t="s">
        <v>59</v>
      </c>
      <c r="B65" s="10" t="s">
        <v>17</v>
      </c>
      <c r="C65" s="10">
        <v>4</v>
      </c>
      <c r="D65" s="11">
        <v>29</v>
      </c>
      <c r="E65" s="10" t="s">
        <v>50</v>
      </c>
      <c r="F65" s="10" t="s">
        <v>19</v>
      </c>
      <c r="G65" s="4">
        <v>1000082658</v>
      </c>
      <c r="H65" s="12">
        <v>-1000082658</v>
      </c>
      <c r="I65" s="4">
        <v>0</v>
      </c>
      <c r="J65" s="12">
        <v>0</v>
      </c>
      <c r="K65" s="12">
        <v>0</v>
      </c>
      <c r="L65" s="4">
        <v>0</v>
      </c>
      <c r="M65" s="13">
        <v>0</v>
      </c>
    </row>
    <row r="66" spans="1:13">
      <c r="A66" s="14" t="s">
        <v>59</v>
      </c>
      <c r="B66" s="14" t="s">
        <v>17</v>
      </c>
      <c r="C66" s="14">
        <v>4</v>
      </c>
      <c r="D66" s="15">
        <v>30</v>
      </c>
      <c r="E66" s="14" t="s">
        <v>51</v>
      </c>
      <c r="F66" s="14" t="s">
        <v>19</v>
      </c>
      <c r="G66" s="16">
        <v>0</v>
      </c>
      <c r="H66" s="17">
        <v>965263674</v>
      </c>
      <c r="I66" s="16">
        <v>965263674</v>
      </c>
      <c r="J66" s="17">
        <v>965263674</v>
      </c>
      <c r="K66" s="17">
        <v>0</v>
      </c>
      <c r="L66" s="16">
        <v>965263674</v>
      </c>
      <c r="M66" s="18">
        <v>0</v>
      </c>
    </row>
    <row r="67" spans="1:13">
      <c r="A67" s="10" t="s">
        <v>59</v>
      </c>
      <c r="B67" s="10" t="s">
        <v>17</v>
      </c>
      <c r="C67" s="10">
        <v>4</v>
      </c>
      <c r="D67" s="11">
        <v>34</v>
      </c>
      <c r="E67" s="10" t="s">
        <v>20</v>
      </c>
      <c r="F67" s="10" t="s">
        <v>19</v>
      </c>
      <c r="G67" s="4">
        <v>7705411</v>
      </c>
      <c r="H67" s="12">
        <v>0</v>
      </c>
      <c r="I67" s="4">
        <v>7705411</v>
      </c>
      <c r="J67" s="12">
        <v>7705411</v>
      </c>
      <c r="K67" s="12">
        <v>0</v>
      </c>
      <c r="L67" s="4">
        <v>7705411</v>
      </c>
      <c r="M67" s="13">
        <v>0</v>
      </c>
    </row>
    <row r="68" spans="1:13">
      <c r="A68" s="14" t="s">
        <v>59</v>
      </c>
      <c r="B68" s="14" t="s">
        <v>17</v>
      </c>
      <c r="C68" s="14">
        <v>4</v>
      </c>
      <c r="D68" s="15">
        <v>39</v>
      </c>
      <c r="E68" s="14" t="s">
        <v>54</v>
      </c>
      <c r="F68" s="14" t="s">
        <v>19</v>
      </c>
      <c r="G68" s="16">
        <v>22857143</v>
      </c>
      <c r="H68" s="17">
        <v>34818984</v>
      </c>
      <c r="I68" s="16">
        <v>57676127</v>
      </c>
      <c r="J68" s="17">
        <v>57676127</v>
      </c>
      <c r="K68" s="17">
        <v>0</v>
      </c>
      <c r="L68" s="16">
        <v>57676127</v>
      </c>
      <c r="M68" s="18">
        <v>0</v>
      </c>
    </row>
    <row r="69" spans="1:13">
      <c r="A69" s="10" t="s">
        <v>59</v>
      </c>
      <c r="B69" s="10" t="s">
        <v>17</v>
      </c>
      <c r="C69" s="10">
        <v>4</v>
      </c>
      <c r="D69" s="11">
        <v>40</v>
      </c>
      <c r="E69" s="10" t="s">
        <v>34</v>
      </c>
      <c r="F69" s="10" t="s">
        <v>19</v>
      </c>
      <c r="G69" s="4">
        <v>8188387890</v>
      </c>
      <c r="H69" s="12">
        <v>0</v>
      </c>
      <c r="I69" s="4">
        <v>8188387890</v>
      </c>
      <c r="J69" s="12">
        <v>8188387890</v>
      </c>
      <c r="K69" s="12">
        <v>0</v>
      </c>
      <c r="L69" s="4">
        <v>8188387890</v>
      </c>
      <c r="M69" s="13">
        <v>0</v>
      </c>
    </row>
    <row r="70" spans="1:13">
      <c r="A70" s="14" t="s">
        <v>59</v>
      </c>
      <c r="B70" s="14" t="s">
        <v>17</v>
      </c>
      <c r="C70" s="14">
        <v>4</v>
      </c>
      <c r="D70" s="15">
        <v>42</v>
      </c>
      <c r="E70" s="14" t="s">
        <v>35</v>
      </c>
      <c r="F70" s="14" t="s">
        <v>19</v>
      </c>
      <c r="G70" s="16">
        <v>3360808880</v>
      </c>
      <c r="H70" s="17">
        <v>0</v>
      </c>
      <c r="I70" s="16">
        <v>3360808880</v>
      </c>
      <c r="J70" s="17">
        <v>3360808880</v>
      </c>
      <c r="K70" s="17">
        <v>0</v>
      </c>
      <c r="L70" s="16">
        <v>3360808880</v>
      </c>
      <c r="M70" s="18">
        <v>0</v>
      </c>
    </row>
    <row r="71" spans="1:13">
      <c r="A71" s="10" t="s">
        <v>59</v>
      </c>
      <c r="B71" s="10" t="s">
        <v>17</v>
      </c>
      <c r="C71" s="10">
        <v>4</v>
      </c>
      <c r="D71" s="11">
        <v>43</v>
      </c>
      <c r="E71" s="10" t="s">
        <v>36</v>
      </c>
      <c r="F71" s="10" t="s">
        <v>37</v>
      </c>
      <c r="G71" s="4">
        <v>0</v>
      </c>
      <c r="H71" s="12">
        <v>0</v>
      </c>
      <c r="I71" s="4">
        <v>0</v>
      </c>
      <c r="J71" s="12">
        <v>3256636806</v>
      </c>
      <c r="K71" s="12">
        <v>0</v>
      </c>
      <c r="L71" s="4">
        <v>3256636806</v>
      </c>
      <c r="M71" s="13">
        <v>0</v>
      </c>
    </row>
    <row r="72" spans="1:13">
      <c r="A72" s="14" t="s">
        <v>59</v>
      </c>
      <c r="B72" s="14" t="s">
        <v>17</v>
      </c>
      <c r="C72" s="14">
        <v>4</v>
      </c>
      <c r="D72" s="15">
        <v>44</v>
      </c>
      <c r="E72" s="14" t="s">
        <v>38</v>
      </c>
      <c r="F72" s="14" t="s">
        <v>37</v>
      </c>
      <c r="G72" s="16">
        <v>0</v>
      </c>
      <c r="H72" s="17">
        <v>0</v>
      </c>
      <c r="I72" s="16">
        <v>0</v>
      </c>
      <c r="J72" s="17">
        <v>109969993</v>
      </c>
      <c r="K72" s="17">
        <v>0</v>
      </c>
      <c r="L72" s="16">
        <v>109969993</v>
      </c>
      <c r="M72" s="18">
        <v>0</v>
      </c>
    </row>
    <row r="73" spans="1:13">
      <c r="A73" s="10" t="s">
        <v>59</v>
      </c>
      <c r="B73" s="10" t="s">
        <v>17</v>
      </c>
      <c r="C73" s="10">
        <v>4</v>
      </c>
      <c r="D73" s="11">
        <v>45</v>
      </c>
      <c r="E73" s="10" t="s">
        <v>39</v>
      </c>
      <c r="F73" s="10" t="s">
        <v>37</v>
      </c>
      <c r="G73" s="4">
        <v>0</v>
      </c>
      <c r="H73" s="12">
        <v>0</v>
      </c>
      <c r="I73" s="4">
        <v>0</v>
      </c>
      <c r="J73" s="12">
        <v>139632359</v>
      </c>
      <c r="K73" s="12">
        <v>0</v>
      </c>
      <c r="L73" s="4">
        <v>139632359</v>
      </c>
      <c r="M73" s="13">
        <v>0</v>
      </c>
    </row>
    <row r="74" spans="1:13">
      <c r="A74" s="14" t="s">
        <v>59</v>
      </c>
      <c r="B74" s="14" t="s">
        <v>17</v>
      </c>
      <c r="C74" s="14">
        <v>4</v>
      </c>
      <c r="D74" s="15">
        <v>46</v>
      </c>
      <c r="E74" s="14" t="s">
        <v>40</v>
      </c>
      <c r="F74" s="14" t="s">
        <v>37</v>
      </c>
      <c r="G74" s="16">
        <v>6506032434</v>
      </c>
      <c r="H74" s="17">
        <v>0</v>
      </c>
      <c r="I74" s="16">
        <v>6506032434</v>
      </c>
      <c r="J74" s="17">
        <v>2745527457</v>
      </c>
      <c r="K74" s="17">
        <v>0</v>
      </c>
      <c r="L74" s="16">
        <v>2745527457</v>
      </c>
      <c r="M74" s="18">
        <v>-152386057</v>
      </c>
    </row>
    <row r="75" spans="1:13">
      <c r="A75" s="10" t="s">
        <v>59</v>
      </c>
      <c r="B75" s="10" t="s">
        <v>17</v>
      </c>
      <c r="C75" s="10">
        <v>4</v>
      </c>
      <c r="D75" s="11">
        <v>47</v>
      </c>
      <c r="E75" s="10" t="s">
        <v>41</v>
      </c>
      <c r="F75" s="10" t="s">
        <v>37</v>
      </c>
      <c r="G75" s="4">
        <v>0</v>
      </c>
      <c r="H75" s="12">
        <v>0</v>
      </c>
      <c r="I75" s="4">
        <v>0</v>
      </c>
      <c r="J75" s="12">
        <v>68731244</v>
      </c>
      <c r="K75" s="12">
        <v>0</v>
      </c>
      <c r="L75" s="4">
        <v>68731244</v>
      </c>
      <c r="M75" s="13">
        <v>0</v>
      </c>
    </row>
    <row r="76" spans="1:13">
      <c r="A76" s="14" t="s">
        <v>59</v>
      </c>
      <c r="B76" s="14" t="s">
        <v>17</v>
      </c>
      <c r="C76" s="14">
        <v>4</v>
      </c>
      <c r="D76" s="15">
        <v>48</v>
      </c>
      <c r="E76" s="14" t="s">
        <v>42</v>
      </c>
      <c r="F76" s="14" t="s">
        <v>37</v>
      </c>
      <c r="G76" s="16">
        <v>0</v>
      </c>
      <c r="H76" s="17">
        <v>0</v>
      </c>
      <c r="I76" s="16">
        <v>0</v>
      </c>
      <c r="J76" s="17">
        <v>60534479</v>
      </c>
      <c r="K76" s="17">
        <v>0</v>
      </c>
      <c r="L76" s="16">
        <v>60534479</v>
      </c>
      <c r="M76" s="18">
        <v>0</v>
      </c>
    </row>
    <row r="77" spans="1:13">
      <c r="A77" s="10" t="s">
        <v>59</v>
      </c>
      <c r="B77" s="10" t="s">
        <v>17</v>
      </c>
      <c r="C77" s="10">
        <v>4</v>
      </c>
      <c r="D77" s="11">
        <v>49</v>
      </c>
      <c r="E77" s="10" t="s">
        <v>55</v>
      </c>
      <c r="F77" s="10" t="s">
        <v>37</v>
      </c>
      <c r="G77" s="4">
        <v>0</v>
      </c>
      <c r="H77" s="12">
        <v>0</v>
      </c>
      <c r="I77" s="4">
        <v>0</v>
      </c>
      <c r="J77" s="12">
        <v>2461170</v>
      </c>
      <c r="K77" s="12">
        <v>0</v>
      </c>
      <c r="L77" s="4">
        <v>2461170</v>
      </c>
      <c r="M77" s="13">
        <v>0</v>
      </c>
    </row>
    <row r="78" spans="1:13">
      <c r="A78" s="14" t="s">
        <v>59</v>
      </c>
      <c r="B78" s="14" t="s">
        <v>17</v>
      </c>
      <c r="C78" s="14">
        <v>4</v>
      </c>
      <c r="D78" s="15">
        <v>50</v>
      </c>
      <c r="E78" s="14" t="s">
        <v>43</v>
      </c>
      <c r="F78" s="14" t="s">
        <v>37</v>
      </c>
      <c r="G78" s="16">
        <v>0</v>
      </c>
      <c r="H78" s="17">
        <v>0</v>
      </c>
      <c r="I78" s="16">
        <v>0</v>
      </c>
      <c r="J78" s="17">
        <v>274924983</v>
      </c>
      <c r="K78" s="17">
        <v>0</v>
      </c>
      <c r="L78" s="16">
        <v>274924983</v>
      </c>
      <c r="M78" s="18">
        <v>0</v>
      </c>
    </row>
    <row r="79" spans="1:13">
      <c r="A79" s="10" t="s">
        <v>59</v>
      </c>
      <c r="B79" s="10" t="s">
        <v>17</v>
      </c>
      <c r="C79" s="10">
        <v>4</v>
      </c>
      <c r="D79" s="11">
        <v>52</v>
      </c>
      <c r="E79" s="10" t="s">
        <v>44</v>
      </c>
      <c r="F79" s="10" t="s">
        <v>45</v>
      </c>
      <c r="G79" s="4">
        <v>101621100</v>
      </c>
      <c r="H79" s="12">
        <v>0</v>
      </c>
      <c r="I79" s="4">
        <v>101621100</v>
      </c>
      <c r="J79" s="12">
        <v>101621100</v>
      </c>
      <c r="K79" s="12">
        <v>0</v>
      </c>
      <c r="L79" s="4">
        <v>101621100</v>
      </c>
      <c r="M79" s="13">
        <v>0</v>
      </c>
    </row>
    <row r="80" spans="1:13">
      <c r="A80" s="14" t="s">
        <v>59</v>
      </c>
      <c r="B80" s="14" t="s">
        <v>17</v>
      </c>
      <c r="C80" s="14">
        <v>4</v>
      </c>
      <c r="D80" s="15">
        <v>57</v>
      </c>
      <c r="E80" s="14" t="s">
        <v>21</v>
      </c>
      <c r="F80" s="14" t="s">
        <v>22</v>
      </c>
      <c r="G80" s="16">
        <v>170608655</v>
      </c>
      <c r="H80" s="17">
        <v>0</v>
      </c>
      <c r="I80" s="16">
        <v>170608655</v>
      </c>
      <c r="J80" s="17">
        <v>174360897</v>
      </c>
      <c r="K80" s="17">
        <v>0</v>
      </c>
      <c r="L80" s="16">
        <v>174360897</v>
      </c>
      <c r="M80" s="18">
        <v>-3752242</v>
      </c>
    </row>
    <row r="81" spans="1:13">
      <c r="A81" s="10" t="s">
        <v>59</v>
      </c>
      <c r="B81" s="10" t="s">
        <v>17</v>
      </c>
      <c r="C81" s="10">
        <v>4</v>
      </c>
      <c r="D81" s="11">
        <v>58</v>
      </c>
      <c r="E81" s="10" t="s">
        <v>23</v>
      </c>
      <c r="F81" s="10" t="s">
        <v>24</v>
      </c>
      <c r="G81" s="4">
        <v>715586308</v>
      </c>
      <c r="H81" s="12">
        <v>0</v>
      </c>
      <c r="I81" s="4">
        <v>715586308</v>
      </c>
      <c r="J81" s="12">
        <v>475773463</v>
      </c>
      <c r="K81" s="12">
        <v>0</v>
      </c>
      <c r="L81" s="4">
        <v>475773463</v>
      </c>
      <c r="M81" s="13">
        <v>239812845</v>
      </c>
    </row>
    <row r="82" spans="1:13">
      <c r="A82" s="14" t="s">
        <v>60</v>
      </c>
      <c r="B82" s="14" t="s">
        <v>17</v>
      </c>
      <c r="C82" s="14">
        <v>5</v>
      </c>
      <c r="D82" s="15">
        <v>3</v>
      </c>
      <c r="E82" s="14" t="s">
        <v>26</v>
      </c>
      <c r="F82" s="14" t="s">
        <v>27</v>
      </c>
      <c r="G82" s="16">
        <v>8140692845</v>
      </c>
      <c r="H82" s="17">
        <v>0</v>
      </c>
      <c r="I82" s="16">
        <v>8140692845</v>
      </c>
      <c r="J82" s="17">
        <v>8140692845</v>
      </c>
      <c r="K82" s="17">
        <v>0</v>
      </c>
      <c r="L82" s="16">
        <v>8140692845</v>
      </c>
      <c r="M82" s="18">
        <v>0</v>
      </c>
    </row>
    <row r="83" spans="1:13">
      <c r="A83" s="10" t="s">
        <v>60</v>
      </c>
      <c r="B83" s="10" t="s">
        <v>17</v>
      </c>
      <c r="C83" s="10">
        <v>5</v>
      </c>
      <c r="D83" s="11">
        <v>4</v>
      </c>
      <c r="E83" s="10" t="s">
        <v>47</v>
      </c>
      <c r="F83" s="10" t="s">
        <v>27</v>
      </c>
      <c r="G83" s="4">
        <v>30229746</v>
      </c>
      <c r="H83" s="12">
        <v>0</v>
      </c>
      <c r="I83" s="4">
        <v>30229746</v>
      </c>
      <c r="J83" s="12">
        <v>0</v>
      </c>
      <c r="K83" s="12">
        <v>0</v>
      </c>
      <c r="L83" s="4">
        <v>0</v>
      </c>
      <c r="M83" s="13">
        <v>30229746</v>
      </c>
    </row>
    <row r="84" spans="1:13">
      <c r="A84" s="14" t="s">
        <v>60</v>
      </c>
      <c r="B84" s="14" t="s">
        <v>17</v>
      </c>
      <c r="C84" s="14">
        <v>5</v>
      </c>
      <c r="D84" s="15">
        <v>27</v>
      </c>
      <c r="E84" s="14" t="s">
        <v>32</v>
      </c>
      <c r="F84" s="14" t="s">
        <v>19</v>
      </c>
      <c r="G84" s="16">
        <v>142116192</v>
      </c>
      <c r="H84" s="17">
        <v>0</v>
      </c>
      <c r="I84" s="16">
        <v>142116192</v>
      </c>
      <c r="J84" s="17">
        <v>142116192</v>
      </c>
      <c r="K84" s="17">
        <v>0</v>
      </c>
      <c r="L84" s="16">
        <v>142116192</v>
      </c>
      <c r="M84" s="18">
        <v>0</v>
      </c>
    </row>
    <row r="85" spans="1:13">
      <c r="A85" s="10" t="s">
        <v>60</v>
      </c>
      <c r="B85" s="10" t="s">
        <v>17</v>
      </c>
      <c r="C85" s="10">
        <v>5</v>
      </c>
      <c r="D85" s="11">
        <v>28</v>
      </c>
      <c r="E85" s="10" t="s">
        <v>18</v>
      </c>
      <c r="F85" s="10" t="s">
        <v>19</v>
      </c>
      <c r="G85" s="4">
        <v>7215935251</v>
      </c>
      <c r="H85" s="12">
        <v>0</v>
      </c>
      <c r="I85" s="4">
        <v>7215935251</v>
      </c>
      <c r="J85" s="12">
        <v>7215935251</v>
      </c>
      <c r="K85" s="12">
        <v>0</v>
      </c>
      <c r="L85" s="4">
        <v>7215935251</v>
      </c>
      <c r="M85" s="13">
        <v>0</v>
      </c>
    </row>
    <row r="86" spans="1:13">
      <c r="A86" s="14" t="s">
        <v>60</v>
      </c>
      <c r="B86" s="14" t="s">
        <v>17</v>
      </c>
      <c r="C86" s="14">
        <v>5</v>
      </c>
      <c r="D86" s="15">
        <v>29</v>
      </c>
      <c r="E86" s="14" t="s">
        <v>50</v>
      </c>
      <c r="F86" s="14" t="s">
        <v>19</v>
      </c>
      <c r="G86" s="16">
        <v>104124803</v>
      </c>
      <c r="H86" s="17">
        <v>0</v>
      </c>
      <c r="I86" s="16">
        <v>104124803</v>
      </c>
      <c r="J86" s="17">
        <v>104124803</v>
      </c>
      <c r="K86" s="17">
        <v>0</v>
      </c>
      <c r="L86" s="16">
        <v>104124803</v>
      </c>
      <c r="M86" s="18">
        <v>0</v>
      </c>
    </row>
    <row r="87" spans="1:13">
      <c r="A87" s="10" t="s">
        <v>60</v>
      </c>
      <c r="B87" s="10" t="s">
        <v>17</v>
      </c>
      <c r="C87" s="10">
        <v>5</v>
      </c>
      <c r="D87" s="11">
        <v>31</v>
      </c>
      <c r="E87" s="10" t="s">
        <v>52</v>
      </c>
      <c r="F87" s="10" t="s">
        <v>19</v>
      </c>
      <c r="G87" s="4">
        <v>7123250300</v>
      </c>
      <c r="H87" s="12">
        <v>0</v>
      </c>
      <c r="I87" s="4">
        <v>7123250300</v>
      </c>
      <c r="J87" s="12">
        <v>7123250300</v>
      </c>
      <c r="K87" s="12">
        <v>0</v>
      </c>
      <c r="L87" s="4">
        <v>7123250300</v>
      </c>
      <c r="M87" s="13">
        <v>0</v>
      </c>
    </row>
    <row r="88" spans="1:13">
      <c r="A88" s="14" t="s">
        <v>60</v>
      </c>
      <c r="B88" s="14" t="s">
        <v>17</v>
      </c>
      <c r="C88" s="14">
        <v>5</v>
      </c>
      <c r="D88" s="15">
        <v>32</v>
      </c>
      <c r="E88" s="14" t="s">
        <v>53</v>
      </c>
      <c r="F88" s="14" t="s">
        <v>19</v>
      </c>
      <c r="G88" s="16">
        <v>1911683438</v>
      </c>
      <c r="H88" s="17">
        <v>0</v>
      </c>
      <c r="I88" s="16">
        <v>1911683438</v>
      </c>
      <c r="J88" s="17">
        <v>1911683438</v>
      </c>
      <c r="K88" s="17">
        <v>0</v>
      </c>
      <c r="L88" s="16">
        <v>1911683438</v>
      </c>
      <c r="M88" s="18">
        <v>0</v>
      </c>
    </row>
    <row r="89" spans="1:13">
      <c r="A89" s="10" t="s">
        <v>60</v>
      </c>
      <c r="B89" s="10" t="s">
        <v>17</v>
      </c>
      <c r="C89" s="10">
        <v>5</v>
      </c>
      <c r="D89" s="11">
        <v>34</v>
      </c>
      <c r="E89" s="10" t="s">
        <v>20</v>
      </c>
      <c r="F89" s="10" t="s">
        <v>19</v>
      </c>
      <c r="G89" s="4">
        <v>69597102</v>
      </c>
      <c r="H89" s="12">
        <v>0</v>
      </c>
      <c r="I89" s="4">
        <v>69597102</v>
      </c>
      <c r="J89" s="12">
        <v>69597102</v>
      </c>
      <c r="K89" s="12">
        <v>0</v>
      </c>
      <c r="L89" s="4">
        <v>69597102</v>
      </c>
      <c r="M89" s="13">
        <v>0</v>
      </c>
    </row>
    <row r="90" spans="1:13">
      <c r="A90" s="14" t="s">
        <v>60</v>
      </c>
      <c r="B90" s="14" t="s">
        <v>17</v>
      </c>
      <c r="C90" s="14">
        <v>5</v>
      </c>
      <c r="D90" s="15">
        <v>39</v>
      </c>
      <c r="E90" s="14" t="s">
        <v>54</v>
      </c>
      <c r="F90" s="14" t="s">
        <v>19</v>
      </c>
      <c r="G90" s="16">
        <v>1126096646</v>
      </c>
      <c r="H90" s="17">
        <v>0</v>
      </c>
      <c r="I90" s="16">
        <v>1126096646</v>
      </c>
      <c r="J90" s="17">
        <v>1126096646</v>
      </c>
      <c r="K90" s="17">
        <v>0</v>
      </c>
      <c r="L90" s="16">
        <v>1126096646</v>
      </c>
      <c r="M90" s="18">
        <v>0</v>
      </c>
    </row>
    <row r="91" spans="1:13">
      <c r="A91" s="10" t="s">
        <v>60</v>
      </c>
      <c r="B91" s="10" t="s">
        <v>17</v>
      </c>
      <c r="C91" s="10">
        <v>5</v>
      </c>
      <c r="D91" s="11">
        <v>43</v>
      </c>
      <c r="E91" s="10" t="s">
        <v>36</v>
      </c>
      <c r="F91" s="10" t="s">
        <v>37</v>
      </c>
      <c r="G91" s="4">
        <v>0</v>
      </c>
      <c r="H91" s="12">
        <v>475919271</v>
      </c>
      <c r="I91" s="4">
        <v>475919271</v>
      </c>
      <c r="J91" s="12">
        <v>475919271</v>
      </c>
      <c r="K91" s="12">
        <v>0</v>
      </c>
      <c r="L91" s="4">
        <v>475919271</v>
      </c>
      <c r="M91" s="13">
        <v>0</v>
      </c>
    </row>
    <row r="92" spans="1:13">
      <c r="A92" s="14" t="s">
        <v>60</v>
      </c>
      <c r="B92" s="14" t="s">
        <v>17</v>
      </c>
      <c r="C92" s="14">
        <v>5</v>
      </c>
      <c r="D92" s="15">
        <v>44</v>
      </c>
      <c r="E92" s="14" t="s">
        <v>38</v>
      </c>
      <c r="F92" s="14" t="s">
        <v>37</v>
      </c>
      <c r="G92" s="16">
        <v>0</v>
      </c>
      <c r="H92" s="17">
        <v>163548001</v>
      </c>
      <c r="I92" s="16">
        <v>163548001</v>
      </c>
      <c r="J92" s="17">
        <v>163548001</v>
      </c>
      <c r="K92" s="17">
        <v>0</v>
      </c>
      <c r="L92" s="16">
        <v>163548001</v>
      </c>
      <c r="M92" s="18">
        <v>0</v>
      </c>
    </row>
    <row r="93" spans="1:13">
      <c r="A93" s="10" t="s">
        <v>60</v>
      </c>
      <c r="B93" s="10" t="s">
        <v>17</v>
      </c>
      <c r="C93" s="10">
        <v>5</v>
      </c>
      <c r="D93" s="11">
        <v>45</v>
      </c>
      <c r="E93" s="10" t="s">
        <v>39</v>
      </c>
      <c r="F93" s="10" t="s">
        <v>37</v>
      </c>
      <c r="G93" s="4">
        <v>0</v>
      </c>
      <c r="H93" s="12">
        <v>203183160</v>
      </c>
      <c r="I93" s="4">
        <v>203183160</v>
      </c>
      <c r="J93" s="12">
        <v>203183160</v>
      </c>
      <c r="K93" s="12">
        <v>0</v>
      </c>
      <c r="L93" s="4">
        <v>203183160</v>
      </c>
      <c r="M93" s="13">
        <v>0</v>
      </c>
    </row>
    <row r="94" spans="1:13">
      <c r="A94" s="14" t="s">
        <v>60</v>
      </c>
      <c r="B94" s="14" t="s">
        <v>17</v>
      </c>
      <c r="C94" s="14">
        <v>5</v>
      </c>
      <c r="D94" s="15">
        <v>46</v>
      </c>
      <c r="E94" s="14" t="s">
        <v>40</v>
      </c>
      <c r="F94" s="14" t="s">
        <v>37</v>
      </c>
      <c r="G94" s="16">
        <v>1190701110</v>
      </c>
      <c r="H94" s="17">
        <v>-978649295</v>
      </c>
      <c r="I94" s="16">
        <v>212051815</v>
      </c>
      <c r="J94" s="17">
        <v>212051815</v>
      </c>
      <c r="K94" s="17">
        <v>0</v>
      </c>
      <c r="L94" s="16">
        <v>212051815</v>
      </c>
      <c r="M94" s="18">
        <v>0</v>
      </c>
    </row>
    <row r="95" spans="1:13">
      <c r="A95" s="10" t="s">
        <v>60</v>
      </c>
      <c r="B95" s="10" t="s">
        <v>17</v>
      </c>
      <c r="C95" s="10">
        <v>5</v>
      </c>
      <c r="D95" s="11">
        <v>47</v>
      </c>
      <c r="E95" s="10" t="s">
        <v>41</v>
      </c>
      <c r="F95" s="10" t="s">
        <v>37</v>
      </c>
      <c r="G95" s="4">
        <v>0</v>
      </c>
      <c r="H95" s="12">
        <v>101591578</v>
      </c>
      <c r="I95" s="4">
        <v>101591578</v>
      </c>
      <c r="J95" s="12">
        <v>101591578</v>
      </c>
      <c r="K95" s="12">
        <v>0</v>
      </c>
      <c r="L95" s="4">
        <v>101591578</v>
      </c>
      <c r="M95" s="13">
        <v>0</v>
      </c>
    </row>
    <row r="96" spans="1:13">
      <c r="A96" s="14" t="s">
        <v>60</v>
      </c>
      <c r="B96" s="14" t="s">
        <v>17</v>
      </c>
      <c r="C96" s="14">
        <v>5</v>
      </c>
      <c r="D96" s="15">
        <v>48</v>
      </c>
      <c r="E96" s="14" t="s">
        <v>42</v>
      </c>
      <c r="F96" s="14" t="s">
        <v>37</v>
      </c>
      <c r="G96" s="16">
        <v>0</v>
      </c>
      <c r="H96" s="17">
        <v>7334577</v>
      </c>
      <c r="I96" s="16">
        <v>7334577</v>
      </c>
      <c r="J96" s="17">
        <v>7334577</v>
      </c>
      <c r="K96" s="17">
        <v>0</v>
      </c>
      <c r="L96" s="16">
        <v>7334577</v>
      </c>
      <c r="M96" s="18">
        <v>0</v>
      </c>
    </row>
    <row r="97" spans="1:13">
      <c r="A97" s="10" t="s">
        <v>60</v>
      </c>
      <c r="B97" s="10" t="s">
        <v>17</v>
      </c>
      <c r="C97" s="10">
        <v>5</v>
      </c>
      <c r="D97" s="11">
        <v>49</v>
      </c>
      <c r="E97" s="10" t="s">
        <v>55</v>
      </c>
      <c r="F97" s="10" t="s">
        <v>37</v>
      </c>
      <c r="G97" s="4">
        <v>0</v>
      </c>
      <c r="H97" s="12">
        <v>6925319</v>
      </c>
      <c r="I97" s="4">
        <v>6925319</v>
      </c>
      <c r="J97" s="12">
        <v>6925319</v>
      </c>
      <c r="K97" s="12">
        <v>0</v>
      </c>
      <c r="L97" s="4">
        <v>6925319</v>
      </c>
      <c r="M97" s="13">
        <v>0</v>
      </c>
    </row>
    <row r="98" spans="1:13">
      <c r="A98" s="14" t="s">
        <v>60</v>
      </c>
      <c r="B98" s="14" t="s">
        <v>17</v>
      </c>
      <c r="C98" s="14">
        <v>5</v>
      </c>
      <c r="D98" s="15">
        <v>50</v>
      </c>
      <c r="E98" s="14" t="s">
        <v>43</v>
      </c>
      <c r="F98" s="14" t="s">
        <v>37</v>
      </c>
      <c r="G98" s="16">
        <v>0</v>
      </c>
      <c r="H98" s="17">
        <v>670064</v>
      </c>
      <c r="I98" s="16">
        <v>670064</v>
      </c>
      <c r="J98" s="17">
        <v>670064</v>
      </c>
      <c r="K98" s="17">
        <v>0</v>
      </c>
      <c r="L98" s="16">
        <v>670064</v>
      </c>
      <c r="M98" s="18">
        <v>0</v>
      </c>
    </row>
    <row r="99" spans="1:13">
      <c r="A99" s="10" t="s">
        <v>60</v>
      </c>
      <c r="B99" s="10" t="s">
        <v>17</v>
      </c>
      <c r="C99" s="10">
        <v>5</v>
      </c>
      <c r="D99" s="11">
        <v>51</v>
      </c>
      <c r="E99" s="10" t="s">
        <v>56</v>
      </c>
      <c r="F99" s="10" t="s">
        <v>37</v>
      </c>
      <c r="G99" s="4">
        <v>0</v>
      </c>
      <c r="H99" s="12">
        <v>46261382</v>
      </c>
      <c r="I99" s="4">
        <v>46261382</v>
      </c>
      <c r="J99" s="12">
        <v>46261382</v>
      </c>
      <c r="K99" s="12">
        <v>0</v>
      </c>
      <c r="L99" s="4">
        <v>46261382</v>
      </c>
      <c r="M99" s="13">
        <v>0</v>
      </c>
    </row>
    <row r="100" spans="1:13">
      <c r="A100" s="14" t="s">
        <v>60</v>
      </c>
      <c r="B100" s="14" t="s">
        <v>17</v>
      </c>
      <c r="C100" s="14">
        <v>5</v>
      </c>
      <c r="D100" s="15">
        <v>52</v>
      </c>
      <c r="E100" s="14" t="s">
        <v>44</v>
      </c>
      <c r="F100" s="14" t="s">
        <v>45</v>
      </c>
      <c r="G100" s="16">
        <v>100500000</v>
      </c>
      <c r="H100" s="17">
        <v>0</v>
      </c>
      <c r="I100" s="16">
        <v>100500000</v>
      </c>
      <c r="J100" s="17">
        <v>100500000</v>
      </c>
      <c r="K100" s="17">
        <v>0</v>
      </c>
      <c r="L100" s="16">
        <v>100500000</v>
      </c>
      <c r="M100" s="18">
        <v>0</v>
      </c>
    </row>
    <row r="101" spans="1:13">
      <c r="A101" s="10" t="s">
        <v>60</v>
      </c>
      <c r="B101" s="10" t="s">
        <v>17</v>
      </c>
      <c r="C101" s="10">
        <v>5</v>
      </c>
      <c r="D101" s="11">
        <v>56</v>
      </c>
      <c r="E101" s="10" t="s">
        <v>57</v>
      </c>
      <c r="F101" s="10" t="s">
        <v>58</v>
      </c>
      <c r="G101" s="4">
        <v>71700000</v>
      </c>
      <c r="H101" s="12">
        <v>0</v>
      </c>
      <c r="I101" s="4">
        <v>71700000</v>
      </c>
      <c r="J101" s="12">
        <v>71700000</v>
      </c>
      <c r="K101" s="12">
        <v>0</v>
      </c>
      <c r="L101" s="4">
        <v>71700000</v>
      </c>
      <c r="M101" s="13">
        <v>0</v>
      </c>
    </row>
    <row r="102" spans="1:13">
      <c r="A102" s="14" t="s">
        <v>60</v>
      </c>
      <c r="B102" s="14" t="s">
        <v>17</v>
      </c>
      <c r="C102" s="14">
        <v>5</v>
      </c>
      <c r="D102" s="15">
        <v>57</v>
      </c>
      <c r="E102" s="14" t="s">
        <v>21</v>
      </c>
      <c r="F102" s="14" t="s">
        <v>22</v>
      </c>
      <c r="G102" s="16">
        <v>80864811</v>
      </c>
      <c r="H102" s="17">
        <v>7767816</v>
      </c>
      <c r="I102" s="16">
        <v>88632627</v>
      </c>
      <c r="J102" s="17">
        <v>88632627</v>
      </c>
      <c r="K102" s="17">
        <v>0</v>
      </c>
      <c r="L102" s="16">
        <v>88632627</v>
      </c>
      <c r="M102" s="18">
        <v>0</v>
      </c>
    </row>
    <row r="103" spans="1:13">
      <c r="A103" s="10" t="s">
        <v>60</v>
      </c>
      <c r="B103" s="10" t="s">
        <v>17</v>
      </c>
      <c r="C103" s="10">
        <v>5</v>
      </c>
      <c r="D103" s="11">
        <v>58</v>
      </c>
      <c r="E103" s="10" t="s">
        <v>23</v>
      </c>
      <c r="F103" s="10" t="s">
        <v>24</v>
      </c>
      <c r="G103" s="4">
        <v>756865849</v>
      </c>
      <c r="H103" s="12">
        <v>-1687635</v>
      </c>
      <c r="I103" s="4">
        <v>755178214</v>
      </c>
      <c r="J103" s="12">
        <v>755178214</v>
      </c>
      <c r="K103" s="12">
        <v>0</v>
      </c>
      <c r="L103" s="4">
        <v>755178214</v>
      </c>
      <c r="M103" s="13">
        <v>0</v>
      </c>
    </row>
    <row r="104" spans="1:13">
      <c r="A104" s="14" t="s">
        <v>61</v>
      </c>
      <c r="B104" s="14" t="s">
        <v>17</v>
      </c>
      <c r="C104" s="14">
        <v>6</v>
      </c>
      <c r="D104" s="15">
        <v>3</v>
      </c>
      <c r="E104" s="14" t="s">
        <v>26</v>
      </c>
      <c r="F104" s="14" t="s">
        <v>27</v>
      </c>
      <c r="G104" s="16">
        <v>0</v>
      </c>
      <c r="H104" s="17">
        <v>68014935</v>
      </c>
      <c r="I104" s="16">
        <v>68014935</v>
      </c>
      <c r="J104" s="17">
        <v>68014935</v>
      </c>
      <c r="K104" s="17">
        <v>0</v>
      </c>
      <c r="L104" s="16">
        <v>68014935</v>
      </c>
      <c r="M104" s="18">
        <v>0</v>
      </c>
    </row>
    <row r="105" spans="1:13">
      <c r="A105" s="10" t="s">
        <v>61</v>
      </c>
      <c r="B105" s="10" t="s">
        <v>17</v>
      </c>
      <c r="C105" s="10">
        <v>6</v>
      </c>
      <c r="D105" s="11">
        <v>7</v>
      </c>
      <c r="E105" s="10" t="s">
        <v>28</v>
      </c>
      <c r="F105" s="10" t="s">
        <v>27</v>
      </c>
      <c r="G105" s="4">
        <v>0</v>
      </c>
      <c r="H105" s="12">
        <v>20941000</v>
      </c>
      <c r="I105" s="4">
        <v>20941000</v>
      </c>
      <c r="J105" s="12">
        <v>20941000</v>
      </c>
      <c r="K105" s="12">
        <v>0</v>
      </c>
      <c r="L105" s="4">
        <v>20941000</v>
      </c>
      <c r="M105" s="13">
        <v>0</v>
      </c>
    </row>
    <row r="106" spans="1:13">
      <c r="A106" s="14" t="s">
        <v>61</v>
      </c>
      <c r="B106" s="14" t="s">
        <v>17</v>
      </c>
      <c r="C106" s="14">
        <v>6</v>
      </c>
      <c r="D106" s="15">
        <v>27</v>
      </c>
      <c r="E106" s="14" t="s">
        <v>32</v>
      </c>
      <c r="F106" s="14" t="s">
        <v>19</v>
      </c>
      <c r="G106" s="16">
        <v>35025060</v>
      </c>
      <c r="H106" s="17">
        <v>720000</v>
      </c>
      <c r="I106" s="16">
        <v>35745060</v>
      </c>
      <c r="J106" s="17">
        <v>35745060</v>
      </c>
      <c r="K106" s="17">
        <v>0</v>
      </c>
      <c r="L106" s="16">
        <v>35745060</v>
      </c>
      <c r="M106" s="18">
        <v>0</v>
      </c>
    </row>
    <row r="107" spans="1:13">
      <c r="A107" s="10" t="s">
        <v>61</v>
      </c>
      <c r="B107" s="10" t="s">
        <v>17</v>
      </c>
      <c r="C107" s="10">
        <v>6</v>
      </c>
      <c r="D107" s="11">
        <v>28</v>
      </c>
      <c r="E107" s="10" t="s">
        <v>18</v>
      </c>
      <c r="F107" s="10" t="s">
        <v>19</v>
      </c>
      <c r="G107" s="4">
        <v>156264403</v>
      </c>
      <c r="H107" s="12">
        <v>0</v>
      </c>
      <c r="I107" s="4">
        <v>156264403</v>
      </c>
      <c r="J107" s="12">
        <v>156264406</v>
      </c>
      <c r="K107" s="12">
        <v>0</v>
      </c>
      <c r="L107" s="4">
        <v>156264406</v>
      </c>
      <c r="M107" s="13">
        <v>-3</v>
      </c>
    </row>
    <row r="108" spans="1:13">
      <c r="A108" s="14" t="s">
        <v>61</v>
      </c>
      <c r="B108" s="14" t="s">
        <v>17</v>
      </c>
      <c r="C108" s="14">
        <v>6</v>
      </c>
      <c r="D108" s="15">
        <v>31</v>
      </c>
      <c r="E108" s="14" t="s">
        <v>52</v>
      </c>
      <c r="F108" s="14" t="s">
        <v>19</v>
      </c>
      <c r="G108" s="16">
        <v>6666000</v>
      </c>
      <c r="H108" s="17">
        <v>0</v>
      </c>
      <c r="I108" s="16">
        <v>6666000</v>
      </c>
      <c r="J108" s="17">
        <v>6666000</v>
      </c>
      <c r="K108" s="17">
        <v>0</v>
      </c>
      <c r="L108" s="16">
        <v>6666000</v>
      </c>
      <c r="M108" s="18">
        <v>0</v>
      </c>
    </row>
    <row r="109" spans="1:13">
      <c r="A109" s="10" t="s">
        <v>61</v>
      </c>
      <c r="B109" s="10" t="s">
        <v>17</v>
      </c>
      <c r="C109" s="10">
        <v>6</v>
      </c>
      <c r="D109" s="11">
        <v>34</v>
      </c>
      <c r="E109" s="10" t="s">
        <v>20</v>
      </c>
      <c r="F109" s="10" t="s">
        <v>19</v>
      </c>
      <c r="G109" s="4">
        <v>20700062</v>
      </c>
      <c r="H109" s="12">
        <v>0</v>
      </c>
      <c r="I109" s="4">
        <v>20700062</v>
      </c>
      <c r="J109" s="12">
        <v>20700062</v>
      </c>
      <c r="K109" s="12">
        <v>0</v>
      </c>
      <c r="L109" s="4">
        <v>20700062</v>
      </c>
      <c r="M109" s="13">
        <v>0</v>
      </c>
    </row>
    <row r="110" spans="1:13">
      <c r="A110" s="14" t="s">
        <v>61</v>
      </c>
      <c r="B110" s="14" t="s">
        <v>17</v>
      </c>
      <c r="C110" s="14">
        <v>6</v>
      </c>
      <c r="D110" s="15">
        <v>54</v>
      </c>
      <c r="E110" s="14" t="s">
        <v>62</v>
      </c>
      <c r="F110" s="14" t="s">
        <v>45</v>
      </c>
      <c r="G110" s="16">
        <v>0</v>
      </c>
      <c r="H110" s="17">
        <v>31456000</v>
      </c>
      <c r="I110" s="16">
        <v>31456000</v>
      </c>
      <c r="J110" s="17">
        <v>31456000</v>
      </c>
      <c r="K110" s="17">
        <v>0</v>
      </c>
      <c r="L110" s="16">
        <v>31456000</v>
      </c>
      <c r="M110" s="18">
        <v>0</v>
      </c>
    </row>
    <row r="111" spans="1:13">
      <c r="A111" s="10" t="s">
        <v>61</v>
      </c>
      <c r="B111" s="10" t="s">
        <v>17</v>
      </c>
      <c r="C111" s="10">
        <v>6</v>
      </c>
      <c r="D111" s="11">
        <v>56</v>
      </c>
      <c r="E111" s="10" t="s">
        <v>57</v>
      </c>
      <c r="F111" s="10" t="s">
        <v>58</v>
      </c>
      <c r="G111" s="4">
        <v>0</v>
      </c>
      <c r="H111" s="12">
        <v>25144000</v>
      </c>
      <c r="I111" s="4">
        <v>25144000</v>
      </c>
      <c r="J111" s="12">
        <v>25144000</v>
      </c>
      <c r="K111" s="12">
        <v>0</v>
      </c>
      <c r="L111" s="4">
        <v>25144000</v>
      </c>
      <c r="M111" s="13">
        <v>0</v>
      </c>
    </row>
    <row r="112" spans="1:13">
      <c r="A112" s="14" t="s">
        <v>61</v>
      </c>
      <c r="B112" s="14" t="s">
        <v>17</v>
      </c>
      <c r="C112" s="14">
        <v>6</v>
      </c>
      <c r="D112" s="15">
        <v>57</v>
      </c>
      <c r="E112" s="14" t="s">
        <v>21</v>
      </c>
      <c r="F112" s="14" t="s">
        <v>22</v>
      </c>
      <c r="G112" s="16">
        <v>0</v>
      </c>
      <c r="H112" s="17">
        <v>6448806</v>
      </c>
      <c r="I112" s="16">
        <v>6448806</v>
      </c>
      <c r="J112" s="17">
        <v>6448806</v>
      </c>
      <c r="K112" s="17">
        <v>0</v>
      </c>
      <c r="L112" s="16">
        <v>6448806</v>
      </c>
      <c r="M112" s="18">
        <v>0</v>
      </c>
    </row>
    <row r="113" spans="1:13">
      <c r="A113" s="10" t="s">
        <v>61</v>
      </c>
      <c r="B113" s="10" t="s">
        <v>17</v>
      </c>
      <c r="C113" s="10">
        <v>6</v>
      </c>
      <c r="D113" s="11">
        <v>58</v>
      </c>
      <c r="E113" s="10" t="s">
        <v>23</v>
      </c>
      <c r="F113" s="10" t="s">
        <v>24</v>
      </c>
      <c r="G113" s="4">
        <v>0</v>
      </c>
      <c r="H113" s="12">
        <v>41368360</v>
      </c>
      <c r="I113" s="4">
        <v>41368360</v>
      </c>
      <c r="J113" s="12">
        <v>41368360</v>
      </c>
      <c r="K113" s="12">
        <v>0</v>
      </c>
      <c r="L113" s="4">
        <v>41368360</v>
      </c>
      <c r="M113" s="13">
        <v>0</v>
      </c>
    </row>
    <row r="114" spans="1:13">
      <c r="A114" s="14" t="s">
        <v>63</v>
      </c>
      <c r="B114" s="14" t="s">
        <v>17</v>
      </c>
      <c r="C114" s="14">
        <v>7</v>
      </c>
      <c r="D114" s="15">
        <v>3</v>
      </c>
      <c r="E114" s="14" t="s">
        <v>26</v>
      </c>
      <c r="F114" s="14" t="s">
        <v>27</v>
      </c>
      <c r="G114" s="16">
        <v>1300000000</v>
      </c>
      <c r="H114" s="17">
        <v>0</v>
      </c>
      <c r="I114" s="16">
        <v>1300000000</v>
      </c>
      <c r="J114" s="17">
        <v>1300000000</v>
      </c>
      <c r="K114" s="17">
        <v>0</v>
      </c>
      <c r="L114" s="16">
        <v>1300000000</v>
      </c>
      <c r="M114" s="18">
        <v>0</v>
      </c>
    </row>
    <row r="115" spans="1:13">
      <c r="A115" s="10" t="s">
        <v>63</v>
      </c>
      <c r="B115" s="10" t="s">
        <v>17</v>
      </c>
      <c r="C115" s="10">
        <v>7</v>
      </c>
      <c r="D115" s="11">
        <v>23</v>
      </c>
      <c r="E115" s="10" t="s">
        <v>49</v>
      </c>
      <c r="F115" s="10" t="s">
        <v>30</v>
      </c>
      <c r="G115" s="4">
        <v>9599998980</v>
      </c>
      <c r="H115" s="12">
        <v>0</v>
      </c>
      <c r="I115" s="4">
        <v>9599998980</v>
      </c>
      <c r="J115" s="12">
        <v>9599998980</v>
      </c>
      <c r="K115" s="12">
        <v>0</v>
      </c>
      <c r="L115" s="4">
        <v>9599998980</v>
      </c>
      <c r="M115" s="13">
        <v>0</v>
      </c>
    </row>
    <row r="116" spans="1:13">
      <c r="A116" s="14" t="s">
        <v>63</v>
      </c>
      <c r="B116" s="14" t="s">
        <v>17</v>
      </c>
      <c r="C116" s="14">
        <v>7</v>
      </c>
      <c r="D116" s="15">
        <v>27</v>
      </c>
      <c r="E116" s="14" t="s">
        <v>32</v>
      </c>
      <c r="F116" s="14" t="s">
        <v>19</v>
      </c>
      <c r="G116" s="16">
        <v>146603718</v>
      </c>
      <c r="H116" s="17">
        <v>0</v>
      </c>
      <c r="I116" s="16">
        <v>146603718</v>
      </c>
      <c r="J116" s="17">
        <v>146603718</v>
      </c>
      <c r="K116" s="17">
        <v>0</v>
      </c>
      <c r="L116" s="16">
        <v>146603718</v>
      </c>
      <c r="M116" s="18">
        <v>0</v>
      </c>
    </row>
    <row r="117" spans="1:13">
      <c r="A117" s="10" t="s">
        <v>63</v>
      </c>
      <c r="B117" s="10" t="s">
        <v>17</v>
      </c>
      <c r="C117" s="10">
        <v>7</v>
      </c>
      <c r="D117" s="11">
        <v>28</v>
      </c>
      <c r="E117" s="10" t="s">
        <v>18</v>
      </c>
      <c r="F117" s="10" t="s">
        <v>19</v>
      </c>
      <c r="G117" s="4">
        <v>3042347642</v>
      </c>
      <c r="H117" s="12">
        <v>0</v>
      </c>
      <c r="I117" s="4">
        <v>3042347642</v>
      </c>
      <c r="J117" s="12">
        <v>3042347642</v>
      </c>
      <c r="K117" s="12">
        <v>0</v>
      </c>
      <c r="L117" s="4">
        <v>3042347642</v>
      </c>
      <c r="M117" s="13">
        <v>0</v>
      </c>
    </row>
    <row r="118" spans="1:13">
      <c r="A118" s="14" t="s">
        <v>63</v>
      </c>
      <c r="B118" s="14" t="s">
        <v>17</v>
      </c>
      <c r="C118" s="14">
        <v>7</v>
      </c>
      <c r="D118" s="15">
        <v>29</v>
      </c>
      <c r="E118" s="14" t="s">
        <v>50</v>
      </c>
      <c r="F118" s="14" t="s">
        <v>19</v>
      </c>
      <c r="G118" s="16">
        <v>4957595016</v>
      </c>
      <c r="H118" s="17">
        <v>0</v>
      </c>
      <c r="I118" s="16">
        <v>4957595016</v>
      </c>
      <c r="J118" s="17">
        <v>4957595016</v>
      </c>
      <c r="K118" s="17">
        <v>0</v>
      </c>
      <c r="L118" s="16">
        <v>4957595016</v>
      </c>
      <c r="M118" s="18">
        <v>0</v>
      </c>
    </row>
    <row r="119" spans="1:13">
      <c r="A119" s="10" t="s">
        <v>63</v>
      </c>
      <c r="B119" s="10" t="s">
        <v>17</v>
      </c>
      <c r="C119" s="10">
        <v>7</v>
      </c>
      <c r="D119" s="11">
        <v>34</v>
      </c>
      <c r="E119" s="10" t="s">
        <v>20</v>
      </c>
      <c r="F119" s="10" t="s">
        <v>19</v>
      </c>
      <c r="G119" s="4">
        <v>458487507</v>
      </c>
      <c r="H119" s="12">
        <v>0</v>
      </c>
      <c r="I119" s="4">
        <v>458487507</v>
      </c>
      <c r="J119" s="12">
        <v>458487507</v>
      </c>
      <c r="K119" s="12">
        <v>0</v>
      </c>
      <c r="L119" s="4">
        <v>458487507</v>
      </c>
      <c r="M119" s="13">
        <v>0</v>
      </c>
    </row>
    <row r="120" spans="1:13">
      <c r="A120" s="14" t="s">
        <v>63</v>
      </c>
      <c r="B120" s="14" t="s">
        <v>17</v>
      </c>
      <c r="C120" s="14">
        <v>7</v>
      </c>
      <c r="D120" s="15">
        <v>38</v>
      </c>
      <c r="E120" s="14" t="s">
        <v>64</v>
      </c>
      <c r="F120" s="14" t="s">
        <v>19</v>
      </c>
      <c r="G120" s="16">
        <v>34053586</v>
      </c>
      <c r="H120" s="17">
        <v>0</v>
      </c>
      <c r="I120" s="16">
        <v>34053586</v>
      </c>
      <c r="J120" s="17">
        <v>0</v>
      </c>
      <c r="K120" s="17">
        <v>34053586</v>
      </c>
      <c r="L120" s="16">
        <v>34053586</v>
      </c>
      <c r="M120" s="18">
        <v>0</v>
      </c>
    </row>
    <row r="121" spans="1:13">
      <c r="A121" s="10" t="s">
        <v>63</v>
      </c>
      <c r="B121" s="10" t="s">
        <v>17</v>
      </c>
      <c r="C121" s="10">
        <v>7</v>
      </c>
      <c r="D121" s="11">
        <v>43</v>
      </c>
      <c r="E121" s="10" t="s">
        <v>36</v>
      </c>
      <c r="F121" s="10" t="s">
        <v>37</v>
      </c>
      <c r="G121" s="4">
        <v>0</v>
      </c>
      <c r="H121" s="12">
        <v>0</v>
      </c>
      <c r="I121" s="4">
        <v>0</v>
      </c>
      <c r="J121" s="12">
        <v>108560</v>
      </c>
      <c r="K121" s="12">
        <v>0</v>
      </c>
      <c r="L121" s="4">
        <v>108560</v>
      </c>
      <c r="M121" s="13">
        <v>0</v>
      </c>
    </row>
    <row r="122" spans="1:13">
      <c r="A122" s="14" t="s">
        <v>63</v>
      </c>
      <c r="B122" s="14" t="s">
        <v>17</v>
      </c>
      <c r="C122" s="14">
        <v>7</v>
      </c>
      <c r="D122" s="15">
        <v>44</v>
      </c>
      <c r="E122" s="14" t="s">
        <v>38</v>
      </c>
      <c r="F122" s="14" t="s">
        <v>37</v>
      </c>
      <c r="G122" s="16">
        <v>0</v>
      </c>
      <c r="H122" s="17">
        <v>0</v>
      </c>
      <c r="I122" s="16">
        <v>0</v>
      </c>
      <c r="J122" s="17">
        <v>3987</v>
      </c>
      <c r="K122" s="17">
        <v>0</v>
      </c>
      <c r="L122" s="16">
        <v>3987</v>
      </c>
      <c r="M122" s="18">
        <v>0</v>
      </c>
    </row>
    <row r="123" spans="1:13">
      <c r="A123" s="10" t="s">
        <v>63</v>
      </c>
      <c r="B123" s="10" t="s">
        <v>17</v>
      </c>
      <c r="C123" s="10">
        <v>7</v>
      </c>
      <c r="D123" s="11">
        <v>45</v>
      </c>
      <c r="E123" s="10" t="s">
        <v>39</v>
      </c>
      <c r="F123" s="10" t="s">
        <v>37</v>
      </c>
      <c r="G123" s="4">
        <v>0</v>
      </c>
      <c r="H123" s="12">
        <v>0</v>
      </c>
      <c r="I123" s="4">
        <v>0</v>
      </c>
      <c r="J123" s="12">
        <v>4984</v>
      </c>
      <c r="K123" s="12">
        <v>0</v>
      </c>
      <c r="L123" s="4">
        <v>4984</v>
      </c>
      <c r="M123" s="13">
        <v>0</v>
      </c>
    </row>
    <row r="124" spans="1:13">
      <c r="A124" s="14" t="s">
        <v>63</v>
      </c>
      <c r="B124" s="14" t="s">
        <v>17</v>
      </c>
      <c r="C124" s="14">
        <v>7</v>
      </c>
      <c r="D124" s="15">
        <v>46</v>
      </c>
      <c r="E124" s="14" t="s">
        <v>40</v>
      </c>
      <c r="F124" s="14" t="s">
        <v>37</v>
      </c>
      <c r="G124" s="16">
        <v>0</v>
      </c>
      <c r="H124" s="17">
        <v>0</v>
      </c>
      <c r="I124" s="16">
        <v>0</v>
      </c>
      <c r="J124" s="17">
        <v>99687</v>
      </c>
      <c r="K124" s="17">
        <v>0</v>
      </c>
      <c r="L124" s="16">
        <v>99687</v>
      </c>
      <c r="M124" s="18">
        <v>-231673</v>
      </c>
    </row>
    <row r="125" spans="1:13">
      <c r="A125" s="10" t="s">
        <v>63</v>
      </c>
      <c r="B125" s="10" t="s">
        <v>17</v>
      </c>
      <c r="C125" s="10">
        <v>7</v>
      </c>
      <c r="D125" s="11">
        <v>47</v>
      </c>
      <c r="E125" s="10" t="s">
        <v>41</v>
      </c>
      <c r="F125" s="10" t="s">
        <v>37</v>
      </c>
      <c r="G125" s="4">
        <v>0</v>
      </c>
      <c r="H125" s="12">
        <v>0</v>
      </c>
      <c r="I125" s="4">
        <v>0</v>
      </c>
      <c r="J125" s="12">
        <v>2492</v>
      </c>
      <c r="K125" s="12">
        <v>0</v>
      </c>
      <c r="L125" s="4">
        <v>2492</v>
      </c>
      <c r="M125" s="13">
        <v>0</v>
      </c>
    </row>
    <row r="126" spans="1:13">
      <c r="A126" s="14" t="s">
        <v>63</v>
      </c>
      <c r="B126" s="14" t="s">
        <v>17</v>
      </c>
      <c r="C126" s="14">
        <v>7</v>
      </c>
      <c r="D126" s="15">
        <v>48</v>
      </c>
      <c r="E126" s="14" t="s">
        <v>42</v>
      </c>
      <c r="F126" s="14" t="s">
        <v>37</v>
      </c>
      <c r="G126" s="16">
        <v>0</v>
      </c>
      <c r="H126" s="17">
        <v>0</v>
      </c>
      <c r="I126" s="16">
        <v>0</v>
      </c>
      <c r="J126" s="17">
        <v>1994</v>
      </c>
      <c r="K126" s="17">
        <v>0</v>
      </c>
      <c r="L126" s="16">
        <v>1994</v>
      </c>
      <c r="M126" s="18">
        <v>0</v>
      </c>
    </row>
    <row r="127" spans="1:13">
      <c r="A127" s="10" t="s">
        <v>63</v>
      </c>
      <c r="B127" s="10" t="s">
        <v>17</v>
      </c>
      <c r="C127" s="10">
        <v>7</v>
      </c>
      <c r="D127" s="11">
        <v>50</v>
      </c>
      <c r="E127" s="10" t="s">
        <v>43</v>
      </c>
      <c r="F127" s="10" t="s">
        <v>37</v>
      </c>
      <c r="G127" s="4">
        <v>0</v>
      </c>
      <c r="H127" s="12">
        <v>0</v>
      </c>
      <c r="I127" s="4">
        <v>0</v>
      </c>
      <c r="J127" s="12">
        <v>9969</v>
      </c>
      <c r="K127" s="12">
        <v>0</v>
      </c>
      <c r="L127" s="4">
        <v>9969</v>
      </c>
      <c r="M127" s="13">
        <v>0</v>
      </c>
    </row>
    <row r="128" spans="1:13">
      <c r="A128" s="14" t="s">
        <v>63</v>
      </c>
      <c r="B128" s="14" t="s">
        <v>17</v>
      </c>
      <c r="C128" s="14">
        <v>7</v>
      </c>
      <c r="D128" s="15">
        <v>51</v>
      </c>
      <c r="E128" s="14" t="s">
        <v>56</v>
      </c>
      <c r="F128" s="14" t="s">
        <v>37</v>
      </c>
      <c r="G128" s="16">
        <v>12006300000</v>
      </c>
      <c r="H128" s="17">
        <v>0</v>
      </c>
      <c r="I128" s="16">
        <v>12006300000</v>
      </c>
      <c r="J128" s="17">
        <v>0</v>
      </c>
      <c r="K128" s="17">
        <v>12006300000</v>
      </c>
      <c r="L128" s="16">
        <v>12006300000</v>
      </c>
      <c r="M128" s="18">
        <v>0</v>
      </c>
    </row>
    <row r="129" spans="1:13">
      <c r="A129" s="10" t="s">
        <v>63</v>
      </c>
      <c r="B129" s="10" t="s">
        <v>17</v>
      </c>
      <c r="C129" s="10">
        <v>7</v>
      </c>
      <c r="D129" s="11">
        <v>57</v>
      </c>
      <c r="E129" s="10" t="s">
        <v>21</v>
      </c>
      <c r="F129" s="10" t="s">
        <v>22</v>
      </c>
      <c r="G129" s="4">
        <v>0</v>
      </c>
      <c r="H129" s="12">
        <v>313009919</v>
      </c>
      <c r="I129" s="4">
        <v>313009919</v>
      </c>
      <c r="J129" s="12">
        <v>335881248</v>
      </c>
      <c r="K129" s="12">
        <v>0</v>
      </c>
      <c r="L129" s="4">
        <v>335881248</v>
      </c>
      <c r="M129" s="13">
        <v>-22871329</v>
      </c>
    </row>
    <row r="130" spans="1:13">
      <c r="A130" s="14" t="s">
        <v>63</v>
      </c>
      <c r="B130" s="14" t="s">
        <v>17</v>
      </c>
      <c r="C130" s="14">
        <v>7</v>
      </c>
      <c r="D130" s="15">
        <v>58</v>
      </c>
      <c r="E130" s="14" t="s">
        <v>23</v>
      </c>
      <c r="F130" s="14" t="s">
        <v>24</v>
      </c>
      <c r="G130" s="16">
        <v>1354151051</v>
      </c>
      <c r="H130" s="17">
        <v>-313009919</v>
      </c>
      <c r="I130" s="16">
        <v>1041141132</v>
      </c>
      <c r="J130" s="17">
        <v>1097853569</v>
      </c>
      <c r="K130" s="17">
        <v>0</v>
      </c>
      <c r="L130" s="16">
        <v>1097853569</v>
      </c>
      <c r="M130" s="18">
        <v>-56712437</v>
      </c>
    </row>
    <row r="131" spans="1:13">
      <c r="A131" s="10" t="s">
        <v>65</v>
      </c>
      <c r="B131" s="10" t="s">
        <v>17</v>
      </c>
      <c r="C131" s="10">
        <v>8</v>
      </c>
      <c r="D131" s="11">
        <v>26</v>
      </c>
      <c r="E131" s="10" t="s">
        <v>66</v>
      </c>
      <c r="F131" s="10" t="s">
        <v>30</v>
      </c>
      <c r="G131" s="4">
        <v>2504256798</v>
      </c>
      <c r="H131" s="12">
        <v>0</v>
      </c>
      <c r="I131" s="4">
        <v>2504256798</v>
      </c>
      <c r="J131" s="12">
        <v>2504256798</v>
      </c>
      <c r="K131" s="12">
        <v>0</v>
      </c>
      <c r="L131" s="4">
        <v>2504256798</v>
      </c>
      <c r="M131" s="13">
        <v>0</v>
      </c>
    </row>
    <row r="132" spans="1:13">
      <c r="A132" s="14" t="s">
        <v>65</v>
      </c>
      <c r="B132" s="14" t="s">
        <v>17</v>
      </c>
      <c r="C132" s="14">
        <v>8</v>
      </c>
      <c r="D132" s="15">
        <v>27</v>
      </c>
      <c r="E132" s="14" t="s">
        <v>32</v>
      </c>
      <c r="F132" s="14" t="s">
        <v>19</v>
      </c>
      <c r="G132" s="16">
        <v>3883986592</v>
      </c>
      <c r="H132" s="17">
        <v>0</v>
      </c>
      <c r="I132" s="16">
        <v>3883986592</v>
      </c>
      <c r="J132" s="17">
        <v>2120949937</v>
      </c>
      <c r="K132" s="17">
        <v>0</v>
      </c>
      <c r="L132" s="16">
        <v>2120949937</v>
      </c>
      <c r="M132" s="18">
        <v>1763036655</v>
      </c>
    </row>
    <row r="133" spans="1:13">
      <c r="A133" s="10" t="s">
        <v>65</v>
      </c>
      <c r="B133" s="10" t="s">
        <v>17</v>
      </c>
      <c r="C133" s="10">
        <v>8</v>
      </c>
      <c r="D133" s="11">
        <v>28</v>
      </c>
      <c r="E133" s="10" t="s">
        <v>18</v>
      </c>
      <c r="F133" s="10" t="s">
        <v>19</v>
      </c>
      <c r="G133" s="4">
        <v>2112309927</v>
      </c>
      <c r="H133" s="12">
        <v>0</v>
      </c>
      <c r="I133" s="4">
        <v>2112309927</v>
      </c>
      <c r="J133" s="12">
        <v>1877886823</v>
      </c>
      <c r="K133" s="12">
        <v>0</v>
      </c>
      <c r="L133" s="4">
        <v>1877886823</v>
      </c>
      <c r="M133" s="13">
        <v>234423104</v>
      </c>
    </row>
    <row r="134" spans="1:13">
      <c r="A134" s="14" t="s">
        <v>65</v>
      </c>
      <c r="B134" s="14" t="s">
        <v>17</v>
      </c>
      <c r="C134" s="14">
        <v>8</v>
      </c>
      <c r="D134" s="15">
        <v>32</v>
      </c>
      <c r="E134" s="14" t="s">
        <v>53</v>
      </c>
      <c r="F134" s="14" t="s">
        <v>19</v>
      </c>
      <c r="G134" s="16">
        <v>144571160</v>
      </c>
      <c r="H134" s="17">
        <v>0</v>
      </c>
      <c r="I134" s="16">
        <v>144571160</v>
      </c>
      <c r="J134" s="17">
        <v>128543764</v>
      </c>
      <c r="K134" s="17">
        <v>0</v>
      </c>
      <c r="L134" s="16">
        <v>128543764</v>
      </c>
      <c r="M134" s="18">
        <v>16027396</v>
      </c>
    </row>
    <row r="135" spans="1:13">
      <c r="A135" s="10" t="s">
        <v>65</v>
      </c>
      <c r="B135" s="10" t="s">
        <v>17</v>
      </c>
      <c r="C135" s="10">
        <v>8</v>
      </c>
      <c r="D135" s="11">
        <v>34</v>
      </c>
      <c r="E135" s="10" t="s">
        <v>20</v>
      </c>
      <c r="F135" s="10" t="s">
        <v>19</v>
      </c>
      <c r="G135" s="4">
        <v>2562330</v>
      </c>
      <c r="H135" s="12">
        <v>0</v>
      </c>
      <c r="I135" s="4">
        <v>2562330</v>
      </c>
      <c r="J135" s="12">
        <v>2407029</v>
      </c>
      <c r="K135" s="12">
        <v>0</v>
      </c>
      <c r="L135" s="4">
        <v>2407029</v>
      </c>
      <c r="M135" s="13">
        <v>155301</v>
      </c>
    </row>
    <row r="136" spans="1:13">
      <c r="A136" s="14" t="s">
        <v>65</v>
      </c>
      <c r="B136" s="14" t="s">
        <v>17</v>
      </c>
      <c r="C136" s="14">
        <v>8</v>
      </c>
      <c r="D136" s="15">
        <v>39</v>
      </c>
      <c r="E136" s="14" t="s">
        <v>54</v>
      </c>
      <c r="F136" s="14" t="s">
        <v>19</v>
      </c>
      <c r="G136" s="16">
        <v>23779647</v>
      </c>
      <c r="H136" s="17">
        <v>0</v>
      </c>
      <c r="I136" s="16">
        <v>23779647</v>
      </c>
      <c r="J136" s="17">
        <v>23779647</v>
      </c>
      <c r="K136" s="17">
        <v>0</v>
      </c>
      <c r="L136" s="16">
        <v>23779647</v>
      </c>
      <c r="M136" s="18">
        <v>0</v>
      </c>
    </row>
    <row r="137" spans="1:13">
      <c r="A137" s="10" t="s">
        <v>65</v>
      </c>
      <c r="B137" s="10" t="s">
        <v>17</v>
      </c>
      <c r="C137" s="10">
        <v>8</v>
      </c>
      <c r="D137" s="11">
        <v>40</v>
      </c>
      <c r="E137" s="10" t="s">
        <v>34</v>
      </c>
      <c r="F137" s="10" t="s">
        <v>19</v>
      </c>
      <c r="G137" s="4">
        <v>3774757638</v>
      </c>
      <c r="H137" s="12">
        <v>0</v>
      </c>
      <c r="I137" s="4">
        <v>3774757638</v>
      </c>
      <c r="J137" s="12">
        <v>3520496913</v>
      </c>
      <c r="K137" s="12">
        <v>0</v>
      </c>
      <c r="L137" s="4">
        <v>3520496913</v>
      </c>
      <c r="M137" s="13">
        <v>254260725</v>
      </c>
    </row>
    <row r="138" spans="1:13">
      <c r="A138" s="14" t="s">
        <v>65</v>
      </c>
      <c r="B138" s="14" t="s">
        <v>17</v>
      </c>
      <c r="C138" s="14">
        <v>8</v>
      </c>
      <c r="D138" s="15">
        <v>42</v>
      </c>
      <c r="E138" s="14" t="s">
        <v>35</v>
      </c>
      <c r="F138" s="14" t="s">
        <v>19</v>
      </c>
      <c r="G138" s="16">
        <v>1568536060</v>
      </c>
      <c r="H138" s="17">
        <v>0</v>
      </c>
      <c r="I138" s="16">
        <v>1568536060</v>
      </c>
      <c r="J138" s="17">
        <v>1339445680</v>
      </c>
      <c r="K138" s="17">
        <v>0</v>
      </c>
      <c r="L138" s="16">
        <v>1339445680</v>
      </c>
      <c r="M138" s="18">
        <v>229090380</v>
      </c>
    </row>
    <row r="139" spans="1:13">
      <c r="A139" s="10" t="s">
        <v>65</v>
      </c>
      <c r="B139" s="10" t="s">
        <v>17</v>
      </c>
      <c r="C139" s="10">
        <v>8</v>
      </c>
      <c r="D139" s="11">
        <v>43</v>
      </c>
      <c r="E139" s="10" t="s">
        <v>36</v>
      </c>
      <c r="F139" s="10" t="s">
        <v>37</v>
      </c>
      <c r="G139" s="4">
        <v>0</v>
      </c>
      <c r="H139" s="12">
        <v>0</v>
      </c>
      <c r="I139" s="4">
        <v>0</v>
      </c>
      <c r="J139" s="12">
        <v>5252772632</v>
      </c>
      <c r="K139" s="12">
        <v>0</v>
      </c>
      <c r="L139" s="4">
        <v>5252772632</v>
      </c>
      <c r="M139" s="13">
        <v>0</v>
      </c>
    </row>
    <row r="140" spans="1:13">
      <c r="A140" s="14" t="s">
        <v>65</v>
      </c>
      <c r="B140" s="14" t="s">
        <v>17</v>
      </c>
      <c r="C140" s="14">
        <v>8</v>
      </c>
      <c r="D140" s="15">
        <v>44</v>
      </c>
      <c r="E140" s="14" t="s">
        <v>38</v>
      </c>
      <c r="F140" s="14" t="s">
        <v>37</v>
      </c>
      <c r="G140" s="16">
        <v>0</v>
      </c>
      <c r="H140" s="17">
        <v>0</v>
      </c>
      <c r="I140" s="16">
        <v>0</v>
      </c>
      <c r="J140" s="17">
        <v>213885660</v>
      </c>
      <c r="K140" s="17">
        <v>0</v>
      </c>
      <c r="L140" s="16">
        <v>213885660</v>
      </c>
      <c r="M140" s="18">
        <v>0</v>
      </c>
    </row>
    <row r="141" spans="1:13">
      <c r="A141" s="10" t="s">
        <v>65</v>
      </c>
      <c r="B141" s="10" t="s">
        <v>17</v>
      </c>
      <c r="C141" s="10">
        <v>8</v>
      </c>
      <c r="D141" s="11">
        <v>45</v>
      </c>
      <c r="E141" s="10" t="s">
        <v>39</v>
      </c>
      <c r="F141" s="10" t="s">
        <v>37</v>
      </c>
      <c r="G141" s="4">
        <v>0</v>
      </c>
      <c r="H141" s="12">
        <v>0</v>
      </c>
      <c r="I141" s="4">
        <v>0</v>
      </c>
      <c r="J141" s="12">
        <v>267357085</v>
      </c>
      <c r="K141" s="12">
        <v>0</v>
      </c>
      <c r="L141" s="4">
        <v>267357085</v>
      </c>
      <c r="M141" s="13">
        <v>0</v>
      </c>
    </row>
    <row r="142" spans="1:13">
      <c r="A142" s="14" t="s">
        <v>65</v>
      </c>
      <c r="B142" s="14" t="s">
        <v>17</v>
      </c>
      <c r="C142" s="14">
        <v>8</v>
      </c>
      <c r="D142" s="15">
        <v>46</v>
      </c>
      <c r="E142" s="14" t="s">
        <v>40</v>
      </c>
      <c r="F142" s="14" t="s">
        <v>37</v>
      </c>
      <c r="G142" s="16">
        <v>5320765274</v>
      </c>
      <c r="H142" s="17">
        <v>0</v>
      </c>
      <c r="I142" s="16">
        <v>5320765274</v>
      </c>
      <c r="J142" s="17">
        <v>2176853039</v>
      </c>
      <c r="K142" s="17">
        <v>0</v>
      </c>
      <c r="L142" s="16">
        <v>2176853039</v>
      </c>
      <c r="M142" s="18">
        <v>-2836494918</v>
      </c>
    </row>
    <row r="143" spans="1:13">
      <c r="A143" s="10" t="s">
        <v>65</v>
      </c>
      <c r="B143" s="10" t="s">
        <v>17</v>
      </c>
      <c r="C143" s="10">
        <v>8</v>
      </c>
      <c r="D143" s="11">
        <v>47</v>
      </c>
      <c r="E143" s="10" t="s">
        <v>41</v>
      </c>
      <c r="F143" s="10" t="s">
        <v>37</v>
      </c>
      <c r="G143" s="4">
        <v>0</v>
      </c>
      <c r="H143" s="12">
        <v>0</v>
      </c>
      <c r="I143" s="4">
        <v>0</v>
      </c>
      <c r="J143" s="12">
        <v>132281053</v>
      </c>
      <c r="K143" s="12">
        <v>0</v>
      </c>
      <c r="L143" s="4">
        <v>132281053</v>
      </c>
      <c r="M143" s="13">
        <v>0</v>
      </c>
    </row>
    <row r="144" spans="1:13">
      <c r="A144" s="14" t="s">
        <v>65</v>
      </c>
      <c r="B144" s="14" t="s">
        <v>17</v>
      </c>
      <c r="C144" s="14">
        <v>8</v>
      </c>
      <c r="D144" s="15">
        <v>48</v>
      </c>
      <c r="E144" s="14" t="s">
        <v>42</v>
      </c>
      <c r="F144" s="14" t="s">
        <v>37</v>
      </c>
      <c r="G144" s="16">
        <v>0</v>
      </c>
      <c r="H144" s="17">
        <v>0</v>
      </c>
      <c r="I144" s="16">
        <v>0</v>
      </c>
      <c r="J144" s="17">
        <v>103463423</v>
      </c>
      <c r="K144" s="17">
        <v>0</v>
      </c>
      <c r="L144" s="16">
        <v>103463423</v>
      </c>
      <c r="M144" s="18">
        <v>0</v>
      </c>
    </row>
    <row r="145" spans="1:13">
      <c r="A145" s="10" t="s">
        <v>65</v>
      </c>
      <c r="B145" s="10" t="s">
        <v>17</v>
      </c>
      <c r="C145" s="10">
        <v>8</v>
      </c>
      <c r="D145" s="11">
        <v>49</v>
      </c>
      <c r="E145" s="10" t="s">
        <v>55</v>
      </c>
      <c r="F145" s="10" t="s">
        <v>37</v>
      </c>
      <c r="G145" s="4">
        <v>0</v>
      </c>
      <c r="H145" s="12">
        <v>0</v>
      </c>
      <c r="I145" s="4">
        <v>0</v>
      </c>
      <c r="J145" s="12">
        <v>6291389</v>
      </c>
      <c r="K145" s="12">
        <v>0</v>
      </c>
      <c r="L145" s="4">
        <v>6291389</v>
      </c>
      <c r="M145" s="13">
        <v>0</v>
      </c>
    </row>
    <row r="146" spans="1:13">
      <c r="A146" s="14" t="s">
        <v>65</v>
      </c>
      <c r="B146" s="14" t="s">
        <v>17</v>
      </c>
      <c r="C146" s="14">
        <v>8</v>
      </c>
      <c r="D146" s="15">
        <v>50</v>
      </c>
      <c r="E146" s="14" t="s">
        <v>43</v>
      </c>
      <c r="F146" s="14" t="s">
        <v>37</v>
      </c>
      <c r="G146" s="16">
        <v>0</v>
      </c>
      <c r="H146" s="17">
        <v>0</v>
      </c>
      <c r="I146" s="16">
        <v>0</v>
      </c>
      <c r="J146" s="17">
        <v>4355911</v>
      </c>
      <c r="K146" s="17">
        <v>0</v>
      </c>
      <c r="L146" s="16">
        <v>4355911</v>
      </c>
      <c r="M146" s="18">
        <v>0</v>
      </c>
    </row>
    <row r="147" spans="1:13">
      <c r="A147" s="10" t="s">
        <v>65</v>
      </c>
      <c r="B147" s="10" t="s">
        <v>17</v>
      </c>
      <c r="C147" s="10">
        <v>8</v>
      </c>
      <c r="D147" s="11">
        <v>52</v>
      </c>
      <c r="E147" s="10" t="s">
        <v>44</v>
      </c>
      <c r="F147" s="10" t="s">
        <v>45</v>
      </c>
      <c r="G147" s="4">
        <v>0</v>
      </c>
      <c r="H147" s="12">
        <v>31590000</v>
      </c>
      <c r="I147" s="4">
        <v>31590000</v>
      </c>
      <c r="J147" s="12">
        <v>31590000</v>
      </c>
      <c r="K147" s="12">
        <v>0</v>
      </c>
      <c r="L147" s="4">
        <v>31590000</v>
      </c>
      <c r="M147" s="13">
        <v>0</v>
      </c>
    </row>
    <row r="148" spans="1:13">
      <c r="A148" s="14" t="s">
        <v>65</v>
      </c>
      <c r="B148" s="14" t="s">
        <v>17</v>
      </c>
      <c r="C148" s="14">
        <v>8</v>
      </c>
      <c r="D148" s="15">
        <v>57</v>
      </c>
      <c r="E148" s="14" t="s">
        <v>21</v>
      </c>
      <c r="F148" s="14" t="s">
        <v>22</v>
      </c>
      <c r="G148" s="16">
        <v>0</v>
      </c>
      <c r="H148" s="17">
        <v>0</v>
      </c>
      <c r="I148" s="16">
        <v>0</v>
      </c>
      <c r="J148" s="17">
        <v>53381847</v>
      </c>
      <c r="K148" s="17">
        <v>0</v>
      </c>
      <c r="L148" s="16">
        <v>53381847</v>
      </c>
      <c r="M148" s="18">
        <v>-53381847</v>
      </c>
    </row>
    <row r="149" spans="1:13">
      <c r="A149" s="10" t="s">
        <v>65</v>
      </c>
      <c r="B149" s="10" t="s">
        <v>17</v>
      </c>
      <c r="C149" s="10">
        <v>8</v>
      </c>
      <c r="D149" s="11">
        <v>58</v>
      </c>
      <c r="E149" s="10" t="s">
        <v>23</v>
      </c>
      <c r="F149" s="10" t="s">
        <v>24</v>
      </c>
      <c r="G149" s="4">
        <v>551711348</v>
      </c>
      <c r="H149" s="12">
        <v>0</v>
      </c>
      <c r="I149" s="4">
        <v>551711348</v>
      </c>
      <c r="J149" s="12">
        <v>449287443</v>
      </c>
      <c r="K149" s="12">
        <v>0</v>
      </c>
      <c r="L149" s="4">
        <v>449287443</v>
      </c>
      <c r="M149" s="13">
        <v>102423905</v>
      </c>
    </row>
    <row r="150" spans="1:13">
      <c r="A150" s="14" t="s">
        <v>67</v>
      </c>
      <c r="B150" s="14" t="s">
        <v>17</v>
      </c>
      <c r="C150" s="14">
        <v>9</v>
      </c>
      <c r="D150" s="15">
        <v>3</v>
      </c>
      <c r="E150" s="14" t="s">
        <v>26</v>
      </c>
      <c r="F150" s="14" t="s">
        <v>27</v>
      </c>
      <c r="G150" s="16">
        <v>3336481227</v>
      </c>
      <c r="H150" s="17">
        <v>5118165124</v>
      </c>
      <c r="I150" s="16">
        <v>8454646351</v>
      </c>
      <c r="J150" s="17">
        <v>8454646351</v>
      </c>
      <c r="K150" s="17">
        <v>0</v>
      </c>
      <c r="L150" s="16">
        <v>8454646351</v>
      </c>
      <c r="M150" s="18">
        <v>0</v>
      </c>
    </row>
    <row r="151" spans="1:13">
      <c r="A151" s="10" t="s">
        <v>67</v>
      </c>
      <c r="B151" s="10" t="s">
        <v>17</v>
      </c>
      <c r="C151" s="10">
        <v>9</v>
      </c>
      <c r="D151" s="11">
        <v>4</v>
      </c>
      <c r="E151" s="10" t="s">
        <v>47</v>
      </c>
      <c r="F151" s="10" t="s">
        <v>27</v>
      </c>
      <c r="G151" s="4">
        <v>89587500</v>
      </c>
      <c r="H151" s="12">
        <v>0</v>
      </c>
      <c r="I151" s="4">
        <v>89587500</v>
      </c>
      <c r="J151" s="12">
        <v>0</v>
      </c>
      <c r="K151" s="12">
        <v>0</v>
      </c>
      <c r="L151" s="4">
        <v>0</v>
      </c>
      <c r="M151" s="13">
        <v>89587500</v>
      </c>
    </row>
    <row r="152" spans="1:13">
      <c r="A152" s="14" t="s">
        <v>67</v>
      </c>
      <c r="B152" s="14" t="s">
        <v>17</v>
      </c>
      <c r="C152" s="14">
        <v>9</v>
      </c>
      <c r="D152" s="15">
        <v>18</v>
      </c>
      <c r="E152" s="14" t="s">
        <v>29</v>
      </c>
      <c r="F152" s="14" t="s">
        <v>30</v>
      </c>
      <c r="G152" s="16">
        <v>756332380</v>
      </c>
      <c r="H152" s="17">
        <v>0</v>
      </c>
      <c r="I152" s="16">
        <v>756332380</v>
      </c>
      <c r="J152" s="17">
        <v>756332380</v>
      </c>
      <c r="K152" s="17">
        <v>0</v>
      </c>
      <c r="L152" s="16">
        <v>756332380</v>
      </c>
      <c r="M152" s="18">
        <v>0</v>
      </c>
    </row>
    <row r="153" spans="1:13">
      <c r="A153" s="10" t="s">
        <v>67</v>
      </c>
      <c r="B153" s="10" t="s">
        <v>17</v>
      </c>
      <c r="C153" s="10">
        <v>9</v>
      </c>
      <c r="D153" s="11">
        <v>23</v>
      </c>
      <c r="E153" s="10" t="s">
        <v>49</v>
      </c>
      <c r="F153" s="10" t="s">
        <v>30</v>
      </c>
      <c r="G153" s="4">
        <v>3368856498</v>
      </c>
      <c r="H153" s="12">
        <v>0</v>
      </c>
      <c r="I153" s="4">
        <v>3368856498</v>
      </c>
      <c r="J153" s="12">
        <v>3368856498</v>
      </c>
      <c r="K153" s="12">
        <v>0</v>
      </c>
      <c r="L153" s="4">
        <v>3368856498</v>
      </c>
      <c r="M153" s="13">
        <v>0</v>
      </c>
    </row>
    <row r="154" spans="1:13">
      <c r="A154" s="14" t="s">
        <v>67</v>
      </c>
      <c r="B154" s="14" t="s">
        <v>17</v>
      </c>
      <c r="C154" s="14">
        <v>9</v>
      </c>
      <c r="D154" s="15">
        <v>24</v>
      </c>
      <c r="E154" s="14" t="s">
        <v>68</v>
      </c>
      <c r="F154" s="14" t="s">
        <v>30</v>
      </c>
      <c r="G154" s="16">
        <v>433189050</v>
      </c>
      <c r="H154" s="17">
        <v>-433189050</v>
      </c>
      <c r="I154" s="16">
        <v>0</v>
      </c>
      <c r="J154" s="17">
        <v>0</v>
      </c>
      <c r="K154" s="17">
        <v>0</v>
      </c>
      <c r="L154" s="16">
        <v>0</v>
      </c>
      <c r="M154" s="18">
        <v>0</v>
      </c>
    </row>
    <row r="155" spans="1:13">
      <c r="A155" s="10" t="s">
        <v>67</v>
      </c>
      <c r="B155" s="10" t="s">
        <v>17</v>
      </c>
      <c r="C155" s="10">
        <v>9</v>
      </c>
      <c r="D155" s="11">
        <v>27</v>
      </c>
      <c r="E155" s="10" t="s">
        <v>32</v>
      </c>
      <c r="F155" s="10" t="s">
        <v>19</v>
      </c>
      <c r="G155" s="4">
        <v>209733459</v>
      </c>
      <c r="H155" s="12">
        <v>0</v>
      </c>
      <c r="I155" s="4">
        <v>209733459</v>
      </c>
      <c r="J155" s="12">
        <v>209733459</v>
      </c>
      <c r="K155" s="12">
        <v>0</v>
      </c>
      <c r="L155" s="4">
        <v>209733459</v>
      </c>
      <c r="M155" s="13">
        <v>0</v>
      </c>
    </row>
    <row r="156" spans="1:13">
      <c r="A156" s="14" t="s">
        <v>67</v>
      </c>
      <c r="B156" s="14" t="s">
        <v>17</v>
      </c>
      <c r="C156" s="14">
        <v>9</v>
      </c>
      <c r="D156" s="15">
        <v>28</v>
      </c>
      <c r="E156" s="14" t="s">
        <v>18</v>
      </c>
      <c r="F156" s="14" t="s">
        <v>19</v>
      </c>
      <c r="G156" s="16">
        <v>1889829432</v>
      </c>
      <c r="H156" s="17">
        <v>0</v>
      </c>
      <c r="I156" s="16">
        <v>1889829432</v>
      </c>
      <c r="J156" s="17">
        <v>2377240218</v>
      </c>
      <c r="K156" s="17">
        <v>0</v>
      </c>
      <c r="L156" s="16">
        <v>2377240218</v>
      </c>
      <c r="M156" s="18">
        <v>-487410786</v>
      </c>
    </row>
    <row r="157" spans="1:13">
      <c r="A157" s="10" t="s">
        <v>67</v>
      </c>
      <c r="B157" s="10" t="s">
        <v>17</v>
      </c>
      <c r="C157" s="10">
        <v>9</v>
      </c>
      <c r="D157" s="11">
        <v>29</v>
      </c>
      <c r="E157" s="10" t="s">
        <v>50</v>
      </c>
      <c r="F157" s="10" t="s">
        <v>19</v>
      </c>
      <c r="G157" s="4">
        <v>3000000000</v>
      </c>
      <c r="H157" s="12">
        <v>0</v>
      </c>
      <c r="I157" s="4">
        <v>3000000000</v>
      </c>
      <c r="J157" s="12">
        <v>0</v>
      </c>
      <c r="K157" s="12">
        <v>3000000000</v>
      </c>
      <c r="L157" s="4">
        <v>3000000000</v>
      </c>
      <c r="M157" s="13">
        <v>0</v>
      </c>
    </row>
    <row r="158" spans="1:13">
      <c r="A158" s="14" t="s">
        <v>67</v>
      </c>
      <c r="B158" s="14" t="s">
        <v>17</v>
      </c>
      <c r="C158" s="14">
        <v>9</v>
      </c>
      <c r="D158" s="15">
        <v>30</v>
      </c>
      <c r="E158" s="14" t="s">
        <v>51</v>
      </c>
      <c r="F158" s="14" t="s">
        <v>19</v>
      </c>
      <c r="G158" s="16">
        <v>10226889219</v>
      </c>
      <c r="H158" s="17">
        <v>0</v>
      </c>
      <c r="I158" s="16">
        <v>10226889219</v>
      </c>
      <c r="J158" s="17">
        <v>10226889219</v>
      </c>
      <c r="K158" s="17">
        <v>0</v>
      </c>
      <c r="L158" s="16">
        <v>10226889219</v>
      </c>
      <c r="M158" s="18">
        <v>0</v>
      </c>
    </row>
    <row r="159" spans="1:13">
      <c r="A159" s="10" t="s">
        <v>67</v>
      </c>
      <c r="B159" s="10" t="s">
        <v>17</v>
      </c>
      <c r="C159" s="10">
        <v>9</v>
      </c>
      <c r="D159" s="11">
        <v>32</v>
      </c>
      <c r="E159" s="10" t="s">
        <v>53</v>
      </c>
      <c r="F159" s="10" t="s">
        <v>19</v>
      </c>
      <c r="G159" s="4">
        <v>223062855</v>
      </c>
      <c r="H159" s="12">
        <v>0</v>
      </c>
      <c r="I159" s="4">
        <v>223062855</v>
      </c>
      <c r="J159" s="12">
        <v>223062855</v>
      </c>
      <c r="K159" s="12">
        <v>0</v>
      </c>
      <c r="L159" s="4">
        <v>223062855</v>
      </c>
      <c r="M159" s="13">
        <v>0</v>
      </c>
    </row>
    <row r="160" spans="1:13">
      <c r="A160" s="14" t="s">
        <v>67</v>
      </c>
      <c r="B160" s="14" t="s">
        <v>17</v>
      </c>
      <c r="C160" s="14">
        <v>9</v>
      </c>
      <c r="D160" s="15">
        <v>34</v>
      </c>
      <c r="E160" s="14" t="s">
        <v>20</v>
      </c>
      <c r="F160" s="14" t="s">
        <v>19</v>
      </c>
      <c r="G160" s="16">
        <v>1358135</v>
      </c>
      <c r="H160" s="17">
        <v>0</v>
      </c>
      <c r="I160" s="16">
        <v>1358135</v>
      </c>
      <c r="J160" s="17">
        <v>1358135</v>
      </c>
      <c r="K160" s="17">
        <v>0</v>
      </c>
      <c r="L160" s="16">
        <v>1358135</v>
      </c>
      <c r="M160" s="18">
        <v>0</v>
      </c>
    </row>
    <row r="161" spans="1:13">
      <c r="A161" s="10" t="s">
        <v>67</v>
      </c>
      <c r="B161" s="10" t="s">
        <v>17</v>
      </c>
      <c r="C161" s="10">
        <v>9</v>
      </c>
      <c r="D161" s="11">
        <v>35</v>
      </c>
      <c r="E161" s="10" t="s">
        <v>33</v>
      </c>
      <c r="F161" s="10" t="s">
        <v>19</v>
      </c>
      <c r="G161" s="4">
        <v>0</v>
      </c>
      <c r="H161" s="12">
        <v>0</v>
      </c>
      <c r="I161" s="4">
        <v>0</v>
      </c>
      <c r="J161" s="12">
        <v>546915477</v>
      </c>
      <c r="K161" s="12">
        <v>-546915477</v>
      </c>
      <c r="L161" s="4">
        <v>0</v>
      </c>
      <c r="M161" s="13">
        <v>0</v>
      </c>
    </row>
    <row r="162" spans="1:13">
      <c r="A162" s="14" t="s">
        <v>67</v>
      </c>
      <c r="B162" s="14" t="s">
        <v>17</v>
      </c>
      <c r="C162" s="14">
        <v>9</v>
      </c>
      <c r="D162" s="15">
        <v>39</v>
      </c>
      <c r="E162" s="14" t="s">
        <v>54</v>
      </c>
      <c r="F162" s="14" t="s">
        <v>19</v>
      </c>
      <c r="G162" s="16">
        <v>8299828097</v>
      </c>
      <c r="H162" s="17">
        <v>0</v>
      </c>
      <c r="I162" s="16">
        <v>8299828097</v>
      </c>
      <c r="J162" s="17">
        <v>8299828097</v>
      </c>
      <c r="K162" s="17">
        <v>0</v>
      </c>
      <c r="L162" s="16">
        <v>8299828097</v>
      </c>
      <c r="M162" s="18">
        <v>0</v>
      </c>
    </row>
    <row r="163" spans="1:13">
      <c r="A163" s="10" t="s">
        <v>67</v>
      </c>
      <c r="B163" s="10" t="s">
        <v>17</v>
      </c>
      <c r="C163" s="10">
        <v>9</v>
      </c>
      <c r="D163" s="11">
        <v>43</v>
      </c>
      <c r="E163" s="10" t="s">
        <v>36</v>
      </c>
      <c r="F163" s="10" t="s">
        <v>37</v>
      </c>
      <c r="G163" s="4">
        <v>0</v>
      </c>
      <c r="H163" s="12">
        <v>0</v>
      </c>
      <c r="I163" s="4">
        <v>0</v>
      </c>
      <c r="J163" s="12">
        <v>758414389</v>
      </c>
      <c r="K163" s="12">
        <v>0</v>
      </c>
      <c r="L163" s="4">
        <v>758414389</v>
      </c>
      <c r="M163" s="13">
        <v>0</v>
      </c>
    </row>
    <row r="164" spans="1:13">
      <c r="A164" s="14" t="s">
        <v>67</v>
      </c>
      <c r="B164" s="14" t="s">
        <v>17</v>
      </c>
      <c r="C164" s="14">
        <v>9</v>
      </c>
      <c r="D164" s="15">
        <v>44</v>
      </c>
      <c r="E164" s="14" t="s">
        <v>38</v>
      </c>
      <c r="F164" s="14" t="s">
        <v>37</v>
      </c>
      <c r="G164" s="16">
        <v>0</v>
      </c>
      <c r="H164" s="17">
        <v>0</v>
      </c>
      <c r="I164" s="16">
        <v>0</v>
      </c>
      <c r="J164" s="17">
        <v>63440364</v>
      </c>
      <c r="K164" s="17">
        <v>0</v>
      </c>
      <c r="L164" s="16">
        <v>63440364</v>
      </c>
      <c r="M164" s="18">
        <v>0</v>
      </c>
    </row>
    <row r="165" spans="1:13">
      <c r="A165" s="10" t="s">
        <v>67</v>
      </c>
      <c r="B165" s="10" t="s">
        <v>17</v>
      </c>
      <c r="C165" s="10">
        <v>9</v>
      </c>
      <c r="D165" s="11">
        <v>45</v>
      </c>
      <c r="E165" s="10" t="s">
        <v>39</v>
      </c>
      <c r="F165" s="10" t="s">
        <v>37</v>
      </c>
      <c r="G165" s="4">
        <v>0</v>
      </c>
      <c r="H165" s="12">
        <v>0</v>
      </c>
      <c r="I165" s="4">
        <v>0</v>
      </c>
      <c r="J165" s="12">
        <v>79300466</v>
      </c>
      <c r="K165" s="12">
        <v>0</v>
      </c>
      <c r="L165" s="4">
        <v>79300466</v>
      </c>
      <c r="M165" s="13">
        <v>0</v>
      </c>
    </row>
    <row r="166" spans="1:13">
      <c r="A166" s="14" t="s">
        <v>67</v>
      </c>
      <c r="B166" s="14" t="s">
        <v>17</v>
      </c>
      <c r="C166" s="14">
        <v>9</v>
      </c>
      <c r="D166" s="15">
        <v>46</v>
      </c>
      <c r="E166" s="14" t="s">
        <v>40</v>
      </c>
      <c r="F166" s="14" t="s">
        <v>37</v>
      </c>
      <c r="G166" s="16">
        <v>1563391255</v>
      </c>
      <c r="H166" s="17">
        <v>-178361687</v>
      </c>
      <c r="I166" s="16">
        <v>1385029568</v>
      </c>
      <c r="J166" s="17">
        <v>292634038</v>
      </c>
      <c r="K166" s="17">
        <v>0</v>
      </c>
      <c r="L166" s="16">
        <v>292634038</v>
      </c>
      <c r="M166" s="18">
        <v>0</v>
      </c>
    </row>
    <row r="167" spans="1:13">
      <c r="A167" s="10" t="s">
        <v>67</v>
      </c>
      <c r="B167" s="10" t="s">
        <v>17</v>
      </c>
      <c r="C167" s="10">
        <v>9</v>
      </c>
      <c r="D167" s="11">
        <v>47</v>
      </c>
      <c r="E167" s="10" t="s">
        <v>41</v>
      </c>
      <c r="F167" s="10" t="s">
        <v>37</v>
      </c>
      <c r="G167" s="4">
        <v>0</v>
      </c>
      <c r="H167" s="12">
        <v>0</v>
      </c>
      <c r="I167" s="4">
        <v>0</v>
      </c>
      <c r="J167" s="12">
        <v>39424980</v>
      </c>
      <c r="K167" s="12">
        <v>0</v>
      </c>
      <c r="L167" s="4">
        <v>39424980</v>
      </c>
      <c r="M167" s="13">
        <v>0</v>
      </c>
    </row>
    <row r="168" spans="1:13">
      <c r="A168" s="14" t="s">
        <v>67</v>
      </c>
      <c r="B168" s="14" t="s">
        <v>17</v>
      </c>
      <c r="C168" s="14">
        <v>9</v>
      </c>
      <c r="D168" s="15">
        <v>48</v>
      </c>
      <c r="E168" s="14" t="s">
        <v>42</v>
      </c>
      <c r="F168" s="14" t="s">
        <v>37</v>
      </c>
      <c r="G168" s="16">
        <v>0</v>
      </c>
      <c r="H168" s="17">
        <v>0</v>
      </c>
      <c r="I168" s="16">
        <v>0</v>
      </c>
      <c r="J168" s="17">
        <v>11585412</v>
      </c>
      <c r="K168" s="17">
        <v>0</v>
      </c>
      <c r="L168" s="16">
        <v>11585412</v>
      </c>
      <c r="M168" s="18">
        <v>0</v>
      </c>
    </row>
    <row r="169" spans="1:13">
      <c r="A169" s="10" t="s">
        <v>67</v>
      </c>
      <c r="B169" s="10" t="s">
        <v>17</v>
      </c>
      <c r="C169" s="10">
        <v>9</v>
      </c>
      <c r="D169" s="11">
        <v>49</v>
      </c>
      <c r="E169" s="10" t="s">
        <v>55</v>
      </c>
      <c r="F169" s="10" t="s">
        <v>37</v>
      </c>
      <c r="G169" s="4">
        <v>0</v>
      </c>
      <c r="H169" s="12">
        <v>0</v>
      </c>
      <c r="I169" s="4">
        <v>0</v>
      </c>
      <c r="J169" s="12">
        <v>7911392</v>
      </c>
      <c r="K169" s="12">
        <v>0</v>
      </c>
      <c r="L169" s="4">
        <v>7911392</v>
      </c>
      <c r="M169" s="13">
        <v>0</v>
      </c>
    </row>
    <row r="170" spans="1:13">
      <c r="A170" s="14" t="s">
        <v>67</v>
      </c>
      <c r="B170" s="14" t="s">
        <v>17</v>
      </c>
      <c r="C170" s="14">
        <v>9</v>
      </c>
      <c r="D170" s="15">
        <v>50</v>
      </c>
      <c r="E170" s="14" t="s">
        <v>43</v>
      </c>
      <c r="F170" s="14" t="s">
        <v>37</v>
      </c>
      <c r="G170" s="16">
        <v>0</v>
      </c>
      <c r="H170" s="17">
        <v>0</v>
      </c>
      <c r="I170" s="16">
        <v>0</v>
      </c>
      <c r="J170" s="17">
        <v>79642143</v>
      </c>
      <c r="K170" s="17">
        <v>0</v>
      </c>
      <c r="L170" s="16">
        <v>79642143</v>
      </c>
      <c r="M170" s="18">
        <v>0</v>
      </c>
    </row>
    <row r="171" spans="1:13">
      <c r="A171" s="10" t="s">
        <v>67</v>
      </c>
      <c r="B171" s="10" t="s">
        <v>17</v>
      </c>
      <c r="C171" s="10">
        <v>9</v>
      </c>
      <c r="D171" s="11">
        <v>51</v>
      </c>
      <c r="E171" s="10" t="s">
        <v>56</v>
      </c>
      <c r="F171" s="10" t="s">
        <v>37</v>
      </c>
      <c r="G171" s="4">
        <v>7765961168</v>
      </c>
      <c r="H171" s="12">
        <v>0</v>
      </c>
      <c r="I171" s="4">
        <v>7765961168</v>
      </c>
      <c r="J171" s="12">
        <v>52676384</v>
      </c>
      <c r="K171" s="12">
        <v>7765961168</v>
      </c>
      <c r="L171" s="4">
        <v>7818637552</v>
      </c>
      <c r="M171" s="13">
        <v>0</v>
      </c>
    </row>
    <row r="172" spans="1:13">
      <c r="A172" s="14" t="s">
        <v>67</v>
      </c>
      <c r="B172" s="14" t="s">
        <v>17</v>
      </c>
      <c r="C172" s="14">
        <v>9</v>
      </c>
      <c r="D172" s="15">
        <v>52</v>
      </c>
      <c r="E172" s="14" t="s">
        <v>44</v>
      </c>
      <c r="F172" s="14" t="s">
        <v>45</v>
      </c>
      <c r="G172" s="16">
        <v>0</v>
      </c>
      <c r="H172" s="17">
        <v>433189050</v>
      </c>
      <c r="I172" s="16">
        <v>433189050</v>
      </c>
      <c r="J172" s="17">
        <v>433189050</v>
      </c>
      <c r="K172" s="17">
        <v>0</v>
      </c>
      <c r="L172" s="16">
        <v>433189050</v>
      </c>
      <c r="M172" s="18">
        <v>0</v>
      </c>
    </row>
    <row r="173" spans="1:13">
      <c r="A173" s="10" t="s">
        <v>67</v>
      </c>
      <c r="B173" s="10" t="s">
        <v>17</v>
      </c>
      <c r="C173" s="10">
        <v>9</v>
      </c>
      <c r="D173" s="11">
        <v>57</v>
      </c>
      <c r="E173" s="10" t="s">
        <v>21</v>
      </c>
      <c r="F173" s="10" t="s">
        <v>22</v>
      </c>
      <c r="G173" s="4">
        <v>22716500</v>
      </c>
      <c r="H173" s="12">
        <v>0</v>
      </c>
      <c r="I173" s="4">
        <v>22716500</v>
      </c>
      <c r="J173" s="12">
        <v>22716501</v>
      </c>
      <c r="K173" s="12">
        <v>0</v>
      </c>
      <c r="L173" s="4">
        <v>22716501</v>
      </c>
      <c r="M173" s="13">
        <v>-1</v>
      </c>
    </row>
    <row r="174" spans="1:13">
      <c r="A174" s="14" t="s">
        <v>67</v>
      </c>
      <c r="B174" s="14" t="s">
        <v>17</v>
      </c>
      <c r="C174" s="14">
        <v>9</v>
      </c>
      <c r="D174" s="15">
        <v>58</v>
      </c>
      <c r="E174" s="14" t="s">
        <v>23</v>
      </c>
      <c r="F174" s="14" t="s">
        <v>24</v>
      </c>
      <c r="G174" s="16">
        <v>244977043</v>
      </c>
      <c r="H174" s="17">
        <v>0</v>
      </c>
      <c r="I174" s="16">
        <v>244977043</v>
      </c>
      <c r="J174" s="17">
        <v>240972402</v>
      </c>
      <c r="K174" s="17">
        <v>0</v>
      </c>
      <c r="L174" s="16">
        <v>240972402</v>
      </c>
      <c r="M174" s="18">
        <v>4004641</v>
      </c>
    </row>
    <row r="175" spans="1:13">
      <c r="A175" s="10" t="s">
        <v>69</v>
      </c>
      <c r="B175" s="10" t="s">
        <v>17</v>
      </c>
      <c r="C175" s="10">
        <v>10</v>
      </c>
      <c r="D175" s="11">
        <v>3</v>
      </c>
      <c r="E175" s="10" t="s">
        <v>26</v>
      </c>
      <c r="F175" s="10" t="s">
        <v>27</v>
      </c>
      <c r="G175" s="4">
        <v>217484843</v>
      </c>
      <c r="H175" s="12">
        <v>0</v>
      </c>
      <c r="I175" s="4">
        <v>217484843</v>
      </c>
      <c r="J175" s="12">
        <v>217484843</v>
      </c>
      <c r="K175" s="12">
        <v>0</v>
      </c>
      <c r="L175" s="4">
        <v>217484843</v>
      </c>
      <c r="M175" s="13">
        <v>0</v>
      </c>
    </row>
    <row r="176" spans="1:13">
      <c r="A176" s="14" t="s">
        <v>69</v>
      </c>
      <c r="B176" s="14" t="s">
        <v>17</v>
      </c>
      <c r="C176" s="14">
        <v>10</v>
      </c>
      <c r="D176" s="15">
        <v>7</v>
      </c>
      <c r="E176" s="14" t="s">
        <v>28</v>
      </c>
      <c r="F176" s="14" t="s">
        <v>27</v>
      </c>
      <c r="G176" s="16">
        <v>1599180</v>
      </c>
      <c r="H176" s="17">
        <v>0</v>
      </c>
      <c r="I176" s="16">
        <v>1599180</v>
      </c>
      <c r="J176" s="17">
        <v>0</v>
      </c>
      <c r="K176" s="17">
        <v>0</v>
      </c>
      <c r="L176" s="16">
        <v>0</v>
      </c>
      <c r="M176" s="18">
        <v>1599180</v>
      </c>
    </row>
    <row r="177" spans="1:13">
      <c r="A177" s="10" t="s">
        <v>69</v>
      </c>
      <c r="B177" s="10" t="s">
        <v>17</v>
      </c>
      <c r="C177" s="10">
        <v>10</v>
      </c>
      <c r="D177" s="11">
        <v>18</v>
      </c>
      <c r="E177" s="10" t="s">
        <v>29</v>
      </c>
      <c r="F177" s="10" t="s">
        <v>30</v>
      </c>
      <c r="G177" s="4">
        <v>84928895</v>
      </c>
      <c r="H177" s="12">
        <v>0</v>
      </c>
      <c r="I177" s="4">
        <v>84928895</v>
      </c>
      <c r="J177" s="12">
        <v>84928895</v>
      </c>
      <c r="K177" s="12">
        <v>0</v>
      </c>
      <c r="L177" s="4">
        <v>84928895</v>
      </c>
      <c r="M177" s="13">
        <v>0</v>
      </c>
    </row>
    <row r="178" spans="1:13">
      <c r="A178" s="14" t="s">
        <v>69</v>
      </c>
      <c r="B178" s="14" t="s">
        <v>17</v>
      </c>
      <c r="C178" s="14">
        <v>10</v>
      </c>
      <c r="D178" s="15">
        <v>26</v>
      </c>
      <c r="E178" s="14" t="s">
        <v>66</v>
      </c>
      <c r="F178" s="14" t="s">
        <v>30</v>
      </c>
      <c r="G178" s="16">
        <v>130022610</v>
      </c>
      <c r="H178" s="17">
        <v>0</v>
      </c>
      <c r="I178" s="16">
        <v>130022610</v>
      </c>
      <c r="J178" s="17">
        <v>0</v>
      </c>
      <c r="K178" s="17">
        <v>0</v>
      </c>
      <c r="L178" s="16">
        <v>0</v>
      </c>
      <c r="M178" s="18">
        <v>130022610</v>
      </c>
    </row>
    <row r="179" spans="1:13">
      <c r="A179" s="10" t="s">
        <v>69</v>
      </c>
      <c r="B179" s="10" t="s">
        <v>17</v>
      </c>
      <c r="C179" s="10">
        <v>10</v>
      </c>
      <c r="D179" s="11">
        <v>27</v>
      </c>
      <c r="E179" s="10" t="s">
        <v>32</v>
      </c>
      <c r="F179" s="10" t="s">
        <v>19</v>
      </c>
      <c r="G179" s="4">
        <v>22516749</v>
      </c>
      <c r="H179" s="12">
        <v>0</v>
      </c>
      <c r="I179" s="4">
        <v>22516749</v>
      </c>
      <c r="J179" s="12">
        <v>22516749</v>
      </c>
      <c r="K179" s="12">
        <v>0</v>
      </c>
      <c r="L179" s="4">
        <v>22516749</v>
      </c>
      <c r="M179" s="13">
        <v>0</v>
      </c>
    </row>
    <row r="180" spans="1:13">
      <c r="A180" s="14" t="s">
        <v>69</v>
      </c>
      <c r="B180" s="14" t="s">
        <v>17</v>
      </c>
      <c r="C180" s="14">
        <v>10</v>
      </c>
      <c r="D180" s="15">
        <v>28</v>
      </c>
      <c r="E180" s="14" t="s">
        <v>18</v>
      </c>
      <c r="F180" s="14" t="s">
        <v>19</v>
      </c>
      <c r="G180" s="16">
        <v>636133262</v>
      </c>
      <c r="H180" s="17">
        <v>0</v>
      </c>
      <c r="I180" s="16">
        <v>636133262</v>
      </c>
      <c r="J180" s="17">
        <v>681712775</v>
      </c>
      <c r="K180" s="17">
        <v>0</v>
      </c>
      <c r="L180" s="16">
        <v>681712775</v>
      </c>
      <c r="M180" s="18">
        <v>-45579513</v>
      </c>
    </row>
    <row r="181" spans="1:13">
      <c r="A181" s="10" t="s">
        <v>69</v>
      </c>
      <c r="B181" s="10" t="s">
        <v>17</v>
      </c>
      <c r="C181" s="10">
        <v>10</v>
      </c>
      <c r="D181" s="11">
        <v>30</v>
      </c>
      <c r="E181" s="10" t="s">
        <v>51</v>
      </c>
      <c r="F181" s="10" t="s">
        <v>19</v>
      </c>
      <c r="G181" s="4">
        <v>3622280500</v>
      </c>
      <c r="H181" s="12">
        <v>0</v>
      </c>
      <c r="I181" s="4">
        <v>3622280500</v>
      </c>
      <c r="J181" s="12">
        <v>3622283500</v>
      </c>
      <c r="K181" s="12">
        <v>0</v>
      </c>
      <c r="L181" s="4">
        <v>3622283500</v>
      </c>
      <c r="M181" s="13">
        <v>-3000</v>
      </c>
    </row>
    <row r="182" spans="1:13">
      <c r="A182" s="14" t="s">
        <v>69</v>
      </c>
      <c r="B182" s="14" t="s">
        <v>17</v>
      </c>
      <c r="C182" s="14">
        <v>10</v>
      </c>
      <c r="D182" s="15">
        <v>32</v>
      </c>
      <c r="E182" s="14" t="s">
        <v>53</v>
      </c>
      <c r="F182" s="14" t="s">
        <v>19</v>
      </c>
      <c r="G182" s="16">
        <v>14736103</v>
      </c>
      <c r="H182" s="17">
        <v>0</v>
      </c>
      <c r="I182" s="16">
        <v>14736103</v>
      </c>
      <c r="J182" s="17">
        <v>14736103</v>
      </c>
      <c r="K182" s="17">
        <v>0</v>
      </c>
      <c r="L182" s="16">
        <v>14736103</v>
      </c>
      <c r="M182" s="18">
        <v>0</v>
      </c>
    </row>
    <row r="183" spans="1:13">
      <c r="A183" s="10" t="s">
        <v>69</v>
      </c>
      <c r="B183" s="10" t="s">
        <v>17</v>
      </c>
      <c r="C183" s="10">
        <v>10</v>
      </c>
      <c r="D183" s="11">
        <v>34</v>
      </c>
      <c r="E183" s="10" t="s">
        <v>20</v>
      </c>
      <c r="F183" s="10" t="s">
        <v>19</v>
      </c>
      <c r="G183" s="4">
        <v>6507005</v>
      </c>
      <c r="H183" s="12">
        <v>0</v>
      </c>
      <c r="I183" s="4">
        <v>6507005</v>
      </c>
      <c r="J183" s="12">
        <v>6507005</v>
      </c>
      <c r="K183" s="12">
        <v>0</v>
      </c>
      <c r="L183" s="4">
        <v>6507005</v>
      </c>
      <c r="M183" s="13">
        <v>0</v>
      </c>
    </row>
    <row r="184" spans="1:13">
      <c r="A184" s="14" t="s">
        <v>69</v>
      </c>
      <c r="B184" s="14" t="s">
        <v>17</v>
      </c>
      <c r="C184" s="14">
        <v>10</v>
      </c>
      <c r="D184" s="15">
        <v>39</v>
      </c>
      <c r="E184" s="14" t="s">
        <v>54</v>
      </c>
      <c r="F184" s="14" t="s">
        <v>19</v>
      </c>
      <c r="G184" s="16">
        <v>61596610</v>
      </c>
      <c r="H184" s="17">
        <v>0</v>
      </c>
      <c r="I184" s="16">
        <v>61596610</v>
      </c>
      <c r="J184" s="17">
        <v>61596610</v>
      </c>
      <c r="K184" s="17">
        <v>0</v>
      </c>
      <c r="L184" s="16">
        <v>61596610</v>
      </c>
      <c r="M184" s="18">
        <v>0</v>
      </c>
    </row>
    <row r="185" spans="1:13">
      <c r="A185" s="10" t="s">
        <v>69</v>
      </c>
      <c r="B185" s="10" t="s">
        <v>17</v>
      </c>
      <c r="C185" s="10">
        <v>10</v>
      </c>
      <c r="D185" s="11">
        <v>43</v>
      </c>
      <c r="E185" s="10" t="s">
        <v>36</v>
      </c>
      <c r="F185" s="10" t="s">
        <v>37</v>
      </c>
      <c r="G185" s="4">
        <v>0</v>
      </c>
      <c r="H185" s="12">
        <v>578823376</v>
      </c>
      <c r="I185" s="4">
        <v>578823376</v>
      </c>
      <c r="J185" s="12">
        <v>578823376</v>
      </c>
      <c r="K185" s="12">
        <v>0</v>
      </c>
      <c r="L185" s="4">
        <v>578823376</v>
      </c>
      <c r="M185" s="13">
        <v>0</v>
      </c>
    </row>
    <row r="186" spans="1:13">
      <c r="A186" s="14" t="s">
        <v>69</v>
      </c>
      <c r="B186" s="14" t="s">
        <v>17</v>
      </c>
      <c r="C186" s="14">
        <v>10</v>
      </c>
      <c r="D186" s="15">
        <v>44</v>
      </c>
      <c r="E186" s="14" t="s">
        <v>38</v>
      </c>
      <c r="F186" s="14" t="s">
        <v>37</v>
      </c>
      <c r="G186" s="16">
        <v>0</v>
      </c>
      <c r="H186" s="17">
        <v>23998500</v>
      </c>
      <c r="I186" s="16">
        <v>23998500</v>
      </c>
      <c r="J186" s="17">
        <v>23998500</v>
      </c>
      <c r="K186" s="17">
        <v>0</v>
      </c>
      <c r="L186" s="16">
        <v>23998500</v>
      </c>
      <c r="M186" s="18">
        <v>0</v>
      </c>
    </row>
    <row r="187" spans="1:13">
      <c r="A187" s="10" t="s">
        <v>69</v>
      </c>
      <c r="B187" s="10" t="s">
        <v>17</v>
      </c>
      <c r="C187" s="10">
        <v>10</v>
      </c>
      <c r="D187" s="11">
        <v>45</v>
      </c>
      <c r="E187" s="10" t="s">
        <v>39</v>
      </c>
      <c r="F187" s="10" t="s">
        <v>37</v>
      </c>
      <c r="G187" s="4">
        <v>0</v>
      </c>
      <c r="H187" s="12">
        <v>29998123</v>
      </c>
      <c r="I187" s="4">
        <v>29998123</v>
      </c>
      <c r="J187" s="12">
        <v>29998123</v>
      </c>
      <c r="K187" s="12">
        <v>0</v>
      </c>
      <c r="L187" s="4">
        <v>29998123</v>
      </c>
      <c r="M187" s="13">
        <v>0</v>
      </c>
    </row>
    <row r="188" spans="1:13">
      <c r="A188" s="14" t="s">
        <v>69</v>
      </c>
      <c r="B188" s="14" t="s">
        <v>17</v>
      </c>
      <c r="C188" s="14">
        <v>10</v>
      </c>
      <c r="D188" s="15">
        <v>46</v>
      </c>
      <c r="E188" s="14" t="s">
        <v>40</v>
      </c>
      <c r="F188" s="14" t="s">
        <v>37</v>
      </c>
      <c r="G188" s="16">
        <v>0</v>
      </c>
      <c r="H188" s="17">
        <v>184507412</v>
      </c>
      <c r="I188" s="16">
        <v>184507412</v>
      </c>
      <c r="J188" s="17">
        <v>184507412</v>
      </c>
      <c r="K188" s="17">
        <v>0</v>
      </c>
      <c r="L188" s="16">
        <v>184507412</v>
      </c>
      <c r="M188" s="18">
        <v>0</v>
      </c>
    </row>
    <row r="189" spans="1:13">
      <c r="A189" s="10" t="s">
        <v>69</v>
      </c>
      <c r="B189" s="10" t="s">
        <v>17</v>
      </c>
      <c r="C189" s="10">
        <v>10</v>
      </c>
      <c r="D189" s="11">
        <v>47</v>
      </c>
      <c r="E189" s="10" t="s">
        <v>41</v>
      </c>
      <c r="F189" s="10" t="s">
        <v>37</v>
      </c>
      <c r="G189" s="4">
        <v>0</v>
      </c>
      <c r="H189" s="12">
        <v>14999068</v>
      </c>
      <c r="I189" s="4">
        <v>14999068</v>
      </c>
      <c r="J189" s="12">
        <v>14999068</v>
      </c>
      <c r="K189" s="12">
        <v>0</v>
      </c>
      <c r="L189" s="4">
        <v>14999068</v>
      </c>
      <c r="M189" s="13">
        <v>0</v>
      </c>
    </row>
    <row r="190" spans="1:13">
      <c r="A190" s="14" t="s">
        <v>69</v>
      </c>
      <c r="B190" s="14" t="s">
        <v>17</v>
      </c>
      <c r="C190" s="14">
        <v>10</v>
      </c>
      <c r="D190" s="15">
        <v>48</v>
      </c>
      <c r="E190" s="14" t="s">
        <v>42</v>
      </c>
      <c r="F190" s="14" t="s">
        <v>37</v>
      </c>
      <c r="G190" s="16">
        <v>0</v>
      </c>
      <c r="H190" s="17">
        <v>1814240</v>
      </c>
      <c r="I190" s="16">
        <v>1814240</v>
      </c>
      <c r="J190" s="17">
        <v>1814240</v>
      </c>
      <c r="K190" s="17">
        <v>0</v>
      </c>
      <c r="L190" s="16">
        <v>1814240</v>
      </c>
      <c r="M190" s="18">
        <v>0</v>
      </c>
    </row>
    <row r="191" spans="1:13">
      <c r="A191" s="10" t="s">
        <v>69</v>
      </c>
      <c r="B191" s="10" t="s">
        <v>17</v>
      </c>
      <c r="C191" s="10">
        <v>10</v>
      </c>
      <c r="D191" s="11">
        <v>49</v>
      </c>
      <c r="E191" s="10" t="s">
        <v>55</v>
      </c>
      <c r="F191" s="10" t="s">
        <v>37</v>
      </c>
      <c r="G191" s="4">
        <v>0</v>
      </c>
      <c r="H191" s="12">
        <v>18836679</v>
      </c>
      <c r="I191" s="4">
        <v>18836679</v>
      </c>
      <c r="J191" s="12">
        <v>18836679</v>
      </c>
      <c r="K191" s="12">
        <v>0</v>
      </c>
      <c r="L191" s="4">
        <v>18836679</v>
      </c>
      <c r="M191" s="13">
        <v>0</v>
      </c>
    </row>
    <row r="192" spans="1:13">
      <c r="A192" s="14" t="s">
        <v>69</v>
      </c>
      <c r="B192" s="14" t="s">
        <v>17</v>
      </c>
      <c r="C192" s="14">
        <v>10</v>
      </c>
      <c r="D192" s="15">
        <v>50</v>
      </c>
      <c r="E192" s="14" t="s">
        <v>43</v>
      </c>
      <c r="F192" s="14" t="s">
        <v>37</v>
      </c>
      <c r="G192" s="16">
        <v>0</v>
      </c>
      <c r="H192" s="17">
        <v>129190</v>
      </c>
      <c r="I192" s="16">
        <v>129190</v>
      </c>
      <c r="J192" s="17">
        <v>129190</v>
      </c>
      <c r="K192" s="17">
        <v>0</v>
      </c>
      <c r="L192" s="16">
        <v>129190</v>
      </c>
      <c r="M192" s="18">
        <v>0</v>
      </c>
    </row>
    <row r="193" spans="1:13">
      <c r="A193" s="10" t="s">
        <v>69</v>
      </c>
      <c r="B193" s="10" t="s">
        <v>17</v>
      </c>
      <c r="C193" s="10">
        <v>10</v>
      </c>
      <c r="D193" s="11">
        <v>51</v>
      </c>
      <c r="E193" s="10" t="s">
        <v>56</v>
      </c>
      <c r="F193" s="10" t="s">
        <v>37</v>
      </c>
      <c r="G193" s="4">
        <v>0</v>
      </c>
      <c r="H193" s="12">
        <v>75446115</v>
      </c>
      <c r="I193" s="4">
        <v>75446115</v>
      </c>
      <c r="J193" s="12">
        <v>75446115</v>
      </c>
      <c r="K193" s="12">
        <v>0</v>
      </c>
      <c r="L193" s="4">
        <v>75446115</v>
      </c>
      <c r="M193" s="13">
        <v>0</v>
      </c>
    </row>
    <row r="194" spans="1:13">
      <c r="A194" s="14" t="s">
        <v>69</v>
      </c>
      <c r="B194" s="14" t="s">
        <v>17</v>
      </c>
      <c r="C194" s="14">
        <v>10</v>
      </c>
      <c r="D194" s="15">
        <v>53</v>
      </c>
      <c r="E194" s="14" t="s">
        <v>70</v>
      </c>
      <c r="F194" s="14" t="s">
        <v>45</v>
      </c>
      <c r="G194" s="16">
        <v>4128000</v>
      </c>
      <c r="H194" s="17">
        <v>0</v>
      </c>
      <c r="I194" s="16">
        <v>4128000</v>
      </c>
      <c r="J194" s="17">
        <v>0</v>
      </c>
      <c r="K194" s="17">
        <v>4128000</v>
      </c>
      <c r="L194" s="16">
        <v>4128000</v>
      </c>
      <c r="M194" s="18">
        <v>0</v>
      </c>
    </row>
    <row r="195" spans="1:13">
      <c r="A195" s="10" t="s">
        <v>69</v>
      </c>
      <c r="B195" s="10" t="s">
        <v>17</v>
      </c>
      <c r="C195" s="10">
        <v>10</v>
      </c>
      <c r="D195" s="11">
        <v>57</v>
      </c>
      <c r="E195" s="10" t="s">
        <v>21</v>
      </c>
      <c r="F195" s="10" t="s">
        <v>22</v>
      </c>
      <c r="G195" s="4">
        <v>34951422</v>
      </c>
      <c r="H195" s="12">
        <v>0</v>
      </c>
      <c r="I195" s="4">
        <v>34951422</v>
      </c>
      <c r="J195" s="12">
        <v>35165434</v>
      </c>
      <c r="K195" s="12">
        <v>0</v>
      </c>
      <c r="L195" s="4">
        <v>35165434</v>
      </c>
      <c r="M195" s="13">
        <v>-214012</v>
      </c>
    </row>
    <row r="196" spans="1:13">
      <c r="A196" s="14" t="s">
        <v>69</v>
      </c>
      <c r="B196" s="14" t="s">
        <v>17</v>
      </c>
      <c r="C196" s="14">
        <v>10</v>
      </c>
      <c r="D196" s="15">
        <v>58</v>
      </c>
      <c r="E196" s="14" t="s">
        <v>23</v>
      </c>
      <c r="F196" s="14" t="s">
        <v>24</v>
      </c>
      <c r="G196" s="16">
        <v>125700079</v>
      </c>
      <c r="H196" s="17">
        <v>0</v>
      </c>
      <c r="I196" s="16">
        <v>125700079</v>
      </c>
      <c r="J196" s="17">
        <v>134946271</v>
      </c>
      <c r="K196" s="17">
        <v>0</v>
      </c>
      <c r="L196" s="16">
        <v>134946271</v>
      </c>
      <c r="M196" s="18">
        <v>-9246192</v>
      </c>
    </row>
    <row r="197" spans="1:13">
      <c r="A197" s="10" t="s">
        <v>71</v>
      </c>
      <c r="B197" s="10" t="s">
        <v>17</v>
      </c>
      <c r="C197" s="10">
        <v>12</v>
      </c>
      <c r="D197" s="11">
        <v>4</v>
      </c>
      <c r="E197" s="10" t="s">
        <v>47</v>
      </c>
      <c r="F197" s="10" t="s">
        <v>27</v>
      </c>
      <c r="G197" s="4">
        <v>30419000</v>
      </c>
      <c r="H197" s="12">
        <v>-90000</v>
      </c>
      <c r="I197" s="4">
        <v>30329000</v>
      </c>
      <c r="J197" s="12">
        <v>0</v>
      </c>
      <c r="K197" s="12">
        <v>0</v>
      </c>
      <c r="L197" s="4">
        <v>0</v>
      </c>
      <c r="M197" s="13">
        <v>30329000</v>
      </c>
    </row>
    <row r="198" spans="1:13">
      <c r="A198" s="14" t="s">
        <v>71</v>
      </c>
      <c r="B198" s="14" t="s">
        <v>17</v>
      </c>
      <c r="C198" s="14">
        <v>12</v>
      </c>
      <c r="D198" s="15">
        <v>7</v>
      </c>
      <c r="E198" s="14" t="s">
        <v>28</v>
      </c>
      <c r="F198" s="14" t="s">
        <v>27</v>
      </c>
      <c r="G198" s="16">
        <v>37000000</v>
      </c>
      <c r="H198" s="17">
        <v>-37000000</v>
      </c>
      <c r="I198" s="16">
        <v>0</v>
      </c>
      <c r="J198" s="17">
        <v>0</v>
      </c>
      <c r="K198" s="17">
        <v>0</v>
      </c>
      <c r="L198" s="16">
        <v>0</v>
      </c>
      <c r="M198" s="18">
        <v>0</v>
      </c>
    </row>
    <row r="199" spans="1:13">
      <c r="A199" s="10" t="s">
        <v>71</v>
      </c>
      <c r="B199" s="10" t="s">
        <v>17</v>
      </c>
      <c r="C199" s="10">
        <v>12</v>
      </c>
      <c r="D199" s="11">
        <v>21</v>
      </c>
      <c r="E199" s="10" t="s">
        <v>31</v>
      </c>
      <c r="F199" s="10" t="s">
        <v>30</v>
      </c>
      <c r="G199" s="4">
        <v>89512500</v>
      </c>
      <c r="H199" s="12">
        <v>0</v>
      </c>
      <c r="I199" s="4">
        <v>89512500</v>
      </c>
      <c r="J199" s="12">
        <v>0</v>
      </c>
      <c r="K199" s="12">
        <v>0</v>
      </c>
      <c r="L199" s="4">
        <v>0</v>
      </c>
      <c r="M199" s="13">
        <v>89512500</v>
      </c>
    </row>
    <row r="200" spans="1:13">
      <c r="A200" s="14" t="s">
        <v>71</v>
      </c>
      <c r="B200" s="14" t="s">
        <v>17</v>
      </c>
      <c r="C200" s="14">
        <v>12</v>
      </c>
      <c r="D200" s="15">
        <v>28</v>
      </c>
      <c r="E200" s="14" t="s">
        <v>18</v>
      </c>
      <c r="F200" s="14" t="s">
        <v>19</v>
      </c>
      <c r="G200" s="16">
        <v>629376432</v>
      </c>
      <c r="H200" s="17">
        <v>0</v>
      </c>
      <c r="I200" s="16">
        <v>629376432</v>
      </c>
      <c r="J200" s="17">
        <v>0</v>
      </c>
      <c r="K200" s="17">
        <v>629376432</v>
      </c>
      <c r="L200" s="16">
        <v>629376432</v>
      </c>
      <c r="M200" s="18">
        <v>0</v>
      </c>
    </row>
    <row r="201" spans="1:13">
      <c r="A201" s="10" t="s">
        <v>71</v>
      </c>
      <c r="B201" s="10" t="s">
        <v>17</v>
      </c>
      <c r="C201" s="10">
        <v>12</v>
      </c>
      <c r="D201" s="11">
        <v>30</v>
      </c>
      <c r="E201" s="10" t="s">
        <v>51</v>
      </c>
      <c r="F201" s="10" t="s">
        <v>19</v>
      </c>
      <c r="G201" s="4">
        <v>353527118</v>
      </c>
      <c r="H201" s="12">
        <v>0</v>
      </c>
      <c r="I201" s="4">
        <v>353527118</v>
      </c>
      <c r="J201" s="12">
        <v>0</v>
      </c>
      <c r="K201" s="12">
        <v>353527118</v>
      </c>
      <c r="L201" s="4">
        <v>353527118</v>
      </c>
      <c r="M201" s="13">
        <v>0</v>
      </c>
    </row>
    <row r="202" spans="1:13">
      <c r="A202" s="14" t="s">
        <v>71</v>
      </c>
      <c r="B202" s="14" t="s">
        <v>17</v>
      </c>
      <c r="C202" s="14">
        <v>12</v>
      </c>
      <c r="D202" s="15">
        <v>32</v>
      </c>
      <c r="E202" s="14" t="s">
        <v>53</v>
      </c>
      <c r="F202" s="14" t="s">
        <v>19</v>
      </c>
      <c r="G202" s="16">
        <v>1151352873</v>
      </c>
      <c r="H202" s="17">
        <v>0</v>
      </c>
      <c r="I202" s="16">
        <v>1151352873</v>
      </c>
      <c r="J202" s="17">
        <v>0</v>
      </c>
      <c r="K202" s="17">
        <v>1151352873</v>
      </c>
      <c r="L202" s="16">
        <v>1151352873</v>
      </c>
      <c r="M202" s="18">
        <v>0</v>
      </c>
    </row>
    <row r="203" spans="1:13">
      <c r="A203" s="10" t="s">
        <v>71</v>
      </c>
      <c r="B203" s="10" t="s">
        <v>17</v>
      </c>
      <c r="C203" s="10">
        <v>12</v>
      </c>
      <c r="D203" s="11">
        <v>34</v>
      </c>
      <c r="E203" s="10" t="s">
        <v>20</v>
      </c>
      <c r="F203" s="10" t="s">
        <v>19</v>
      </c>
      <c r="G203" s="4">
        <v>8627287</v>
      </c>
      <c r="H203" s="12">
        <v>0</v>
      </c>
      <c r="I203" s="4">
        <v>8627287</v>
      </c>
      <c r="J203" s="12">
        <v>0</v>
      </c>
      <c r="K203" s="12">
        <v>8627287</v>
      </c>
      <c r="L203" s="4">
        <v>8627287</v>
      </c>
      <c r="M203" s="13">
        <v>0</v>
      </c>
    </row>
    <row r="204" spans="1:13">
      <c r="A204" s="14" t="s">
        <v>71</v>
      </c>
      <c r="B204" s="14" t="s">
        <v>17</v>
      </c>
      <c r="C204" s="14">
        <v>12</v>
      </c>
      <c r="D204" s="15">
        <v>39</v>
      </c>
      <c r="E204" s="14" t="s">
        <v>54</v>
      </c>
      <c r="F204" s="14" t="s">
        <v>19</v>
      </c>
      <c r="G204" s="16">
        <v>15778616</v>
      </c>
      <c r="H204" s="17">
        <v>0</v>
      </c>
      <c r="I204" s="16">
        <v>15778616</v>
      </c>
      <c r="J204" s="17">
        <v>0</v>
      </c>
      <c r="K204" s="17">
        <v>15778616</v>
      </c>
      <c r="L204" s="16">
        <v>15778616</v>
      </c>
      <c r="M204" s="18">
        <v>0</v>
      </c>
    </row>
    <row r="205" spans="1:13">
      <c r="A205" s="10" t="s">
        <v>71</v>
      </c>
      <c r="B205" s="10" t="s">
        <v>17</v>
      </c>
      <c r="C205" s="10">
        <v>12</v>
      </c>
      <c r="D205" s="11">
        <v>43</v>
      </c>
      <c r="E205" s="10" t="s">
        <v>36</v>
      </c>
      <c r="F205" s="10" t="s">
        <v>37</v>
      </c>
      <c r="G205" s="4">
        <v>0</v>
      </c>
      <c r="H205" s="12">
        <v>0</v>
      </c>
      <c r="I205" s="4">
        <v>0</v>
      </c>
      <c r="J205" s="12">
        <v>1276548396</v>
      </c>
      <c r="K205" s="12">
        <v>-992550405.80863726</v>
      </c>
      <c r="L205" s="4">
        <v>283997990.19136274</v>
      </c>
      <c r="M205" s="13">
        <v>0</v>
      </c>
    </row>
    <row r="206" spans="1:13">
      <c r="A206" s="14" t="s">
        <v>71</v>
      </c>
      <c r="B206" s="14" t="s">
        <v>17</v>
      </c>
      <c r="C206" s="14">
        <v>12</v>
      </c>
      <c r="D206" s="15">
        <v>44</v>
      </c>
      <c r="E206" s="14" t="s">
        <v>38</v>
      </c>
      <c r="F206" s="14" t="s">
        <v>37</v>
      </c>
      <c r="G206" s="16">
        <v>0</v>
      </c>
      <c r="H206" s="17">
        <v>0</v>
      </c>
      <c r="I206" s="16">
        <v>0</v>
      </c>
      <c r="J206" s="17">
        <v>986611099</v>
      </c>
      <c r="K206" s="17">
        <v>-767116428.76699495</v>
      </c>
      <c r="L206" s="16">
        <v>219494670.23300505</v>
      </c>
      <c r="M206" s="18">
        <v>0</v>
      </c>
    </row>
    <row r="207" spans="1:13">
      <c r="A207" s="10" t="s">
        <v>71</v>
      </c>
      <c r="B207" s="10" t="s">
        <v>17</v>
      </c>
      <c r="C207" s="10">
        <v>12</v>
      </c>
      <c r="D207" s="11">
        <v>45</v>
      </c>
      <c r="E207" s="10" t="s">
        <v>39</v>
      </c>
      <c r="F207" s="10" t="s">
        <v>37</v>
      </c>
      <c r="G207" s="4">
        <v>0</v>
      </c>
      <c r="H207" s="12">
        <v>0</v>
      </c>
      <c r="I207" s="4">
        <v>0</v>
      </c>
      <c r="J207" s="12">
        <v>1232346978</v>
      </c>
      <c r="K207" s="12">
        <v>-958182625.07216978</v>
      </c>
      <c r="L207" s="4">
        <v>274164352.92783022</v>
      </c>
      <c r="M207" s="13">
        <v>0</v>
      </c>
    </row>
    <row r="208" spans="1:13">
      <c r="A208" s="14" t="s">
        <v>71</v>
      </c>
      <c r="B208" s="14" t="s">
        <v>17</v>
      </c>
      <c r="C208" s="14">
        <v>12</v>
      </c>
      <c r="D208" s="15">
        <v>46</v>
      </c>
      <c r="E208" s="14" t="s">
        <v>40</v>
      </c>
      <c r="F208" s="14" t="s">
        <v>37</v>
      </c>
      <c r="G208" s="16">
        <v>1178855875</v>
      </c>
      <c r="H208" s="17">
        <v>0</v>
      </c>
      <c r="I208" s="16">
        <v>1178855875</v>
      </c>
      <c r="J208" s="17">
        <v>1142103076</v>
      </c>
      <c r="K208" s="17">
        <v>-888015585.70842683</v>
      </c>
      <c r="L208" s="16">
        <v>254087490.29157317</v>
      </c>
      <c r="M208" s="18">
        <v>8.9406967163085938E-8</v>
      </c>
    </row>
    <row r="209" spans="1:13">
      <c r="A209" s="10" t="s">
        <v>71</v>
      </c>
      <c r="B209" s="10" t="s">
        <v>17</v>
      </c>
      <c r="C209" s="10">
        <v>12</v>
      </c>
      <c r="D209" s="11">
        <v>47</v>
      </c>
      <c r="E209" s="10" t="s">
        <v>41</v>
      </c>
      <c r="F209" s="10" t="s">
        <v>37</v>
      </c>
      <c r="G209" s="4">
        <v>0</v>
      </c>
      <c r="H209" s="12">
        <v>0</v>
      </c>
      <c r="I209" s="4">
        <v>0</v>
      </c>
      <c r="J209" s="12">
        <v>616650561</v>
      </c>
      <c r="K209" s="12">
        <v>-479462248.73300755</v>
      </c>
      <c r="L209" s="4">
        <v>137188312.26699245</v>
      </c>
      <c r="M209" s="13">
        <v>0</v>
      </c>
    </row>
    <row r="210" spans="1:13">
      <c r="A210" s="14" t="s">
        <v>71</v>
      </c>
      <c r="B210" s="14" t="s">
        <v>17</v>
      </c>
      <c r="C210" s="14">
        <v>12</v>
      </c>
      <c r="D210" s="15">
        <v>48</v>
      </c>
      <c r="E210" s="14" t="s">
        <v>42</v>
      </c>
      <c r="F210" s="14" t="s">
        <v>37</v>
      </c>
      <c r="G210" s="16">
        <v>0</v>
      </c>
      <c r="H210" s="17">
        <v>0</v>
      </c>
      <c r="I210" s="16">
        <v>0</v>
      </c>
      <c r="J210" s="17">
        <v>24895884</v>
      </c>
      <c r="K210" s="17">
        <v>-19357213.439454086</v>
      </c>
      <c r="L210" s="16">
        <v>5538670.5605459139</v>
      </c>
      <c r="M210" s="18">
        <v>0</v>
      </c>
    </row>
    <row r="211" spans="1:13">
      <c r="A211" s="10" t="s">
        <v>71</v>
      </c>
      <c r="B211" s="10" t="s">
        <v>17</v>
      </c>
      <c r="C211" s="10">
        <v>12</v>
      </c>
      <c r="D211" s="11">
        <v>50</v>
      </c>
      <c r="E211" s="10" t="s">
        <v>43</v>
      </c>
      <c r="F211" s="10" t="s">
        <v>37</v>
      </c>
      <c r="G211" s="4">
        <v>0</v>
      </c>
      <c r="H211" s="12">
        <v>0</v>
      </c>
      <c r="I211" s="4">
        <v>0</v>
      </c>
      <c r="J211" s="12">
        <v>19707478</v>
      </c>
      <c r="K211" s="12">
        <v>-15323089.471309625</v>
      </c>
      <c r="L211" s="4">
        <v>4384388.5286903754</v>
      </c>
      <c r="M211" s="13">
        <v>0</v>
      </c>
    </row>
    <row r="212" spans="1:13">
      <c r="A212" s="14" t="s">
        <v>71</v>
      </c>
      <c r="B212" s="14" t="s">
        <v>17</v>
      </c>
      <c r="C212" s="14">
        <v>12</v>
      </c>
      <c r="D212" s="15">
        <v>53</v>
      </c>
      <c r="E212" s="14" t="s">
        <v>70</v>
      </c>
      <c r="F212" s="14" t="s">
        <v>45</v>
      </c>
      <c r="G212" s="16">
        <v>73312500</v>
      </c>
      <c r="H212" s="17">
        <v>0</v>
      </c>
      <c r="I212" s="16">
        <v>73312500</v>
      </c>
      <c r="J212" s="17">
        <v>0</v>
      </c>
      <c r="K212" s="17">
        <v>0</v>
      </c>
      <c r="L212" s="16">
        <v>0</v>
      </c>
      <c r="M212" s="18">
        <v>73312500</v>
      </c>
    </row>
    <row r="213" spans="1:13">
      <c r="A213" s="10" t="s">
        <v>71</v>
      </c>
      <c r="B213" s="10" t="s">
        <v>17</v>
      </c>
      <c r="C213" s="10">
        <v>12</v>
      </c>
      <c r="D213" s="11">
        <v>54</v>
      </c>
      <c r="E213" s="10" t="s">
        <v>62</v>
      </c>
      <c r="F213" s="10" t="s">
        <v>45</v>
      </c>
      <c r="G213" s="4">
        <v>5740400</v>
      </c>
      <c r="H213" s="12">
        <v>-5740400</v>
      </c>
      <c r="I213" s="4">
        <v>0</v>
      </c>
      <c r="J213" s="12">
        <v>0</v>
      </c>
      <c r="K213" s="12">
        <v>0</v>
      </c>
      <c r="L213" s="4">
        <v>0</v>
      </c>
      <c r="M213" s="13">
        <v>0</v>
      </c>
    </row>
    <row r="214" spans="1:13">
      <c r="A214" s="14" t="s">
        <v>71</v>
      </c>
      <c r="B214" s="14" t="s">
        <v>17</v>
      </c>
      <c r="C214" s="14">
        <v>12</v>
      </c>
      <c r="D214" s="15">
        <v>56</v>
      </c>
      <c r="E214" s="14" t="s">
        <v>57</v>
      </c>
      <c r="F214" s="14" t="s">
        <v>58</v>
      </c>
      <c r="G214" s="16">
        <v>100000</v>
      </c>
      <c r="H214" s="17">
        <v>0</v>
      </c>
      <c r="I214" s="16">
        <v>100000</v>
      </c>
      <c r="J214" s="17">
        <v>0</v>
      </c>
      <c r="K214" s="17">
        <v>0</v>
      </c>
      <c r="L214" s="16">
        <v>0</v>
      </c>
      <c r="M214" s="18">
        <v>100000</v>
      </c>
    </row>
    <row r="215" spans="1:13">
      <c r="A215" s="10" t="s">
        <v>71</v>
      </c>
      <c r="B215" s="10" t="s">
        <v>17</v>
      </c>
      <c r="C215" s="10">
        <v>12</v>
      </c>
      <c r="D215" s="11">
        <v>57</v>
      </c>
      <c r="E215" s="10" t="s">
        <v>21</v>
      </c>
      <c r="F215" s="10" t="s">
        <v>22</v>
      </c>
      <c r="G215" s="4">
        <v>9636429</v>
      </c>
      <c r="H215" s="12">
        <v>0</v>
      </c>
      <c r="I215" s="4">
        <v>9636429</v>
      </c>
      <c r="J215" s="12">
        <v>9636429</v>
      </c>
      <c r="K215" s="12">
        <v>0</v>
      </c>
      <c r="L215" s="4">
        <v>9636429</v>
      </c>
      <c r="M215" s="13">
        <v>0</v>
      </c>
    </row>
    <row r="216" spans="1:13">
      <c r="A216" s="14" t="s">
        <v>71</v>
      </c>
      <c r="B216" s="14" t="s">
        <v>17</v>
      </c>
      <c r="C216" s="14">
        <v>12</v>
      </c>
      <c r="D216" s="15">
        <v>58</v>
      </c>
      <c r="E216" s="14" t="s">
        <v>23</v>
      </c>
      <c r="F216" s="14" t="s">
        <v>24</v>
      </c>
      <c r="G216" s="16">
        <v>86959148</v>
      </c>
      <c r="H216" s="17">
        <v>0</v>
      </c>
      <c r="I216" s="16">
        <v>86959148</v>
      </c>
      <c r="J216" s="17">
        <v>86959148</v>
      </c>
      <c r="K216" s="17">
        <v>0</v>
      </c>
      <c r="L216" s="16">
        <v>86959148</v>
      </c>
      <c r="M216" s="18">
        <v>0</v>
      </c>
    </row>
    <row r="217" spans="1:13">
      <c r="A217" s="10" t="s">
        <v>72</v>
      </c>
      <c r="B217" s="10" t="s">
        <v>17</v>
      </c>
      <c r="C217" s="10">
        <v>13</v>
      </c>
      <c r="D217" s="11">
        <v>7</v>
      </c>
      <c r="E217" s="10" t="s">
        <v>28</v>
      </c>
      <c r="F217" s="10" t="s">
        <v>27</v>
      </c>
      <c r="G217" s="4">
        <v>107312500</v>
      </c>
      <c r="H217" s="12">
        <v>0</v>
      </c>
      <c r="I217" s="4">
        <v>107312500</v>
      </c>
      <c r="J217" s="12">
        <v>107312500</v>
      </c>
      <c r="K217" s="12">
        <v>0</v>
      </c>
      <c r="L217" s="4">
        <v>107312500</v>
      </c>
      <c r="M217" s="13">
        <v>0</v>
      </c>
    </row>
    <row r="218" spans="1:13">
      <c r="A218" s="14" t="s">
        <v>72</v>
      </c>
      <c r="B218" s="14" t="s">
        <v>17</v>
      </c>
      <c r="C218" s="14">
        <v>13</v>
      </c>
      <c r="D218" s="15">
        <v>28</v>
      </c>
      <c r="E218" s="14" t="s">
        <v>18</v>
      </c>
      <c r="F218" s="14" t="s">
        <v>19</v>
      </c>
      <c r="G218" s="16">
        <v>11072879</v>
      </c>
      <c r="H218" s="17">
        <v>0</v>
      </c>
      <c r="I218" s="16">
        <v>11072879</v>
      </c>
      <c r="J218" s="17">
        <v>0</v>
      </c>
      <c r="K218" s="17">
        <v>0</v>
      </c>
      <c r="L218" s="16">
        <v>0</v>
      </c>
      <c r="M218" s="18">
        <v>11072879</v>
      </c>
    </row>
    <row r="219" spans="1:13">
      <c r="A219" s="10" t="s">
        <v>72</v>
      </c>
      <c r="B219" s="10" t="s">
        <v>17</v>
      </c>
      <c r="C219" s="10">
        <v>13</v>
      </c>
      <c r="D219" s="11">
        <v>30</v>
      </c>
      <c r="E219" s="10" t="s">
        <v>51</v>
      </c>
      <c r="F219" s="10" t="s">
        <v>19</v>
      </c>
      <c r="G219" s="4">
        <v>2117573</v>
      </c>
      <c r="H219" s="12">
        <v>0</v>
      </c>
      <c r="I219" s="4">
        <v>2117573</v>
      </c>
      <c r="J219" s="12">
        <v>0</v>
      </c>
      <c r="K219" s="12">
        <v>0</v>
      </c>
      <c r="L219" s="4">
        <v>0</v>
      </c>
      <c r="M219" s="13">
        <v>2117573</v>
      </c>
    </row>
    <row r="220" spans="1:13">
      <c r="A220" s="14" t="s">
        <v>72</v>
      </c>
      <c r="B220" s="14" t="s">
        <v>17</v>
      </c>
      <c r="C220" s="14">
        <v>13</v>
      </c>
      <c r="D220" s="15">
        <v>32</v>
      </c>
      <c r="E220" s="14" t="s">
        <v>53</v>
      </c>
      <c r="F220" s="14" t="s">
        <v>19</v>
      </c>
      <c r="G220" s="16">
        <v>4766631</v>
      </c>
      <c r="H220" s="17">
        <v>0</v>
      </c>
      <c r="I220" s="16">
        <v>4766631</v>
      </c>
      <c r="J220" s="17">
        <v>0</v>
      </c>
      <c r="K220" s="17">
        <v>0</v>
      </c>
      <c r="L220" s="16">
        <v>0</v>
      </c>
      <c r="M220" s="18">
        <v>4766631</v>
      </c>
    </row>
    <row r="221" spans="1:13">
      <c r="A221" s="10" t="s">
        <v>72</v>
      </c>
      <c r="B221" s="10" t="s">
        <v>17</v>
      </c>
      <c r="C221" s="10">
        <v>13</v>
      </c>
      <c r="D221" s="11">
        <v>34</v>
      </c>
      <c r="E221" s="10" t="s">
        <v>20</v>
      </c>
      <c r="F221" s="10" t="s">
        <v>19</v>
      </c>
      <c r="G221" s="4">
        <v>4927843</v>
      </c>
      <c r="H221" s="12">
        <v>0</v>
      </c>
      <c r="I221" s="4">
        <v>4927843</v>
      </c>
      <c r="J221" s="12">
        <v>0</v>
      </c>
      <c r="K221" s="12">
        <v>0</v>
      </c>
      <c r="L221" s="4">
        <v>0</v>
      </c>
      <c r="M221" s="13">
        <v>4927843</v>
      </c>
    </row>
    <row r="222" spans="1:13">
      <c r="A222" s="14" t="s">
        <v>72</v>
      </c>
      <c r="B222" s="14" t="s">
        <v>17</v>
      </c>
      <c r="C222" s="14">
        <v>13</v>
      </c>
      <c r="D222" s="15">
        <v>39</v>
      </c>
      <c r="E222" s="14" t="s">
        <v>54</v>
      </c>
      <c r="F222" s="14" t="s">
        <v>19</v>
      </c>
      <c r="G222" s="16">
        <v>5876399</v>
      </c>
      <c r="H222" s="17">
        <v>0</v>
      </c>
      <c r="I222" s="16">
        <v>5876399</v>
      </c>
      <c r="J222" s="17">
        <v>0</v>
      </c>
      <c r="K222" s="17">
        <v>0</v>
      </c>
      <c r="L222" s="16">
        <v>0</v>
      </c>
      <c r="M222" s="18">
        <v>5876399</v>
      </c>
    </row>
    <row r="223" spans="1:13">
      <c r="A223" s="10" t="s">
        <v>72</v>
      </c>
      <c r="B223" s="10" t="s">
        <v>17</v>
      </c>
      <c r="C223" s="10">
        <v>13</v>
      </c>
      <c r="D223" s="11">
        <v>43</v>
      </c>
      <c r="E223" s="10" t="s">
        <v>36</v>
      </c>
      <c r="F223" s="10" t="s">
        <v>37</v>
      </c>
      <c r="G223" s="4">
        <v>0</v>
      </c>
      <c r="H223" s="12">
        <v>0</v>
      </c>
      <c r="I223" s="4">
        <v>0</v>
      </c>
      <c r="J223" s="12">
        <v>148331417</v>
      </c>
      <c r="K223" s="12">
        <v>0</v>
      </c>
      <c r="L223" s="4">
        <v>148331417</v>
      </c>
      <c r="M223" s="13">
        <v>0</v>
      </c>
    </row>
    <row r="224" spans="1:13">
      <c r="A224" s="14" t="s">
        <v>72</v>
      </c>
      <c r="B224" s="14" t="s">
        <v>17</v>
      </c>
      <c r="C224" s="14">
        <v>13</v>
      </c>
      <c r="D224" s="15">
        <v>44</v>
      </c>
      <c r="E224" s="14" t="s">
        <v>38</v>
      </c>
      <c r="F224" s="14" t="s">
        <v>37</v>
      </c>
      <c r="G224" s="16">
        <v>0</v>
      </c>
      <c r="H224" s="17">
        <v>0</v>
      </c>
      <c r="I224" s="16">
        <v>0</v>
      </c>
      <c r="J224" s="17">
        <v>579657</v>
      </c>
      <c r="K224" s="17">
        <v>0</v>
      </c>
      <c r="L224" s="16">
        <v>579657</v>
      </c>
      <c r="M224" s="18">
        <v>0</v>
      </c>
    </row>
    <row r="225" spans="1:13">
      <c r="A225" s="10" t="s">
        <v>72</v>
      </c>
      <c r="B225" s="10" t="s">
        <v>17</v>
      </c>
      <c r="C225" s="10">
        <v>13</v>
      </c>
      <c r="D225" s="11">
        <v>45</v>
      </c>
      <c r="E225" s="10" t="s">
        <v>39</v>
      </c>
      <c r="F225" s="10" t="s">
        <v>37</v>
      </c>
      <c r="G225" s="4">
        <v>0</v>
      </c>
      <c r="H225" s="12">
        <v>0</v>
      </c>
      <c r="I225" s="4">
        <v>0</v>
      </c>
      <c r="J225" s="12">
        <v>724573</v>
      </c>
      <c r="K225" s="12">
        <v>0</v>
      </c>
      <c r="L225" s="4">
        <v>724573</v>
      </c>
      <c r="M225" s="13">
        <v>0</v>
      </c>
    </row>
    <row r="226" spans="1:13">
      <c r="A226" s="14" t="s">
        <v>72</v>
      </c>
      <c r="B226" s="14" t="s">
        <v>17</v>
      </c>
      <c r="C226" s="14">
        <v>13</v>
      </c>
      <c r="D226" s="15">
        <v>46</v>
      </c>
      <c r="E226" s="14" t="s">
        <v>40</v>
      </c>
      <c r="F226" s="14" t="s">
        <v>37</v>
      </c>
      <c r="G226" s="16">
        <v>0</v>
      </c>
      <c r="H226" s="17">
        <v>0</v>
      </c>
      <c r="I226" s="16">
        <v>0</v>
      </c>
      <c r="J226" s="17">
        <v>5303506</v>
      </c>
      <c r="K226" s="17">
        <v>0</v>
      </c>
      <c r="L226" s="16">
        <v>5303506</v>
      </c>
      <c r="M226" s="18">
        <v>-157483671</v>
      </c>
    </row>
    <row r="227" spans="1:13">
      <c r="A227" s="10" t="s">
        <v>72</v>
      </c>
      <c r="B227" s="10" t="s">
        <v>17</v>
      </c>
      <c r="C227" s="10">
        <v>13</v>
      </c>
      <c r="D227" s="11">
        <v>47</v>
      </c>
      <c r="E227" s="10" t="s">
        <v>41</v>
      </c>
      <c r="F227" s="10" t="s">
        <v>37</v>
      </c>
      <c r="G227" s="4">
        <v>0</v>
      </c>
      <c r="H227" s="12">
        <v>0</v>
      </c>
      <c r="I227" s="4">
        <v>0</v>
      </c>
      <c r="J227" s="12">
        <v>362286</v>
      </c>
      <c r="K227" s="12">
        <v>0</v>
      </c>
      <c r="L227" s="4">
        <v>362286</v>
      </c>
      <c r="M227" s="13">
        <v>0</v>
      </c>
    </row>
    <row r="228" spans="1:13">
      <c r="A228" s="14" t="s">
        <v>72</v>
      </c>
      <c r="B228" s="14" t="s">
        <v>17</v>
      </c>
      <c r="C228" s="14">
        <v>13</v>
      </c>
      <c r="D228" s="15">
        <v>48</v>
      </c>
      <c r="E228" s="14" t="s">
        <v>42</v>
      </c>
      <c r="F228" s="14" t="s">
        <v>37</v>
      </c>
      <c r="G228" s="16">
        <v>0</v>
      </c>
      <c r="H228" s="17">
        <v>0</v>
      </c>
      <c r="I228" s="16">
        <v>0</v>
      </c>
      <c r="J228" s="17">
        <v>733088</v>
      </c>
      <c r="K228" s="17">
        <v>0</v>
      </c>
      <c r="L228" s="16">
        <v>733088</v>
      </c>
      <c r="M228" s="18">
        <v>0</v>
      </c>
    </row>
    <row r="229" spans="1:13">
      <c r="A229" s="10" t="s">
        <v>72</v>
      </c>
      <c r="B229" s="10" t="s">
        <v>17</v>
      </c>
      <c r="C229" s="10">
        <v>13</v>
      </c>
      <c r="D229" s="11">
        <v>50</v>
      </c>
      <c r="E229" s="10" t="s">
        <v>43</v>
      </c>
      <c r="F229" s="10" t="s">
        <v>37</v>
      </c>
      <c r="G229" s="4">
        <v>0</v>
      </c>
      <c r="H229" s="12">
        <v>0</v>
      </c>
      <c r="I229" s="4">
        <v>0</v>
      </c>
      <c r="J229" s="12">
        <v>1449144</v>
      </c>
      <c r="K229" s="12">
        <v>0</v>
      </c>
      <c r="L229" s="4">
        <v>1449144</v>
      </c>
      <c r="M229" s="13">
        <v>0</v>
      </c>
    </row>
    <row r="230" spans="1:13">
      <c r="A230" s="14" t="s">
        <v>73</v>
      </c>
      <c r="B230" s="14" t="s">
        <v>17</v>
      </c>
      <c r="C230" s="14">
        <v>14</v>
      </c>
      <c r="D230" s="15">
        <v>3</v>
      </c>
      <c r="E230" s="14" t="s">
        <v>26</v>
      </c>
      <c r="F230" s="14" t="s">
        <v>27</v>
      </c>
      <c r="G230" s="16">
        <v>610959741</v>
      </c>
      <c r="H230" s="17">
        <v>0</v>
      </c>
      <c r="I230" s="16">
        <v>610959741</v>
      </c>
      <c r="J230" s="17">
        <v>610959741</v>
      </c>
      <c r="K230" s="17">
        <v>0</v>
      </c>
      <c r="L230" s="16">
        <v>610959741</v>
      </c>
      <c r="M230" s="18">
        <v>0</v>
      </c>
    </row>
    <row r="231" spans="1:13">
      <c r="A231" s="10" t="s">
        <v>73</v>
      </c>
      <c r="B231" s="10" t="s">
        <v>17</v>
      </c>
      <c r="C231" s="10">
        <v>14</v>
      </c>
      <c r="D231" s="11">
        <v>4</v>
      </c>
      <c r="E231" s="10" t="s">
        <v>47</v>
      </c>
      <c r="F231" s="10" t="s">
        <v>27</v>
      </c>
      <c r="G231" s="4">
        <v>14750000</v>
      </c>
      <c r="H231" s="12">
        <v>0</v>
      </c>
      <c r="I231" s="4">
        <v>14750000</v>
      </c>
      <c r="J231" s="12">
        <v>0</v>
      </c>
      <c r="K231" s="12">
        <v>0</v>
      </c>
      <c r="L231" s="4">
        <v>0</v>
      </c>
      <c r="M231" s="13">
        <v>14750000</v>
      </c>
    </row>
    <row r="232" spans="1:13">
      <c r="A232" s="14" t="s">
        <v>73</v>
      </c>
      <c r="B232" s="14" t="s">
        <v>17</v>
      </c>
      <c r="C232" s="14">
        <v>14</v>
      </c>
      <c r="D232" s="15">
        <v>5</v>
      </c>
      <c r="E232" s="14" t="s">
        <v>48</v>
      </c>
      <c r="F232" s="14" t="s">
        <v>27</v>
      </c>
      <c r="G232" s="16">
        <v>0</v>
      </c>
      <c r="H232" s="17">
        <v>0</v>
      </c>
      <c r="I232" s="16">
        <v>0</v>
      </c>
      <c r="J232" s="17">
        <v>2500000</v>
      </c>
      <c r="K232" s="17">
        <v>0</v>
      </c>
      <c r="L232" s="16">
        <v>2500000</v>
      </c>
      <c r="M232" s="18">
        <v>-2500000</v>
      </c>
    </row>
    <row r="233" spans="1:13">
      <c r="A233" s="10" t="s">
        <v>73</v>
      </c>
      <c r="B233" s="10" t="s">
        <v>17</v>
      </c>
      <c r="C233" s="10">
        <v>14</v>
      </c>
      <c r="D233" s="11">
        <v>7</v>
      </c>
      <c r="E233" s="10" t="s">
        <v>28</v>
      </c>
      <c r="F233" s="10" t="s">
        <v>27</v>
      </c>
      <c r="G233" s="4">
        <v>18632000</v>
      </c>
      <c r="H233" s="12">
        <v>0</v>
      </c>
      <c r="I233" s="4">
        <v>18632000</v>
      </c>
      <c r="J233" s="12">
        <v>24299500</v>
      </c>
      <c r="K233" s="12">
        <v>0</v>
      </c>
      <c r="L233" s="4">
        <v>24299500</v>
      </c>
      <c r="M233" s="13">
        <v>-5667500</v>
      </c>
    </row>
    <row r="234" spans="1:13">
      <c r="A234" s="14" t="s">
        <v>73</v>
      </c>
      <c r="B234" s="14" t="s">
        <v>17</v>
      </c>
      <c r="C234" s="14">
        <v>14</v>
      </c>
      <c r="D234" s="15">
        <v>28</v>
      </c>
      <c r="E234" s="14" t="s">
        <v>18</v>
      </c>
      <c r="F234" s="14" t="s">
        <v>19</v>
      </c>
      <c r="G234" s="16">
        <v>161352182</v>
      </c>
      <c r="H234" s="17">
        <v>0</v>
      </c>
      <c r="I234" s="16">
        <v>161352182</v>
      </c>
      <c r="J234" s="17">
        <v>160789671</v>
      </c>
      <c r="K234" s="17">
        <v>0</v>
      </c>
      <c r="L234" s="16">
        <v>160789671</v>
      </c>
      <c r="M234" s="18">
        <v>562511</v>
      </c>
    </row>
    <row r="235" spans="1:13">
      <c r="A235" s="10" t="s">
        <v>73</v>
      </c>
      <c r="B235" s="10" t="s">
        <v>17</v>
      </c>
      <c r="C235" s="10">
        <v>14</v>
      </c>
      <c r="D235" s="11">
        <v>34</v>
      </c>
      <c r="E235" s="10" t="s">
        <v>20</v>
      </c>
      <c r="F235" s="10" t="s">
        <v>19</v>
      </c>
      <c r="G235" s="4">
        <v>267289</v>
      </c>
      <c r="H235" s="12">
        <v>0</v>
      </c>
      <c r="I235" s="4">
        <v>267289</v>
      </c>
      <c r="J235" s="12">
        <v>829800</v>
      </c>
      <c r="K235" s="12">
        <v>0</v>
      </c>
      <c r="L235" s="4">
        <v>829800</v>
      </c>
      <c r="M235" s="13">
        <v>-562511</v>
      </c>
    </row>
    <row r="236" spans="1:13">
      <c r="A236" s="14" t="s">
        <v>73</v>
      </c>
      <c r="B236" s="14" t="s">
        <v>17</v>
      </c>
      <c r="C236" s="14">
        <v>14</v>
      </c>
      <c r="D236" s="15">
        <v>39</v>
      </c>
      <c r="E236" s="14" t="s">
        <v>54</v>
      </c>
      <c r="F236" s="14" t="s">
        <v>19</v>
      </c>
      <c r="G236" s="16">
        <v>7999992</v>
      </c>
      <c r="H236" s="17">
        <v>0</v>
      </c>
      <c r="I236" s="16">
        <v>7999992</v>
      </c>
      <c r="J236" s="17">
        <v>7999992</v>
      </c>
      <c r="K236" s="17">
        <v>0</v>
      </c>
      <c r="L236" s="16">
        <v>7999992</v>
      </c>
      <c r="M236" s="18">
        <v>0</v>
      </c>
    </row>
    <row r="237" spans="1:13">
      <c r="A237" s="10" t="s">
        <v>73</v>
      </c>
      <c r="B237" s="10" t="s">
        <v>17</v>
      </c>
      <c r="C237" s="10">
        <v>14</v>
      </c>
      <c r="D237" s="11">
        <v>43</v>
      </c>
      <c r="E237" s="10" t="s">
        <v>36</v>
      </c>
      <c r="F237" s="10" t="s">
        <v>37</v>
      </c>
      <c r="G237" s="4">
        <v>0</v>
      </c>
      <c r="H237" s="12">
        <v>0</v>
      </c>
      <c r="I237" s="4">
        <v>0</v>
      </c>
      <c r="J237" s="12">
        <v>4514959</v>
      </c>
      <c r="K237" s="12">
        <v>0</v>
      </c>
      <c r="L237" s="4">
        <v>4514959</v>
      </c>
      <c r="M237" s="13">
        <v>0</v>
      </c>
    </row>
    <row r="238" spans="1:13">
      <c r="A238" s="14" t="s">
        <v>73</v>
      </c>
      <c r="B238" s="14" t="s">
        <v>17</v>
      </c>
      <c r="C238" s="14">
        <v>14</v>
      </c>
      <c r="D238" s="15">
        <v>44</v>
      </c>
      <c r="E238" s="14" t="s">
        <v>38</v>
      </c>
      <c r="F238" s="14" t="s">
        <v>37</v>
      </c>
      <c r="G238" s="16">
        <v>0</v>
      </c>
      <c r="H238" s="17">
        <v>0</v>
      </c>
      <c r="I238" s="16">
        <v>0</v>
      </c>
      <c r="J238" s="17">
        <v>188166</v>
      </c>
      <c r="K238" s="17">
        <v>0</v>
      </c>
      <c r="L238" s="16">
        <v>188166</v>
      </c>
      <c r="M238" s="18">
        <v>0</v>
      </c>
    </row>
    <row r="239" spans="1:13">
      <c r="A239" s="10" t="s">
        <v>73</v>
      </c>
      <c r="B239" s="10" t="s">
        <v>17</v>
      </c>
      <c r="C239" s="10">
        <v>14</v>
      </c>
      <c r="D239" s="11">
        <v>45</v>
      </c>
      <c r="E239" s="10" t="s">
        <v>39</v>
      </c>
      <c r="F239" s="10" t="s">
        <v>37</v>
      </c>
      <c r="G239" s="4">
        <v>0</v>
      </c>
      <c r="H239" s="12">
        <v>0</v>
      </c>
      <c r="I239" s="4">
        <v>0</v>
      </c>
      <c r="J239" s="12">
        <v>235208</v>
      </c>
      <c r="K239" s="12">
        <v>0</v>
      </c>
      <c r="L239" s="4">
        <v>235208</v>
      </c>
      <c r="M239" s="13">
        <v>0</v>
      </c>
    </row>
    <row r="240" spans="1:13">
      <c r="A240" s="14" t="s">
        <v>73</v>
      </c>
      <c r="B240" s="14" t="s">
        <v>17</v>
      </c>
      <c r="C240" s="14">
        <v>14</v>
      </c>
      <c r="D240" s="15">
        <v>46</v>
      </c>
      <c r="E240" s="14" t="s">
        <v>40</v>
      </c>
      <c r="F240" s="14" t="s">
        <v>37</v>
      </c>
      <c r="G240" s="16">
        <v>0</v>
      </c>
      <c r="H240" s="17">
        <v>0</v>
      </c>
      <c r="I240" s="16">
        <v>0</v>
      </c>
      <c r="J240" s="17">
        <v>1327137</v>
      </c>
      <c r="K240" s="17">
        <v>0</v>
      </c>
      <c r="L240" s="16">
        <v>1327137</v>
      </c>
      <c r="M240" s="18">
        <v>-102864426</v>
      </c>
    </row>
    <row r="241" spans="1:13">
      <c r="A241" s="10" t="s">
        <v>73</v>
      </c>
      <c r="B241" s="10" t="s">
        <v>17</v>
      </c>
      <c r="C241" s="10">
        <v>14</v>
      </c>
      <c r="D241" s="11">
        <v>47</v>
      </c>
      <c r="E241" s="10" t="s">
        <v>41</v>
      </c>
      <c r="F241" s="10" t="s">
        <v>37</v>
      </c>
      <c r="G241" s="4">
        <v>0</v>
      </c>
      <c r="H241" s="12">
        <v>0</v>
      </c>
      <c r="I241" s="4">
        <v>0</v>
      </c>
      <c r="J241" s="12">
        <v>117604</v>
      </c>
      <c r="K241" s="12">
        <v>0</v>
      </c>
      <c r="L241" s="4">
        <v>117604</v>
      </c>
      <c r="M241" s="13">
        <v>0</v>
      </c>
    </row>
    <row r="242" spans="1:13">
      <c r="A242" s="14" t="s">
        <v>73</v>
      </c>
      <c r="B242" s="14" t="s">
        <v>17</v>
      </c>
      <c r="C242" s="14">
        <v>14</v>
      </c>
      <c r="D242" s="15">
        <v>48</v>
      </c>
      <c r="E242" s="14" t="s">
        <v>42</v>
      </c>
      <c r="F242" s="14" t="s">
        <v>37</v>
      </c>
      <c r="G242" s="16">
        <v>0</v>
      </c>
      <c r="H242" s="17">
        <v>0</v>
      </c>
      <c r="I242" s="16">
        <v>0</v>
      </c>
      <c r="J242" s="17">
        <v>14982859</v>
      </c>
      <c r="K242" s="17">
        <v>0</v>
      </c>
      <c r="L242" s="16">
        <v>14982859</v>
      </c>
      <c r="M242" s="18">
        <v>0</v>
      </c>
    </row>
    <row r="243" spans="1:13">
      <c r="A243" s="10" t="s">
        <v>73</v>
      </c>
      <c r="B243" s="10" t="s">
        <v>17</v>
      </c>
      <c r="C243" s="10">
        <v>14</v>
      </c>
      <c r="D243" s="11">
        <v>50</v>
      </c>
      <c r="E243" s="10" t="s">
        <v>43</v>
      </c>
      <c r="F243" s="10" t="s">
        <v>37</v>
      </c>
      <c r="G243" s="4">
        <v>0</v>
      </c>
      <c r="H243" s="12">
        <v>0</v>
      </c>
      <c r="I243" s="4">
        <v>0</v>
      </c>
      <c r="J243" s="12">
        <v>470415</v>
      </c>
      <c r="K243" s="12">
        <v>0</v>
      </c>
      <c r="L243" s="4">
        <v>470415</v>
      </c>
      <c r="M243" s="13">
        <v>0</v>
      </c>
    </row>
    <row r="244" spans="1:13">
      <c r="A244" s="14" t="s">
        <v>73</v>
      </c>
      <c r="B244" s="14" t="s">
        <v>17</v>
      </c>
      <c r="C244" s="14">
        <v>14</v>
      </c>
      <c r="D244" s="15">
        <v>51</v>
      </c>
      <c r="E244" s="14" t="s">
        <v>56</v>
      </c>
      <c r="F244" s="14" t="s">
        <v>37</v>
      </c>
      <c r="G244" s="16">
        <v>220000000</v>
      </c>
      <c r="H244" s="17">
        <v>0</v>
      </c>
      <c r="I244" s="16">
        <v>220000000</v>
      </c>
      <c r="J244" s="17">
        <v>301028078</v>
      </c>
      <c r="K244" s="17">
        <v>0</v>
      </c>
      <c r="L244" s="16">
        <v>301028078</v>
      </c>
      <c r="M244" s="18">
        <v>0</v>
      </c>
    </row>
    <row r="245" spans="1:13">
      <c r="A245" s="10" t="s">
        <v>73</v>
      </c>
      <c r="B245" s="10" t="s">
        <v>17</v>
      </c>
      <c r="C245" s="10">
        <v>14</v>
      </c>
      <c r="D245" s="11">
        <v>52</v>
      </c>
      <c r="E245" s="10" t="s">
        <v>44</v>
      </c>
      <c r="F245" s="10" t="s">
        <v>45</v>
      </c>
      <c r="G245" s="4">
        <v>15013225</v>
      </c>
      <c r="H245" s="12">
        <v>0</v>
      </c>
      <c r="I245" s="4">
        <v>15013225</v>
      </c>
      <c r="J245" s="12">
        <v>15013225</v>
      </c>
      <c r="K245" s="12">
        <v>0</v>
      </c>
      <c r="L245" s="4">
        <v>15013225</v>
      </c>
      <c r="M245" s="13">
        <v>0</v>
      </c>
    </row>
    <row r="246" spans="1:13">
      <c r="A246" s="14" t="s">
        <v>73</v>
      </c>
      <c r="B246" s="14" t="s">
        <v>17</v>
      </c>
      <c r="C246" s="14">
        <v>14</v>
      </c>
      <c r="D246" s="15">
        <v>55</v>
      </c>
      <c r="E246" s="14" t="s">
        <v>74</v>
      </c>
      <c r="F246" s="14" t="s">
        <v>58</v>
      </c>
      <c r="G246" s="16">
        <v>0</v>
      </c>
      <c r="H246" s="17">
        <v>15000000</v>
      </c>
      <c r="I246" s="16">
        <v>15000000</v>
      </c>
      <c r="J246" s="17">
        <v>15000000</v>
      </c>
      <c r="K246" s="17">
        <v>0</v>
      </c>
      <c r="L246" s="16">
        <v>15000000</v>
      </c>
      <c r="M246" s="18">
        <v>0</v>
      </c>
    </row>
    <row r="247" spans="1:13">
      <c r="A247" s="10" t="s">
        <v>73</v>
      </c>
      <c r="B247" s="10" t="s">
        <v>17</v>
      </c>
      <c r="C247" s="10">
        <v>14</v>
      </c>
      <c r="D247" s="11">
        <v>57</v>
      </c>
      <c r="E247" s="10" t="s">
        <v>21</v>
      </c>
      <c r="F247" s="10" t="s">
        <v>22</v>
      </c>
      <c r="G247" s="4">
        <v>1852200</v>
      </c>
      <c r="H247" s="12">
        <v>0</v>
      </c>
      <c r="I247" s="4">
        <v>1852200</v>
      </c>
      <c r="J247" s="12">
        <v>1852200</v>
      </c>
      <c r="K247" s="12">
        <v>0</v>
      </c>
      <c r="L247" s="4">
        <v>1852200</v>
      </c>
      <c r="M247" s="13">
        <v>0</v>
      </c>
    </row>
    <row r="248" spans="1:13">
      <c r="A248" s="14" t="s">
        <v>73</v>
      </c>
      <c r="B248" s="14" t="s">
        <v>17</v>
      </c>
      <c r="C248" s="14">
        <v>14</v>
      </c>
      <c r="D248" s="15">
        <v>58</v>
      </c>
      <c r="E248" s="14" t="s">
        <v>23</v>
      </c>
      <c r="F248" s="14" t="s">
        <v>24</v>
      </c>
      <c r="G248" s="16">
        <v>20302215</v>
      </c>
      <c r="H248" s="17">
        <v>0</v>
      </c>
      <c r="I248" s="16">
        <v>20302215</v>
      </c>
      <c r="J248" s="17">
        <v>20302215</v>
      </c>
      <c r="K248" s="17">
        <v>0</v>
      </c>
      <c r="L248" s="16">
        <v>20302215</v>
      </c>
      <c r="M248" s="18">
        <v>0</v>
      </c>
    </row>
    <row r="249" spans="1:13">
      <c r="A249" s="10" t="s">
        <v>75</v>
      </c>
      <c r="B249" s="10" t="s">
        <v>17</v>
      </c>
      <c r="C249" s="10">
        <v>15</v>
      </c>
      <c r="D249" s="11">
        <v>4</v>
      </c>
      <c r="E249" s="10" t="s">
        <v>47</v>
      </c>
      <c r="F249" s="10" t="s">
        <v>27</v>
      </c>
      <c r="G249" s="4">
        <v>54592200</v>
      </c>
      <c r="H249" s="12">
        <v>0</v>
      </c>
      <c r="I249" s="4">
        <v>54592200</v>
      </c>
      <c r="J249" s="12">
        <v>0</v>
      </c>
      <c r="K249" s="12">
        <v>0</v>
      </c>
      <c r="L249" s="4">
        <v>0</v>
      </c>
      <c r="M249" s="13">
        <v>54592200</v>
      </c>
    </row>
    <row r="250" spans="1:13">
      <c r="A250" s="14" t="s">
        <v>75</v>
      </c>
      <c r="B250" s="14" t="s">
        <v>17</v>
      </c>
      <c r="C250" s="14">
        <v>15</v>
      </c>
      <c r="D250" s="15">
        <v>7</v>
      </c>
      <c r="E250" s="14" t="s">
        <v>28</v>
      </c>
      <c r="F250" s="14" t="s">
        <v>27</v>
      </c>
      <c r="G250" s="16">
        <v>5609250</v>
      </c>
      <c r="H250" s="17">
        <v>37000000</v>
      </c>
      <c r="I250" s="16">
        <v>42609250</v>
      </c>
      <c r="J250" s="17">
        <v>37805000</v>
      </c>
      <c r="K250" s="17">
        <v>0</v>
      </c>
      <c r="L250" s="16">
        <v>37805000</v>
      </c>
      <c r="M250" s="18">
        <v>4804250</v>
      </c>
    </row>
    <row r="251" spans="1:13">
      <c r="A251" s="10" t="s">
        <v>75</v>
      </c>
      <c r="B251" s="10" t="s">
        <v>17</v>
      </c>
      <c r="C251" s="10">
        <v>15</v>
      </c>
      <c r="D251" s="11">
        <v>28</v>
      </c>
      <c r="E251" s="10" t="s">
        <v>18</v>
      </c>
      <c r="F251" s="10" t="s">
        <v>19</v>
      </c>
      <c r="G251" s="4">
        <v>54487545</v>
      </c>
      <c r="H251" s="12">
        <v>-834483</v>
      </c>
      <c r="I251" s="4">
        <v>53653062</v>
      </c>
      <c r="J251" s="12">
        <v>53653062</v>
      </c>
      <c r="K251" s="12">
        <v>0</v>
      </c>
      <c r="L251" s="4">
        <v>53653062</v>
      </c>
      <c r="M251" s="13">
        <v>0</v>
      </c>
    </row>
    <row r="252" spans="1:13">
      <c r="A252" s="14" t="s">
        <v>75</v>
      </c>
      <c r="B252" s="14" t="s">
        <v>17</v>
      </c>
      <c r="C252" s="14">
        <v>15</v>
      </c>
      <c r="D252" s="15">
        <v>34</v>
      </c>
      <c r="E252" s="14" t="s">
        <v>20</v>
      </c>
      <c r="F252" s="14" t="s">
        <v>19</v>
      </c>
      <c r="G252" s="16">
        <v>0</v>
      </c>
      <c r="H252" s="17">
        <v>834483</v>
      </c>
      <c r="I252" s="16">
        <v>834483</v>
      </c>
      <c r="J252" s="17">
        <v>834483</v>
      </c>
      <c r="K252" s="17">
        <v>0</v>
      </c>
      <c r="L252" s="16">
        <v>834483</v>
      </c>
      <c r="M252" s="18">
        <v>0</v>
      </c>
    </row>
    <row r="253" spans="1:13">
      <c r="A253" s="10" t="s">
        <v>75</v>
      </c>
      <c r="B253" s="10" t="s">
        <v>17</v>
      </c>
      <c r="C253" s="10">
        <v>15</v>
      </c>
      <c r="D253" s="11">
        <v>37</v>
      </c>
      <c r="E253" s="10" t="s">
        <v>76</v>
      </c>
      <c r="F253" s="10" t="s">
        <v>19</v>
      </c>
      <c r="G253" s="4">
        <v>6166667</v>
      </c>
      <c r="H253" s="12">
        <v>0</v>
      </c>
      <c r="I253" s="4">
        <v>6166667</v>
      </c>
      <c r="J253" s="12">
        <v>6166667</v>
      </c>
      <c r="K253" s="12">
        <v>0</v>
      </c>
      <c r="L253" s="4">
        <v>6166667</v>
      </c>
      <c r="M253" s="13">
        <v>0</v>
      </c>
    </row>
    <row r="254" spans="1:13">
      <c r="A254" s="14" t="s">
        <v>75</v>
      </c>
      <c r="B254" s="14" t="s">
        <v>17</v>
      </c>
      <c r="C254" s="14">
        <v>15</v>
      </c>
      <c r="D254" s="15">
        <v>39</v>
      </c>
      <c r="E254" s="14" t="s">
        <v>54</v>
      </c>
      <c r="F254" s="14" t="s">
        <v>19</v>
      </c>
      <c r="G254" s="16">
        <v>354097</v>
      </c>
      <c r="H254" s="17">
        <v>0</v>
      </c>
      <c r="I254" s="16">
        <v>354097</v>
      </c>
      <c r="J254" s="17">
        <v>354097</v>
      </c>
      <c r="K254" s="17">
        <v>0</v>
      </c>
      <c r="L254" s="16">
        <v>354097</v>
      </c>
      <c r="M254" s="18">
        <v>0</v>
      </c>
    </row>
    <row r="255" spans="1:13">
      <c r="A255" s="10" t="s">
        <v>75</v>
      </c>
      <c r="B255" s="10" t="s">
        <v>17</v>
      </c>
      <c r="C255" s="10">
        <v>15</v>
      </c>
      <c r="D255" s="11">
        <v>57</v>
      </c>
      <c r="E255" s="10" t="s">
        <v>21</v>
      </c>
      <c r="F255" s="10" t="s">
        <v>22</v>
      </c>
      <c r="G255" s="4">
        <v>3128550</v>
      </c>
      <c r="H255" s="12">
        <v>0</v>
      </c>
      <c r="I255" s="4">
        <v>3128550</v>
      </c>
      <c r="J255" s="12">
        <v>3128550</v>
      </c>
      <c r="K255" s="12">
        <v>0</v>
      </c>
      <c r="L255" s="4">
        <v>3128550</v>
      </c>
      <c r="M255" s="13">
        <v>0</v>
      </c>
    </row>
    <row r="256" spans="1:13">
      <c r="A256" s="14" t="s">
        <v>75</v>
      </c>
      <c r="B256" s="14" t="s">
        <v>17</v>
      </c>
      <c r="C256" s="14">
        <v>15</v>
      </c>
      <c r="D256" s="15">
        <v>58</v>
      </c>
      <c r="E256" s="14" t="s">
        <v>23</v>
      </c>
      <c r="F256" s="14" t="s">
        <v>24</v>
      </c>
      <c r="G256" s="16">
        <v>13571202</v>
      </c>
      <c r="H256" s="17">
        <v>0</v>
      </c>
      <c r="I256" s="16">
        <v>13571202</v>
      </c>
      <c r="J256" s="17">
        <v>12784107</v>
      </c>
      <c r="K256" s="17">
        <v>0</v>
      </c>
      <c r="L256" s="16">
        <v>12784107</v>
      </c>
      <c r="M256" s="18">
        <v>787095</v>
      </c>
    </row>
    <row r="257" spans="1:13">
      <c r="A257" s="10" t="s">
        <v>77</v>
      </c>
      <c r="B257" s="10" t="s">
        <v>17</v>
      </c>
      <c r="C257" s="10">
        <v>16</v>
      </c>
      <c r="D257" s="11">
        <v>4</v>
      </c>
      <c r="E257" s="10" t="s">
        <v>47</v>
      </c>
      <c r="F257" s="10" t="s">
        <v>27</v>
      </c>
      <c r="G257" s="4">
        <v>18186790</v>
      </c>
      <c r="H257" s="12">
        <v>0</v>
      </c>
      <c r="I257" s="4">
        <v>18186790</v>
      </c>
      <c r="J257" s="12">
        <v>0</v>
      </c>
      <c r="K257" s="12">
        <v>18186790</v>
      </c>
      <c r="L257" s="4">
        <v>18186790</v>
      </c>
      <c r="M257" s="13">
        <v>0</v>
      </c>
    </row>
    <row r="258" spans="1:13">
      <c r="A258" s="14" t="s">
        <v>77</v>
      </c>
      <c r="B258" s="14" t="s">
        <v>17</v>
      </c>
      <c r="C258" s="14">
        <v>16</v>
      </c>
      <c r="D258" s="15">
        <v>5</v>
      </c>
      <c r="E258" s="14" t="s">
        <v>48</v>
      </c>
      <c r="F258" s="14" t="s">
        <v>27</v>
      </c>
      <c r="G258" s="16">
        <v>2500000</v>
      </c>
      <c r="H258" s="17">
        <v>0</v>
      </c>
      <c r="I258" s="16">
        <v>2500000</v>
      </c>
      <c r="J258" s="17">
        <v>2500000</v>
      </c>
      <c r="K258" s="17">
        <v>0</v>
      </c>
      <c r="L258" s="16">
        <v>2500000</v>
      </c>
      <c r="M258" s="18">
        <v>0</v>
      </c>
    </row>
    <row r="259" spans="1:13">
      <c r="A259" s="10" t="s">
        <v>77</v>
      </c>
      <c r="B259" s="10" t="s">
        <v>17</v>
      </c>
      <c r="C259" s="10">
        <v>16</v>
      </c>
      <c r="D259" s="11">
        <v>7</v>
      </c>
      <c r="E259" s="10" t="s">
        <v>28</v>
      </c>
      <c r="F259" s="10" t="s">
        <v>27</v>
      </c>
      <c r="G259" s="4">
        <v>2015150</v>
      </c>
      <c r="H259" s="12">
        <v>0</v>
      </c>
      <c r="I259" s="4">
        <v>2015150</v>
      </c>
      <c r="J259" s="12">
        <v>2015159</v>
      </c>
      <c r="K259" s="12">
        <v>0</v>
      </c>
      <c r="L259" s="4">
        <v>2015159</v>
      </c>
      <c r="M259" s="13">
        <v>-9</v>
      </c>
    </row>
    <row r="260" spans="1:13">
      <c r="A260" s="14" t="s">
        <v>77</v>
      </c>
      <c r="B260" s="14" t="s">
        <v>17</v>
      </c>
      <c r="C260" s="14">
        <v>16</v>
      </c>
      <c r="D260" s="15">
        <v>28</v>
      </c>
      <c r="E260" s="14" t="s">
        <v>18</v>
      </c>
      <c r="F260" s="14" t="s">
        <v>19</v>
      </c>
      <c r="G260" s="16">
        <v>260793799</v>
      </c>
      <c r="H260" s="17">
        <v>0</v>
      </c>
      <c r="I260" s="16">
        <v>260793799</v>
      </c>
      <c r="J260" s="17">
        <v>260793799</v>
      </c>
      <c r="K260" s="17">
        <v>0</v>
      </c>
      <c r="L260" s="16">
        <v>260793799</v>
      </c>
      <c r="M260" s="18">
        <v>0</v>
      </c>
    </row>
    <row r="261" spans="1:13">
      <c r="A261" s="10" t="s">
        <v>77</v>
      </c>
      <c r="B261" s="10" t="s">
        <v>17</v>
      </c>
      <c r="C261" s="10">
        <v>16</v>
      </c>
      <c r="D261" s="11">
        <v>43</v>
      </c>
      <c r="E261" s="10" t="s">
        <v>36</v>
      </c>
      <c r="F261" s="10" t="s">
        <v>37</v>
      </c>
      <c r="G261" s="4">
        <v>0</v>
      </c>
      <c r="H261" s="12">
        <v>68767694</v>
      </c>
      <c r="I261" s="4">
        <v>68767694</v>
      </c>
      <c r="J261" s="12">
        <v>68767694</v>
      </c>
      <c r="K261" s="12">
        <v>0</v>
      </c>
      <c r="L261" s="4">
        <v>68767694</v>
      </c>
      <c r="M261" s="13">
        <v>0</v>
      </c>
    </row>
    <row r="262" spans="1:13">
      <c r="A262" s="14" t="s">
        <v>77</v>
      </c>
      <c r="B262" s="14" t="s">
        <v>17</v>
      </c>
      <c r="C262" s="14">
        <v>16</v>
      </c>
      <c r="D262" s="15">
        <v>44</v>
      </c>
      <c r="E262" s="14" t="s">
        <v>38</v>
      </c>
      <c r="F262" s="14" t="s">
        <v>37</v>
      </c>
      <c r="G262" s="16">
        <v>0</v>
      </c>
      <c r="H262" s="17">
        <v>2781402</v>
      </c>
      <c r="I262" s="16">
        <v>2781402</v>
      </c>
      <c r="J262" s="17">
        <v>2781402</v>
      </c>
      <c r="K262" s="17">
        <v>0</v>
      </c>
      <c r="L262" s="16">
        <v>2781402</v>
      </c>
      <c r="M262" s="18">
        <v>0</v>
      </c>
    </row>
    <row r="263" spans="1:13">
      <c r="A263" s="10" t="s">
        <v>77</v>
      </c>
      <c r="B263" s="10" t="s">
        <v>17</v>
      </c>
      <c r="C263" s="10">
        <v>16</v>
      </c>
      <c r="D263" s="11">
        <v>45</v>
      </c>
      <c r="E263" s="10" t="s">
        <v>39</v>
      </c>
      <c r="F263" s="10" t="s">
        <v>37</v>
      </c>
      <c r="G263" s="4">
        <v>0</v>
      </c>
      <c r="H263" s="12">
        <v>3540854</v>
      </c>
      <c r="I263" s="4">
        <v>3540854</v>
      </c>
      <c r="J263" s="12">
        <v>3540854</v>
      </c>
      <c r="K263" s="12">
        <v>0</v>
      </c>
      <c r="L263" s="4">
        <v>3540854</v>
      </c>
      <c r="M263" s="13">
        <v>0</v>
      </c>
    </row>
    <row r="264" spans="1:13">
      <c r="A264" s="14" t="s">
        <v>77</v>
      </c>
      <c r="B264" s="14" t="s">
        <v>17</v>
      </c>
      <c r="C264" s="14">
        <v>16</v>
      </c>
      <c r="D264" s="15">
        <v>46</v>
      </c>
      <c r="E264" s="14" t="s">
        <v>40</v>
      </c>
      <c r="F264" s="14" t="s">
        <v>37</v>
      </c>
      <c r="G264" s="16">
        <v>0</v>
      </c>
      <c r="H264" s="17">
        <v>24416212</v>
      </c>
      <c r="I264" s="16">
        <v>24416212</v>
      </c>
      <c r="J264" s="17">
        <v>24416212</v>
      </c>
      <c r="K264" s="17">
        <v>0</v>
      </c>
      <c r="L264" s="16">
        <v>24416212</v>
      </c>
      <c r="M264" s="18">
        <v>0</v>
      </c>
    </row>
    <row r="265" spans="1:13">
      <c r="A265" s="10" t="s">
        <v>77</v>
      </c>
      <c r="B265" s="10" t="s">
        <v>17</v>
      </c>
      <c r="C265" s="10">
        <v>16</v>
      </c>
      <c r="D265" s="11">
        <v>47</v>
      </c>
      <c r="E265" s="10" t="s">
        <v>41</v>
      </c>
      <c r="F265" s="10" t="s">
        <v>37</v>
      </c>
      <c r="G265" s="4">
        <v>0</v>
      </c>
      <c r="H265" s="12">
        <v>1493260</v>
      </c>
      <c r="I265" s="4">
        <v>1493260</v>
      </c>
      <c r="J265" s="12">
        <v>1493260</v>
      </c>
      <c r="K265" s="12">
        <v>0</v>
      </c>
      <c r="L265" s="4">
        <v>1493260</v>
      </c>
      <c r="M265" s="13">
        <v>0</v>
      </c>
    </row>
    <row r="266" spans="1:13">
      <c r="A266" s="14" t="s">
        <v>77</v>
      </c>
      <c r="B266" s="14" t="s">
        <v>17</v>
      </c>
      <c r="C266" s="14">
        <v>16</v>
      </c>
      <c r="D266" s="15">
        <v>48</v>
      </c>
      <c r="E266" s="14" t="s">
        <v>42</v>
      </c>
      <c r="F266" s="14" t="s">
        <v>37</v>
      </c>
      <c r="G266" s="16">
        <v>0</v>
      </c>
      <c r="H266" s="17">
        <v>229780</v>
      </c>
      <c r="I266" s="16">
        <v>229780</v>
      </c>
      <c r="J266" s="17">
        <v>229780</v>
      </c>
      <c r="K266" s="17">
        <v>0</v>
      </c>
      <c r="L266" s="16">
        <v>229780</v>
      </c>
      <c r="M266" s="18">
        <v>0</v>
      </c>
    </row>
    <row r="267" spans="1:13">
      <c r="A267" s="10" t="s">
        <v>77</v>
      </c>
      <c r="B267" s="10" t="s">
        <v>17</v>
      </c>
      <c r="C267" s="10">
        <v>16</v>
      </c>
      <c r="D267" s="11">
        <v>49</v>
      </c>
      <c r="E267" s="10" t="s">
        <v>55</v>
      </c>
      <c r="F267" s="10" t="s">
        <v>37</v>
      </c>
      <c r="G267" s="4">
        <v>0</v>
      </c>
      <c r="H267" s="12">
        <v>1411012</v>
      </c>
      <c r="I267" s="4">
        <v>1411012</v>
      </c>
      <c r="J267" s="12">
        <v>1411012</v>
      </c>
      <c r="K267" s="12">
        <v>0</v>
      </c>
      <c r="L267" s="4">
        <v>1411012</v>
      </c>
      <c r="M267" s="13">
        <v>0</v>
      </c>
    </row>
    <row r="268" spans="1:13">
      <c r="A268" s="14" t="s">
        <v>77</v>
      </c>
      <c r="B268" s="14" t="s">
        <v>17</v>
      </c>
      <c r="C268" s="14">
        <v>16</v>
      </c>
      <c r="D268" s="15">
        <v>50</v>
      </c>
      <c r="E268" s="14" t="s">
        <v>43</v>
      </c>
      <c r="F268" s="14" t="s">
        <v>37</v>
      </c>
      <c r="G268" s="16">
        <v>0</v>
      </c>
      <c r="H268" s="17">
        <v>7081714</v>
      </c>
      <c r="I268" s="16">
        <v>7081714</v>
      </c>
      <c r="J268" s="17">
        <v>7081714</v>
      </c>
      <c r="K268" s="17">
        <v>0</v>
      </c>
      <c r="L268" s="16">
        <v>7081714</v>
      </c>
      <c r="M268" s="18">
        <v>0</v>
      </c>
    </row>
    <row r="269" spans="1:13">
      <c r="A269" s="10" t="s">
        <v>77</v>
      </c>
      <c r="B269" s="10" t="s">
        <v>17</v>
      </c>
      <c r="C269" s="10">
        <v>16</v>
      </c>
      <c r="D269" s="11">
        <v>51</v>
      </c>
      <c r="E269" s="10" t="s">
        <v>56</v>
      </c>
      <c r="F269" s="10" t="s">
        <v>37</v>
      </c>
      <c r="G269" s="4">
        <v>0</v>
      </c>
      <c r="H269" s="12">
        <v>6246756</v>
      </c>
      <c r="I269" s="4">
        <v>6246756</v>
      </c>
      <c r="J269" s="12">
        <v>6246756</v>
      </c>
      <c r="K269" s="12">
        <v>0</v>
      </c>
      <c r="L269" s="4">
        <v>6246756</v>
      </c>
      <c r="M269" s="13">
        <v>0</v>
      </c>
    </row>
    <row r="270" spans="1:13">
      <c r="A270" s="14" t="s">
        <v>77</v>
      </c>
      <c r="B270" s="14" t="s">
        <v>17</v>
      </c>
      <c r="C270" s="14">
        <v>16</v>
      </c>
      <c r="D270" s="15">
        <v>57</v>
      </c>
      <c r="E270" s="14" t="s">
        <v>21</v>
      </c>
      <c r="F270" s="14" t="s">
        <v>22</v>
      </c>
      <c r="G270" s="16">
        <v>0</v>
      </c>
      <c r="H270" s="17">
        <v>3462480</v>
      </c>
      <c r="I270" s="16">
        <v>3462480</v>
      </c>
      <c r="J270" s="17">
        <v>3462480</v>
      </c>
      <c r="K270" s="17">
        <v>0</v>
      </c>
      <c r="L270" s="16">
        <v>3462480</v>
      </c>
      <c r="M270" s="18">
        <v>0</v>
      </c>
    </row>
    <row r="271" spans="1:13">
      <c r="A271" s="10" t="s">
        <v>77</v>
      </c>
      <c r="B271" s="10" t="s">
        <v>17</v>
      </c>
      <c r="C271" s="10">
        <v>16</v>
      </c>
      <c r="D271" s="11">
        <v>58</v>
      </c>
      <c r="E271" s="10" t="s">
        <v>23</v>
      </c>
      <c r="F271" s="10" t="s">
        <v>24</v>
      </c>
      <c r="G271" s="4">
        <v>52302337</v>
      </c>
      <c r="H271" s="12">
        <v>-3462480</v>
      </c>
      <c r="I271" s="4">
        <v>48839857</v>
      </c>
      <c r="J271" s="12">
        <v>41607507</v>
      </c>
      <c r="K271" s="12">
        <v>0</v>
      </c>
      <c r="L271" s="4">
        <v>41607507</v>
      </c>
      <c r="M271" s="13">
        <v>7232350</v>
      </c>
    </row>
    <row r="272" spans="1:13">
      <c r="A272" s="14" t="s">
        <v>78</v>
      </c>
      <c r="B272" s="14" t="s">
        <v>17</v>
      </c>
      <c r="C272" s="14">
        <v>17</v>
      </c>
      <c r="D272" s="15">
        <v>4</v>
      </c>
      <c r="E272" s="14" t="s">
        <v>47</v>
      </c>
      <c r="F272" s="14" t="s">
        <v>27</v>
      </c>
      <c r="G272" s="16">
        <v>33911304</v>
      </c>
      <c r="H272" s="17">
        <v>0</v>
      </c>
      <c r="I272" s="16">
        <v>33911304</v>
      </c>
      <c r="J272" s="17">
        <v>0</v>
      </c>
      <c r="K272" s="17">
        <v>0</v>
      </c>
      <c r="L272" s="16">
        <v>0</v>
      </c>
      <c r="M272" s="18">
        <v>33911304</v>
      </c>
    </row>
    <row r="273" spans="1:13">
      <c r="A273" s="10" t="s">
        <v>78</v>
      </c>
      <c r="B273" s="10" t="s">
        <v>17</v>
      </c>
      <c r="C273" s="10">
        <v>17</v>
      </c>
      <c r="D273" s="11">
        <v>7</v>
      </c>
      <c r="E273" s="10" t="s">
        <v>28</v>
      </c>
      <c r="F273" s="10" t="s">
        <v>27</v>
      </c>
      <c r="G273" s="4">
        <v>5857000</v>
      </c>
      <c r="H273" s="12">
        <v>0</v>
      </c>
      <c r="I273" s="4">
        <v>5857000</v>
      </c>
      <c r="J273" s="12">
        <v>0</v>
      </c>
      <c r="K273" s="12">
        <v>0</v>
      </c>
      <c r="L273" s="4">
        <v>0</v>
      </c>
      <c r="M273" s="13">
        <v>5857000</v>
      </c>
    </row>
    <row r="274" spans="1:13">
      <c r="A274" s="14" t="s">
        <v>78</v>
      </c>
      <c r="B274" s="14" t="s">
        <v>17</v>
      </c>
      <c r="C274" s="14">
        <v>17</v>
      </c>
      <c r="D274" s="15">
        <v>28</v>
      </c>
      <c r="E274" s="14" t="s">
        <v>18</v>
      </c>
      <c r="F274" s="14" t="s">
        <v>19</v>
      </c>
      <c r="G274" s="16">
        <v>183414367</v>
      </c>
      <c r="H274" s="17">
        <v>0</v>
      </c>
      <c r="I274" s="16">
        <v>183414367</v>
      </c>
      <c r="J274" s="17">
        <v>0</v>
      </c>
      <c r="K274" s="17">
        <v>0</v>
      </c>
      <c r="L274" s="16">
        <v>0</v>
      </c>
      <c r="M274" s="18">
        <v>183414367</v>
      </c>
    </row>
    <row r="275" spans="1:13">
      <c r="A275" s="10" t="s">
        <v>78</v>
      </c>
      <c r="B275" s="10" t="s">
        <v>17</v>
      </c>
      <c r="C275" s="10">
        <v>17</v>
      </c>
      <c r="D275" s="11">
        <v>57</v>
      </c>
      <c r="E275" s="10" t="s">
        <v>21</v>
      </c>
      <c r="F275" s="10" t="s">
        <v>22</v>
      </c>
      <c r="G275" s="4">
        <v>8860320</v>
      </c>
      <c r="H275" s="12">
        <v>0</v>
      </c>
      <c r="I275" s="4">
        <v>8860320</v>
      </c>
      <c r="J275" s="12">
        <v>28912594</v>
      </c>
      <c r="K275" s="12">
        <v>0</v>
      </c>
      <c r="L275" s="4">
        <v>28912594</v>
      </c>
      <c r="M275" s="13">
        <v>-20052274</v>
      </c>
    </row>
    <row r="276" spans="1:13">
      <c r="A276" s="14" t="s">
        <v>78</v>
      </c>
      <c r="B276" s="14" t="s">
        <v>17</v>
      </c>
      <c r="C276" s="14">
        <v>17</v>
      </c>
      <c r="D276" s="15">
        <v>58</v>
      </c>
      <c r="E276" s="14" t="s">
        <v>23</v>
      </c>
      <c r="F276" s="14" t="s">
        <v>24</v>
      </c>
      <c r="G276" s="16">
        <v>50536292</v>
      </c>
      <c r="H276" s="17">
        <v>0</v>
      </c>
      <c r="I276" s="16">
        <v>50536292</v>
      </c>
      <c r="J276" s="17">
        <v>0</v>
      </c>
      <c r="K276" s="17">
        <v>0</v>
      </c>
      <c r="L276" s="16">
        <v>0</v>
      </c>
      <c r="M276" s="18">
        <v>50536292</v>
      </c>
    </row>
    <row r="277" spans="1:13">
      <c r="A277" s="10" t="s">
        <v>79</v>
      </c>
      <c r="B277" s="10" t="s">
        <v>17</v>
      </c>
      <c r="C277" s="10">
        <v>18</v>
      </c>
      <c r="D277" s="11">
        <v>3</v>
      </c>
      <c r="E277" s="10" t="s">
        <v>26</v>
      </c>
      <c r="F277" s="10" t="s">
        <v>27</v>
      </c>
      <c r="G277" s="4">
        <v>848919067</v>
      </c>
      <c r="H277" s="12">
        <v>4899140</v>
      </c>
      <c r="I277" s="4">
        <v>853818207</v>
      </c>
      <c r="J277" s="12">
        <v>853818207</v>
      </c>
      <c r="K277" s="12">
        <v>0</v>
      </c>
      <c r="L277" s="4">
        <v>853818207</v>
      </c>
      <c r="M277" s="13">
        <v>0</v>
      </c>
    </row>
    <row r="278" spans="1:13">
      <c r="A278" s="14" t="s">
        <v>79</v>
      </c>
      <c r="B278" s="14" t="s">
        <v>17</v>
      </c>
      <c r="C278" s="14">
        <v>18</v>
      </c>
      <c r="D278" s="15">
        <v>4</v>
      </c>
      <c r="E278" s="14" t="s">
        <v>47</v>
      </c>
      <c r="F278" s="14" t="s">
        <v>27</v>
      </c>
      <c r="G278" s="16">
        <v>4899140</v>
      </c>
      <c r="H278" s="17">
        <v>-4899140</v>
      </c>
      <c r="I278" s="16">
        <v>0</v>
      </c>
      <c r="J278" s="17">
        <v>0</v>
      </c>
      <c r="K278" s="17">
        <v>0</v>
      </c>
      <c r="L278" s="16">
        <v>0</v>
      </c>
      <c r="M278" s="18">
        <v>0</v>
      </c>
    </row>
    <row r="279" spans="1:13">
      <c r="A279" s="10" t="s">
        <v>79</v>
      </c>
      <c r="B279" s="10" t="s">
        <v>17</v>
      </c>
      <c r="C279" s="10">
        <v>18</v>
      </c>
      <c r="D279" s="11">
        <v>7</v>
      </c>
      <c r="E279" s="10" t="s">
        <v>28</v>
      </c>
      <c r="F279" s="10" t="s">
        <v>27</v>
      </c>
      <c r="G279" s="4">
        <v>50000000</v>
      </c>
      <c r="H279" s="12">
        <v>0</v>
      </c>
      <c r="I279" s="4">
        <v>50000000</v>
      </c>
      <c r="J279" s="12">
        <v>50000000</v>
      </c>
      <c r="K279" s="12">
        <v>0</v>
      </c>
      <c r="L279" s="4">
        <v>50000000</v>
      </c>
      <c r="M279" s="13">
        <v>0</v>
      </c>
    </row>
    <row r="280" spans="1:13">
      <c r="A280" s="14" t="s">
        <v>79</v>
      </c>
      <c r="B280" s="14" t="s">
        <v>17</v>
      </c>
      <c r="C280" s="14">
        <v>18</v>
      </c>
      <c r="D280" s="15">
        <v>28</v>
      </c>
      <c r="E280" s="14" t="s">
        <v>18</v>
      </c>
      <c r="F280" s="14" t="s">
        <v>19</v>
      </c>
      <c r="G280" s="16">
        <v>130622395</v>
      </c>
      <c r="H280" s="17">
        <v>0</v>
      </c>
      <c r="I280" s="16">
        <v>130622395</v>
      </c>
      <c r="J280" s="17">
        <v>130622395</v>
      </c>
      <c r="K280" s="17">
        <v>0</v>
      </c>
      <c r="L280" s="16">
        <v>130622395</v>
      </c>
      <c r="M280" s="18">
        <v>0</v>
      </c>
    </row>
    <row r="281" spans="1:13">
      <c r="A281" s="10" t="s">
        <v>79</v>
      </c>
      <c r="B281" s="10" t="s">
        <v>17</v>
      </c>
      <c r="C281" s="10">
        <v>18</v>
      </c>
      <c r="D281" s="11">
        <v>29</v>
      </c>
      <c r="E281" s="10" t="s">
        <v>50</v>
      </c>
      <c r="F281" s="10" t="s">
        <v>19</v>
      </c>
      <c r="G281" s="4">
        <v>134206369</v>
      </c>
      <c r="H281" s="12">
        <v>0</v>
      </c>
      <c r="I281" s="4">
        <v>134206369</v>
      </c>
      <c r="J281" s="12">
        <v>191723385</v>
      </c>
      <c r="K281" s="12">
        <v>0</v>
      </c>
      <c r="L281" s="4">
        <v>191723385</v>
      </c>
      <c r="M281" s="13">
        <v>-57517016</v>
      </c>
    </row>
    <row r="282" spans="1:13">
      <c r="A282" s="14" t="s">
        <v>79</v>
      </c>
      <c r="B282" s="14" t="s">
        <v>17</v>
      </c>
      <c r="C282" s="14">
        <v>18</v>
      </c>
      <c r="D282" s="15">
        <v>30</v>
      </c>
      <c r="E282" s="14" t="s">
        <v>51</v>
      </c>
      <c r="F282" s="14" t="s">
        <v>19</v>
      </c>
      <c r="G282" s="16">
        <v>98553777</v>
      </c>
      <c r="H282" s="17">
        <v>0</v>
      </c>
      <c r="I282" s="16">
        <v>98553777</v>
      </c>
      <c r="J282" s="17">
        <v>90221127</v>
      </c>
      <c r="K282" s="17">
        <v>0</v>
      </c>
      <c r="L282" s="16">
        <v>90221127</v>
      </c>
      <c r="M282" s="18">
        <v>8332650</v>
      </c>
    </row>
    <row r="283" spans="1:13">
      <c r="A283" s="10" t="s">
        <v>79</v>
      </c>
      <c r="B283" s="10" t="s">
        <v>17</v>
      </c>
      <c r="C283" s="10">
        <v>18</v>
      </c>
      <c r="D283" s="11">
        <v>32</v>
      </c>
      <c r="E283" s="10" t="s">
        <v>53</v>
      </c>
      <c r="F283" s="10" t="s">
        <v>19</v>
      </c>
      <c r="G283" s="4">
        <v>662000</v>
      </c>
      <c r="H283" s="12">
        <v>0</v>
      </c>
      <c r="I283" s="4">
        <v>662000</v>
      </c>
      <c r="J283" s="12">
        <v>662000</v>
      </c>
      <c r="K283" s="12">
        <v>0</v>
      </c>
      <c r="L283" s="4">
        <v>662000</v>
      </c>
      <c r="M283" s="13">
        <v>0</v>
      </c>
    </row>
    <row r="284" spans="1:13">
      <c r="A284" s="14" t="s">
        <v>79</v>
      </c>
      <c r="B284" s="14" t="s">
        <v>17</v>
      </c>
      <c r="C284" s="14">
        <v>18</v>
      </c>
      <c r="D284" s="15">
        <v>34</v>
      </c>
      <c r="E284" s="14" t="s">
        <v>20</v>
      </c>
      <c r="F284" s="14" t="s">
        <v>19</v>
      </c>
      <c r="G284" s="16">
        <v>9137660</v>
      </c>
      <c r="H284" s="17">
        <v>0</v>
      </c>
      <c r="I284" s="16">
        <v>9137660</v>
      </c>
      <c r="J284" s="17">
        <v>9137660</v>
      </c>
      <c r="K284" s="17">
        <v>0</v>
      </c>
      <c r="L284" s="16">
        <v>9137660</v>
      </c>
      <c r="M284" s="18">
        <v>0</v>
      </c>
    </row>
    <row r="285" spans="1:13">
      <c r="A285" s="10" t="s">
        <v>79</v>
      </c>
      <c r="B285" s="10" t="s">
        <v>17</v>
      </c>
      <c r="C285" s="10">
        <v>18</v>
      </c>
      <c r="D285" s="11">
        <v>39</v>
      </c>
      <c r="E285" s="10" t="s">
        <v>54</v>
      </c>
      <c r="F285" s="10" t="s">
        <v>19</v>
      </c>
      <c r="G285" s="4">
        <v>18208220</v>
      </c>
      <c r="H285" s="12">
        <v>0</v>
      </c>
      <c r="I285" s="4">
        <v>18208220</v>
      </c>
      <c r="J285" s="12">
        <v>18208220</v>
      </c>
      <c r="K285" s="12">
        <v>0</v>
      </c>
      <c r="L285" s="4">
        <v>18208220</v>
      </c>
      <c r="M285" s="13">
        <v>0</v>
      </c>
    </row>
    <row r="286" spans="1:13">
      <c r="A286" s="14" t="s">
        <v>79</v>
      </c>
      <c r="B286" s="14" t="s">
        <v>17</v>
      </c>
      <c r="C286" s="14">
        <v>18</v>
      </c>
      <c r="D286" s="15">
        <v>43</v>
      </c>
      <c r="E286" s="14" t="s">
        <v>36</v>
      </c>
      <c r="F286" s="14" t="s">
        <v>37</v>
      </c>
      <c r="G286" s="16">
        <v>0</v>
      </c>
      <c r="H286" s="17">
        <v>0</v>
      </c>
      <c r="I286" s="16">
        <v>0</v>
      </c>
      <c r="J286" s="17">
        <v>2512833</v>
      </c>
      <c r="K286" s="17">
        <v>0</v>
      </c>
      <c r="L286" s="16">
        <v>2512833</v>
      </c>
      <c r="M286" s="18">
        <v>0</v>
      </c>
    </row>
    <row r="287" spans="1:13">
      <c r="A287" s="10" t="s">
        <v>79</v>
      </c>
      <c r="B287" s="10" t="s">
        <v>17</v>
      </c>
      <c r="C287" s="10">
        <v>18</v>
      </c>
      <c r="D287" s="11">
        <v>44</v>
      </c>
      <c r="E287" s="10" t="s">
        <v>38</v>
      </c>
      <c r="F287" s="10" t="s">
        <v>37</v>
      </c>
      <c r="G287" s="4">
        <v>0</v>
      </c>
      <c r="H287" s="12">
        <v>0</v>
      </c>
      <c r="I287" s="4">
        <v>0</v>
      </c>
      <c r="J287" s="12">
        <v>103056</v>
      </c>
      <c r="K287" s="12">
        <v>0</v>
      </c>
      <c r="L287" s="4">
        <v>103056</v>
      </c>
      <c r="M287" s="13">
        <v>0</v>
      </c>
    </row>
    <row r="288" spans="1:13">
      <c r="A288" s="14" t="s">
        <v>79</v>
      </c>
      <c r="B288" s="14" t="s">
        <v>17</v>
      </c>
      <c r="C288" s="14">
        <v>18</v>
      </c>
      <c r="D288" s="15">
        <v>45</v>
      </c>
      <c r="E288" s="14" t="s">
        <v>39</v>
      </c>
      <c r="F288" s="14" t="s">
        <v>37</v>
      </c>
      <c r="G288" s="16">
        <v>0</v>
      </c>
      <c r="H288" s="17">
        <v>0</v>
      </c>
      <c r="I288" s="16">
        <v>0</v>
      </c>
      <c r="J288" s="17">
        <v>128820</v>
      </c>
      <c r="K288" s="17">
        <v>0</v>
      </c>
      <c r="L288" s="16">
        <v>128820</v>
      </c>
      <c r="M288" s="18">
        <v>0</v>
      </c>
    </row>
    <row r="289" spans="1:13">
      <c r="A289" s="10" t="s">
        <v>79</v>
      </c>
      <c r="B289" s="10" t="s">
        <v>17</v>
      </c>
      <c r="C289" s="10">
        <v>18</v>
      </c>
      <c r="D289" s="11">
        <v>46</v>
      </c>
      <c r="E289" s="10" t="s">
        <v>40</v>
      </c>
      <c r="F289" s="10" t="s">
        <v>37</v>
      </c>
      <c r="G289" s="4">
        <v>12129419615</v>
      </c>
      <c r="H289" s="12">
        <v>-12129419615</v>
      </c>
      <c r="I289" s="4">
        <v>0</v>
      </c>
      <c r="J289" s="12">
        <v>644099</v>
      </c>
      <c r="K289" s="12">
        <v>0</v>
      </c>
      <c r="L289" s="4">
        <v>644099</v>
      </c>
      <c r="M289" s="13">
        <v>-3741386</v>
      </c>
    </row>
    <row r="290" spans="1:13">
      <c r="A290" s="14" t="s">
        <v>79</v>
      </c>
      <c r="B290" s="14" t="s">
        <v>17</v>
      </c>
      <c r="C290" s="14">
        <v>18</v>
      </c>
      <c r="D290" s="15">
        <v>47</v>
      </c>
      <c r="E290" s="14" t="s">
        <v>41</v>
      </c>
      <c r="F290" s="14" t="s">
        <v>37</v>
      </c>
      <c r="G290" s="16">
        <v>0</v>
      </c>
      <c r="H290" s="17">
        <v>0</v>
      </c>
      <c r="I290" s="16">
        <v>0</v>
      </c>
      <c r="J290" s="17">
        <v>64410</v>
      </c>
      <c r="K290" s="17">
        <v>0</v>
      </c>
      <c r="L290" s="16">
        <v>64410</v>
      </c>
      <c r="M290" s="18">
        <v>0</v>
      </c>
    </row>
    <row r="291" spans="1:13">
      <c r="A291" s="10" t="s">
        <v>79</v>
      </c>
      <c r="B291" s="10" t="s">
        <v>17</v>
      </c>
      <c r="C291" s="10">
        <v>18</v>
      </c>
      <c r="D291" s="11">
        <v>49</v>
      </c>
      <c r="E291" s="10" t="s">
        <v>55</v>
      </c>
      <c r="F291" s="10" t="s">
        <v>37</v>
      </c>
      <c r="G291" s="4">
        <v>0</v>
      </c>
      <c r="H291" s="12">
        <v>0</v>
      </c>
      <c r="I291" s="4">
        <v>0</v>
      </c>
      <c r="J291" s="12">
        <v>30528</v>
      </c>
      <c r="K291" s="12">
        <v>0</v>
      </c>
      <c r="L291" s="4">
        <v>30528</v>
      </c>
      <c r="M291" s="13">
        <v>0</v>
      </c>
    </row>
    <row r="292" spans="1:13">
      <c r="A292" s="14" t="s">
        <v>79</v>
      </c>
      <c r="B292" s="14" t="s">
        <v>17</v>
      </c>
      <c r="C292" s="14">
        <v>18</v>
      </c>
      <c r="D292" s="15">
        <v>50</v>
      </c>
      <c r="E292" s="14" t="s">
        <v>43</v>
      </c>
      <c r="F292" s="14" t="s">
        <v>37</v>
      </c>
      <c r="G292" s="16">
        <v>0</v>
      </c>
      <c r="H292" s="17">
        <v>0</v>
      </c>
      <c r="I292" s="16">
        <v>0</v>
      </c>
      <c r="J292" s="17">
        <v>257640</v>
      </c>
      <c r="K292" s="17">
        <v>0</v>
      </c>
      <c r="L292" s="16">
        <v>257640</v>
      </c>
      <c r="M292" s="18">
        <v>0</v>
      </c>
    </row>
    <row r="293" spans="1:13">
      <c r="A293" s="10" t="s">
        <v>79</v>
      </c>
      <c r="B293" s="10" t="s">
        <v>17</v>
      </c>
      <c r="C293" s="10">
        <v>18</v>
      </c>
      <c r="D293" s="11">
        <v>57</v>
      </c>
      <c r="E293" s="10" t="s">
        <v>21</v>
      </c>
      <c r="F293" s="10" t="s">
        <v>22</v>
      </c>
      <c r="G293" s="4">
        <v>2980853</v>
      </c>
      <c r="H293" s="12">
        <v>0</v>
      </c>
      <c r="I293" s="4">
        <v>2980853</v>
      </c>
      <c r="J293" s="12">
        <v>241920</v>
      </c>
      <c r="K293" s="12">
        <v>0</v>
      </c>
      <c r="L293" s="4">
        <v>241920</v>
      </c>
      <c r="M293" s="13">
        <v>2738933</v>
      </c>
    </row>
    <row r="294" spans="1:13">
      <c r="A294" s="14" t="s">
        <v>79</v>
      </c>
      <c r="B294" s="14" t="s">
        <v>17</v>
      </c>
      <c r="C294" s="14">
        <v>18</v>
      </c>
      <c r="D294" s="15">
        <v>58</v>
      </c>
      <c r="E294" s="14" t="s">
        <v>23</v>
      </c>
      <c r="F294" s="14" t="s">
        <v>24</v>
      </c>
      <c r="G294" s="16">
        <v>29063504</v>
      </c>
      <c r="H294" s="17">
        <v>0</v>
      </c>
      <c r="I294" s="16">
        <v>29063504</v>
      </c>
      <c r="J294" s="17">
        <v>2305144</v>
      </c>
      <c r="K294" s="17">
        <v>0</v>
      </c>
      <c r="L294" s="16">
        <v>2305144</v>
      </c>
      <c r="M294" s="18">
        <v>26758360</v>
      </c>
    </row>
    <row r="295" spans="1:13">
      <c r="A295" s="10" t="s">
        <v>80</v>
      </c>
      <c r="B295" s="10" t="s">
        <v>17</v>
      </c>
      <c r="C295" s="10">
        <v>20</v>
      </c>
      <c r="D295" s="11">
        <v>3</v>
      </c>
      <c r="E295" s="10" t="s">
        <v>26</v>
      </c>
      <c r="F295" s="10" t="s">
        <v>27</v>
      </c>
      <c r="G295" s="4">
        <v>698783824</v>
      </c>
      <c r="H295" s="12">
        <v>10000000</v>
      </c>
      <c r="I295" s="4">
        <v>708783824</v>
      </c>
      <c r="J295" s="12">
        <v>708783214</v>
      </c>
      <c r="K295" s="12">
        <v>0</v>
      </c>
      <c r="L295" s="4">
        <v>708783214</v>
      </c>
      <c r="M295" s="13">
        <v>610</v>
      </c>
    </row>
    <row r="296" spans="1:13">
      <c r="A296" s="14" t="s">
        <v>80</v>
      </c>
      <c r="B296" s="14" t="s">
        <v>17</v>
      </c>
      <c r="C296" s="14">
        <v>20</v>
      </c>
      <c r="D296" s="15">
        <v>5</v>
      </c>
      <c r="E296" s="14" t="s">
        <v>48</v>
      </c>
      <c r="F296" s="14" t="s">
        <v>27</v>
      </c>
      <c r="G296" s="16">
        <v>7500000</v>
      </c>
      <c r="H296" s="17">
        <v>0</v>
      </c>
      <c r="I296" s="16">
        <v>7500000</v>
      </c>
      <c r="J296" s="17">
        <v>7500000</v>
      </c>
      <c r="K296" s="17">
        <v>0</v>
      </c>
      <c r="L296" s="16">
        <v>7500000</v>
      </c>
      <c r="M296" s="18">
        <v>0</v>
      </c>
    </row>
    <row r="297" spans="1:13">
      <c r="A297" s="10" t="s">
        <v>80</v>
      </c>
      <c r="B297" s="10" t="s">
        <v>17</v>
      </c>
      <c r="C297" s="10">
        <v>20</v>
      </c>
      <c r="D297" s="11">
        <v>7</v>
      </c>
      <c r="E297" s="10" t="s">
        <v>28</v>
      </c>
      <c r="F297" s="10" t="s">
        <v>27</v>
      </c>
      <c r="G297" s="4">
        <v>12185155</v>
      </c>
      <c r="H297" s="12">
        <v>0</v>
      </c>
      <c r="I297" s="4">
        <v>12185155</v>
      </c>
      <c r="J297" s="12">
        <v>12185155</v>
      </c>
      <c r="K297" s="12">
        <v>0</v>
      </c>
      <c r="L297" s="4">
        <v>12185155</v>
      </c>
      <c r="M297" s="13">
        <v>0</v>
      </c>
    </row>
    <row r="298" spans="1:13">
      <c r="A298" s="14" t="s">
        <v>80</v>
      </c>
      <c r="B298" s="14" t="s">
        <v>17</v>
      </c>
      <c r="C298" s="14">
        <v>20</v>
      </c>
      <c r="D298" s="15">
        <v>26</v>
      </c>
      <c r="E298" s="14" t="s">
        <v>66</v>
      </c>
      <c r="F298" s="14" t="s">
        <v>30</v>
      </c>
      <c r="G298" s="16">
        <v>91565015</v>
      </c>
      <c r="H298" s="17">
        <v>0</v>
      </c>
      <c r="I298" s="16">
        <v>91565015</v>
      </c>
      <c r="J298" s="17">
        <v>91565015</v>
      </c>
      <c r="K298" s="17">
        <v>0</v>
      </c>
      <c r="L298" s="16">
        <v>91565015</v>
      </c>
      <c r="M298" s="18">
        <v>0</v>
      </c>
    </row>
    <row r="299" spans="1:13">
      <c r="A299" s="10" t="s">
        <v>80</v>
      </c>
      <c r="B299" s="10" t="s">
        <v>17</v>
      </c>
      <c r="C299" s="10">
        <v>20</v>
      </c>
      <c r="D299" s="11">
        <v>27</v>
      </c>
      <c r="E299" s="10" t="s">
        <v>32</v>
      </c>
      <c r="F299" s="10" t="s">
        <v>19</v>
      </c>
      <c r="G299" s="4">
        <v>101950843</v>
      </c>
      <c r="H299" s="12">
        <v>0</v>
      </c>
      <c r="I299" s="4">
        <v>101950843</v>
      </c>
      <c r="J299" s="12">
        <v>101960843</v>
      </c>
      <c r="K299" s="12">
        <v>0</v>
      </c>
      <c r="L299" s="4">
        <v>101960843</v>
      </c>
      <c r="M299" s="13">
        <v>-10000</v>
      </c>
    </row>
    <row r="300" spans="1:13">
      <c r="A300" s="14" t="s">
        <v>80</v>
      </c>
      <c r="B300" s="14" t="s">
        <v>17</v>
      </c>
      <c r="C300" s="14">
        <v>20</v>
      </c>
      <c r="D300" s="15">
        <v>28</v>
      </c>
      <c r="E300" s="14" t="s">
        <v>18</v>
      </c>
      <c r="F300" s="14" t="s">
        <v>19</v>
      </c>
      <c r="G300" s="16">
        <v>383450134</v>
      </c>
      <c r="H300" s="17">
        <v>0</v>
      </c>
      <c r="I300" s="16">
        <v>383450134</v>
      </c>
      <c r="J300" s="17">
        <v>383450134</v>
      </c>
      <c r="K300" s="17">
        <v>0</v>
      </c>
      <c r="L300" s="16">
        <v>383450134</v>
      </c>
      <c r="M300" s="18">
        <v>0</v>
      </c>
    </row>
    <row r="301" spans="1:13">
      <c r="A301" s="10" t="s">
        <v>80</v>
      </c>
      <c r="B301" s="10" t="s">
        <v>17</v>
      </c>
      <c r="C301" s="10">
        <v>20</v>
      </c>
      <c r="D301" s="11">
        <v>31</v>
      </c>
      <c r="E301" s="10" t="s">
        <v>52</v>
      </c>
      <c r="F301" s="10" t="s">
        <v>19</v>
      </c>
      <c r="G301" s="4">
        <v>207653533</v>
      </c>
      <c r="H301" s="12">
        <v>0</v>
      </c>
      <c r="I301" s="4">
        <v>207653533</v>
      </c>
      <c r="J301" s="12">
        <v>207653533</v>
      </c>
      <c r="K301" s="12">
        <v>0</v>
      </c>
      <c r="L301" s="4">
        <v>207653533</v>
      </c>
      <c r="M301" s="13">
        <v>0</v>
      </c>
    </row>
    <row r="302" spans="1:13">
      <c r="A302" s="14" t="s">
        <v>80</v>
      </c>
      <c r="B302" s="14" t="s">
        <v>17</v>
      </c>
      <c r="C302" s="14">
        <v>20</v>
      </c>
      <c r="D302" s="15">
        <v>33</v>
      </c>
      <c r="E302" s="14" t="s">
        <v>81</v>
      </c>
      <c r="F302" s="14" t="s">
        <v>19</v>
      </c>
      <c r="G302" s="16">
        <v>509382335</v>
      </c>
      <c r="H302" s="17">
        <v>0</v>
      </c>
      <c r="I302" s="16">
        <v>509382335</v>
      </c>
      <c r="J302" s="17">
        <v>509307335</v>
      </c>
      <c r="K302" s="17">
        <v>0</v>
      </c>
      <c r="L302" s="16">
        <v>509307335</v>
      </c>
      <c r="M302" s="18">
        <v>75000</v>
      </c>
    </row>
    <row r="303" spans="1:13">
      <c r="A303" s="10" t="s">
        <v>80</v>
      </c>
      <c r="B303" s="10" t="s">
        <v>17</v>
      </c>
      <c r="C303" s="10">
        <v>20</v>
      </c>
      <c r="D303" s="11">
        <v>34</v>
      </c>
      <c r="E303" s="10" t="s">
        <v>20</v>
      </c>
      <c r="F303" s="10" t="s">
        <v>19</v>
      </c>
      <c r="G303" s="4">
        <v>20941303</v>
      </c>
      <c r="H303" s="12">
        <v>0</v>
      </c>
      <c r="I303" s="4">
        <v>20941303</v>
      </c>
      <c r="J303" s="12">
        <v>21170385</v>
      </c>
      <c r="K303" s="12">
        <v>0</v>
      </c>
      <c r="L303" s="4">
        <v>21170385</v>
      </c>
      <c r="M303" s="13">
        <v>-229082</v>
      </c>
    </row>
    <row r="304" spans="1:13">
      <c r="A304" s="14" t="s">
        <v>80</v>
      </c>
      <c r="B304" s="14" t="s">
        <v>17</v>
      </c>
      <c r="C304" s="14">
        <v>20</v>
      </c>
      <c r="D304" s="15">
        <v>35</v>
      </c>
      <c r="E304" s="14" t="s">
        <v>33</v>
      </c>
      <c r="F304" s="14" t="s">
        <v>19</v>
      </c>
      <c r="G304" s="16">
        <v>7925543</v>
      </c>
      <c r="H304" s="17">
        <v>-1081332</v>
      </c>
      <c r="I304" s="16">
        <v>6844211</v>
      </c>
      <c r="J304" s="17">
        <v>6844211</v>
      </c>
      <c r="K304" s="17">
        <v>0</v>
      </c>
      <c r="L304" s="16">
        <v>6844211</v>
      </c>
      <c r="M304" s="18">
        <v>0</v>
      </c>
    </row>
    <row r="305" spans="1:13">
      <c r="A305" s="10" t="s">
        <v>80</v>
      </c>
      <c r="B305" s="10" t="s">
        <v>17</v>
      </c>
      <c r="C305" s="10">
        <v>20</v>
      </c>
      <c r="D305" s="11">
        <v>43</v>
      </c>
      <c r="E305" s="10" t="s">
        <v>36</v>
      </c>
      <c r="F305" s="10" t="s">
        <v>37</v>
      </c>
      <c r="G305" s="4">
        <v>215366291</v>
      </c>
      <c r="H305" s="12">
        <v>0</v>
      </c>
      <c r="I305" s="4">
        <v>215366291</v>
      </c>
      <c r="J305" s="12">
        <v>306184703</v>
      </c>
      <c r="K305" s="12">
        <v>0</v>
      </c>
      <c r="L305" s="4">
        <v>306184703</v>
      </c>
      <c r="M305" s="13">
        <v>0</v>
      </c>
    </row>
    <row r="306" spans="1:13">
      <c r="A306" s="14" t="s">
        <v>80</v>
      </c>
      <c r="B306" s="14" t="s">
        <v>17</v>
      </c>
      <c r="C306" s="14">
        <v>20</v>
      </c>
      <c r="D306" s="15">
        <v>44</v>
      </c>
      <c r="E306" s="14" t="s">
        <v>38</v>
      </c>
      <c r="F306" s="14" t="s">
        <v>37</v>
      </c>
      <c r="G306" s="16">
        <v>9174554</v>
      </c>
      <c r="H306" s="17">
        <v>0</v>
      </c>
      <c r="I306" s="16">
        <v>9174554</v>
      </c>
      <c r="J306" s="17">
        <v>12585468</v>
      </c>
      <c r="K306" s="17">
        <v>0</v>
      </c>
      <c r="L306" s="16">
        <v>12585468</v>
      </c>
      <c r="M306" s="18">
        <v>0</v>
      </c>
    </row>
    <row r="307" spans="1:13">
      <c r="A307" s="10" t="s">
        <v>80</v>
      </c>
      <c r="B307" s="10" t="s">
        <v>17</v>
      </c>
      <c r="C307" s="10">
        <v>20</v>
      </c>
      <c r="D307" s="11">
        <v>45</v>
      </c>
      <c r="E307" s="10" t="s">
        <v>39</v>
      </c>
      <c r="F307" s="10" t="s">
        <v>37</v>
      </c>
      <c r="G307" s="4">
        <v>11528310</v>
      </c>
      <c r="H307" s="12">
        <v>0</v>
      </c>
      <c r="I307" s="4">
        <v>11528310</v>
      </c>
      <c r="J307" s="12">
        <v>15731834</v>
      </c>
      <c r="K307" s="12">
        <v>0</v>
      </c>
      <c r="L307" s="4">
        <v>15731834</v>
      </c>
      <c r="M307" s="13">
        <v>0</v>
      </c>
    </row>
    <row r="308" spans="1:13">
      <c r="A308" s="14" t="s">
        <v>80</v>
      </c>
      <c r="B308" s="14" t="s">
        <v>17</v>
      </c>
      <c r="C308" s="14">
        <v>20</v>
      </c>
      <c r="D308" s="15">
        <v>46</v>
      </c>
      <c r="E308" s="14" t="s">
        <v>40</v>
      </c>
      <c r="F308" s="14" t="s">
        <v>37</v>
      </c>
      <c r="G308" s="16">
        <v>73952267</v>
      </c>
      <c r="H308" s="17">
        <v>0</v>
      </c>
      <c r="I308" s="16">
        <v>73952267</v>
      </c>
      <c r="J308" s="17">
        <v>110882393</v>
      </c>
      <c r="K308" s="17">
        <v>0</v>
      </c>
      <c r="L308" s="16">
        <v>110882393</v>
      </c>
      <c r="M308" s="18">
        <v>-156991971</v>
      </c>
    </row>
    <row r="309" spans="1:13">
      <c r="A309" s="10" t="s">
        <v>80</v>
      </c>
      <c r="B309" s="10" t="s">
        <v>17</v>
      </c>
      <c r="C309" s="10">
        <v>20</v>
      </c>
      <c r="D309" s="11">
        <v>47</v>
      </c>
      <c r="E309" s="10" t="s">
        <v>41</v>
      </c>
      <c r="F309" s="10" t="s">
        <v>37</v>
      </c>
      <c r="G309" s="4">
        <v>6369018</v>
      </c>
      <c r="H309" s="12">
        <v>0</v>
      </c>
      <c r="I309" s="4">
        <v>6369018</v>
      </c>
      <c r="J309" s="12">
        <v>7865909</v>
      </c>
      <c r="K309" s="12">
        <v>0</v>
      </c>
      <c r="L309" s="4">
        <v>7865909</v>
      </c>
      <c r="M309" s="13">
        <v>0</v>
      </c>
    </row>
    <row r="310" spans="1:13">
      <c r="A310" s="14" t="s">
        <v>80</v>
      </c>
      <c r="B310" s="14" t="s">
        <v>17</v>
      </c>
      <c r="C310" s="14">
        <v>20</v>
      </c>
      <c r="D310" s="15">
        <v>48</v>
      </c>
      <c r="E310" s="14" t="s">
        <v>42</v>
      </c>
      <c r="F310" s="14" t="s">
        <v>37</v>
      </c>
      <c r="G310" s="16">
        <v>2635184</v>
      </c>
      <c r="H310" s="17">
        <v>0</v>
      </c>
      <c r="I310" s="16">
        <v>2635184</v>
      </c>
      <c r="J310" s="17">
        <v>4903038</v>
      </c>
      <c r="K310" s="17">
        <v>0</v>
      </c>
      <c r="L310" s="16">
        <v>4903038</v>
      </c>
      <c r="M310" s="18">
        <v>0</v>
      </c>
    </row>
    <row r="311" spans="1:13">
      <c r="A311" s="10" t="s">
        <v>80</v>
      </c>
      <c r="B311" s="10" t="s">
        <v>17</v>
      </c>
      <c r="C311" s="10">
        <v>20</v>
      </c>
      <c r="D311" s="11">
        <v>49</v>
      </c>
      <c r="E311" s="10" t="s">
        <v>55</v>
      </c>
      <c r="F311" s="10" t="s">
        <v>37</v>
      </c>
      <c r="G311" s="4">
        <v>0</v>
      </c>
      <c r="H311" s="12">
        <v>0</v>
      </c>
      <c r="I311" s="4">
        <v>0</v>
      </c>
      <c r="J311" s="12">
        <v>9457200</v>
      </c>
      <c r="K311" s="12">
        <v>0</v>
      </c>
      <c r="L311" s="4">
        <v>9457200</v>
      </c>
      <c r="M311" s="13">
        <v>0</v>
      </c>
    </row>
    <row r="312" spans="1:13">
      <c r="A312" s="14" t="s">
        <v>80</v>
      </c>
      <c r="B312" s="14" t="s">
        <v>17</v>
      </c>
      <c r="C312" s="14">
        <v>20</v>
      </c>
      <c r="D312" s="15">
        <v>50</v>
      </c>
      <c r="E312" s="14" t="s">
        <v>43</v>
      </c>
      <c r="F312" s="14" t="s">
        <v>37</v>
      </c>
      <c r="G312" s="16">
        <v>23056616</v>
      </c>
      <c r="H312" s="17">
        <v>0</v>
      </c>
      <c r="I312" s="16">
        <v>23056616</v>
      </c>
      <c r="J312" s="17">
        <v>31463666</v>
      </c>
      <c r="K312" s="17">
        <v>0</v>
      </c>
      <c r="L312" s="16">
        <v>31463666</v>
      </c>
      <c r="M312" s="18">
        <v>0</v>
      </c>
    </row>
    <row r="313" spans="1:13">
      <c r="A313" s="10" t="s">
        <v>80</v>
      </c>
      <c r="B313" s="10" t="s">
        <v>17</v>
      </c>
      <c r="C313" s="10">
        <v>20</v>
      </c>
      <c r="D313" s="11">
        <v>52</v>
      </c>
      <c r="E313" s="10" t="s">
        <v>44</v>
      </c>
      <c r="F313" s="10" t="s">
        <v>45</v>
      </c>
      <c r="G313" s="4">
        <v>6155000</v>
      </c>
      <c r="H313" s="12">
        <v>0</v>
      </c>
      <c r="I313" s="4">
        <v>6155000</v>
      </c>
      <c r="J313" s="12">
        <v>6155000</v>
      </c>
      <c r="K313" s="12">
        <v>0</v>
      </c>
      <c r="L313" s="4">
        <v>6155000</v>
      </c>
      <c r="M313" s="13">
        <v>0</v>
      </c>
    </row>
    <row r="314" spans="1:13">
      <c r="A314" s="14" t="s">
        <v>80</v>
      </c>
      <c r="B314" s="14" t="s">
        <v>17</v>
      </c>
      <c r="C314" s="14">
        <v>20</v>
      </c>
      <c r="D314" s="15">
        <v>56</v>
      </c>
      <c r="E314" s="14" t="s">
        <v>57</v>
      </c>
      <c r="F314" s="14" t="s">
        <v>58</v>
      </c>
      <c r="G314" s="16">
        <v>0</v>
      </c>
      <c r="H314" s="17">
        <v>0</v>
      </c>
      <c r="I314" s="16">
        <v>0</v>
      </c>
      <c r="J314" s="17">
        <v>13000000</v>
      </c>
      <c r="K314" s="17">
        <v>0</v>
      </c>
      <c r="L314" s="16">
        <v>13000000</v>
      </c>
      <c r="M314" s="18">
        <v>-13000000</v>
      </c>
    </row>
    <row r="315" spans="1:13">
      <c r="A315" s="10" t="s">
        <v>80</v>
      </c>
      <c r="B315" s="10" t="s">
        <v>17</v>
      </c>
      <c r="C315" s="10">
        <v>20</v>
      </c>
      <c r="D315" s="11">
        <v>57</v>
      </c>
      <c r="E315" s="10" t="s">
        <v>21</v>
      </c>
      <c r="F315" s="10" t="s">
        <v>22</v>
      </c>
      <c r="G315" s="4">
        <v>62782551</v>
      </c>
      <c r="H315" s="12">
        <v>0</v>
      </c>
      <c r="I315" s="4">
        <v>62782551</v>
      </c>
      <c r="J315" s="12">
        <v>62782275</v>
      </c>
      <c r="K315" s="12">
        <v>0</v>
      </c>
      <c r="L315" s="4">
        <v>62782275</v>
      </c>
      <c r="M315" s="13">
        <v>276</v>
      </c>
    </row>
    <row r="316" spans="1:13">
      <c r="A316" s="14" t="s">
        <v>80</v>
      </c>
      <c r="B316" s="14" t="s">
        <v>17</v>
      </c>
      <c r="C316" s="14">
        <v>20</v>
      </c>
      <c r="D316" s="15">
        <v>58</v>
      </c>
      <c r="E316" s="14" t="s">
        <v>23</v>
      </c>
      <c r="F316" s="14" t="s">
        <v>24</v>
      </c>
      <c r="G316" s="16">
        <v>245975807</v>
      </c>
      <c r="H316" s="17">
        <v>0</v>
      </c>
      <c r="I316" s="16">
        <v>245975807</v>
      </c>
      <c r="J316" s="17">
        <v>0</v>
      </c>
      <c r="K316" s="17">
        <v>0</v>
      </c>
      <c r="L316" s="16">
        <v>0</v>
      </c>
      <c r="M316" s="18">
        <v>245975807</v>
      </c>
    </row>
    <row r="317" spans="1:13">
      <c r="A317" s="10" t="s">
        <v>82</v>
      </c>
      <c r="B317" s="10" t="s">
        <v>17</v>
      </c>
      <c r="C317" s="10">
        <v>21</v>
      </c>
      <c r="D317" s="11">
        <v>3</v>
      </c>
      <c r="E317" s="10" t="s">
        <v>26</v>
      </c>
      <c r="F317" s="10" t="s">
        <v>27</v>
      </c>
      <c r="G317" s="4">
        <v>867086504</v>
      </c>
      <c r="H317" s="12">
        <v>0</v>
      </c>
      <c r="I317" s="4">
        <v>867086504</v>
      </c>
      <c r="J317" s="12">
        <v>867464504</v>
      </c>
      <c r="K317" s="12">
        <v>0</v>
      </c>
      <c r="L317" s="4">
        <v>867464504</v>
      </c>
      <c r="M317" s="13">
        <v>-378000</v>
      </c>
    </row>
    <row r="318" spans="1:13">
      <c r="A318" s="14" t="s">
        <v>82</v>
      </c>
      <c r="B318" s="14" t="s">
        <v>17</v>
      </c>
      <c r="C318" s="14">
        <v>21</v>
      </c>
      <c r="D318" s="15">
        <v>5</v>
      </c>
      <c r="E318" s="14" t="s">
        <v>48</v>
      </c>
      <c r="F318" s="14" t="s">
        <v>27</v>
      </c>
      <c r="G318" s="16">
        <v>0</v>
      </c>
      <c r="H318" s="17">
        <v>1000000</v>
      </c>
      <c r="I318" s="16">
        <v>1000000</v>
      </c>
      <c r="J318" s="17">
        <v>1000000</v>
      </c>
      <c r="K318" s="17">
        <v>0</v>
      </c>
      <c r="L318" s="16">
        <v>1000000</v>
      </c>
      <c r="M318" s="18">
        <v>0</v>
      </c>
    </row>
    <row r="319" spans="1:13">
      <c r="A319" s="10" t="s">
        <v>82</v>
      </c>
      <c r="B319" s="10" t="s">
        <v>17</v>
      </c>
      <c r="C319" s="10">
        <v>21</v>
      </c>
      <c r="D319" s="11">
        <v>7</v>
      </c>
      <c r="E319" s="10" t="s">
        <v>28</v>
      </c>
      <c r="F319" s="10" t="s">
        <v>27</v>
      </c>
      <c r="G319" s="4">
        <v>0</v>
      </c>
      <c r="H319" s="12">
        <v>21406100</v>
      </c>
      <c r="I319" s="4">
        <v>21406100</v>
      </c>
      <c r="J319" s="12">
        <v>21406100</v>
      </c>
      <c r="K319" s="12">
        <v>0</v>
      </c>
      <c r="L319" s="4">
        <v>21406100</v>
      </c>
      <c r="M319" s="13">
        <v>0</v>
      </c>
    </row>
    <row r="320" spans="1:13">
      <c r="A320" s="14" t="s">
        <v>82</v>
      </c>
      <c r="B320" s="14" t="s">
        <v>17</v>
      </c>
      <c r="C320" s="14">
        <v>21</v>
      </c>
      <c r="D320" s="15">
        <v>21</v>
      </c>
      <c r="E320" s="14" t="s">
        <v>31</v>
      </c>
      <c r="F320" s="14" t="s">
        <v>30</v>
      </c>
      <c r="G320" s="16">
        <v>0</v>
      </c>
      <c r="H320" s="17">
        <v>106618662</v>
      </c>
      <c r="I320" s="16">
        <v>106618662</v>
      </c>
      <c r="J320" s="17">
        <v>106618662</v>
      </c>
      <c r="K320" s="17">
        <v>0</v>
      </c>
      <c r="L320" s="16">
        <v>106618662</v>
      </c>
      <c r="M320" s="18">
        <v>0</v>
      </c>
    </row>
    <row r="321" spans="1:13">
      <c r="A321" s="10" t="s">
        <v>82</v>
      </c>
      <c r="B321" s="10" t="s">
        <v>17</v>
      </c>
      <c r="C321" s="10">
        <v>21</v>
      </c>
      <c r="D321" s="11">
        <v>26</v>
      </c>
      <c r="E321" s="10" t="s">
        <v>66</v>
      </c>
      <c r="F321" s="10" t="s">
        <v>30</v>
      </c>
      <c r="G321" s="4">
        <v>129322572</v>
      </c>
      <c r="H321" s="12">
        <v>0</v>
      </c>
      <c r="I321" s="4">
        <v>129322572</v>
      </c>
      <c r="J321" s="12">
        <v>129867572</v>
      </c>
      <c r="K321" s="12">
        <v>0</v>
      </c>
      <c r="L321" s="4">
        <v>129867572</v>
      </c>
      <c r="M321" s="13">
        <v>-545000</v>
      </c>
    </row>
    <row r="322" spans="1:13">
      <c r="A322" s="14" t="s">
        <v>82</v>
      </c>
      <c r="B322" s="14" t="s">
        <v>17</v>
      </c>
      <c r="C322" s="14">
        <v>21</v>
      </c>
      <c r="D322" s="15">
        <v>27</v>
      </c>
      <c r="E322" s="14" t="s">
        <v>32</v>
      </c>
      <c r="F322" s="14" t="s">
        <v>19</v>
      </c>
      <c r="G322" s="16">
        <v>176358515</v>
      </c>
      <c r="H322" s="17">
        <v>0</v>
      </c>
      <c r="I322" s="16">
        <v>176358515</v>
      </c>
      <c r="J322" s="17">
        <v>176358515</v>
      </c>
      <c r="K322" s="17">
        <v>0</v>
      </c>
      <c r="L322" s="16">
        <v>176358515</v>
      </c>
      <c r="M322" s="18">
        <v>0</v>
      </c>
    </row>
    <row r="323" spans="1:13">
      <c r="A323" s="10" t="s">
        <v>82</v>
      </c>
      <c r="B323" s="10" t="s">
        <v>17</v>
      </c>
      <c r="C323" s="10">
        <v>21</v>
      </c>
      <c r="D323" s="11">
        <v>28</v>
      </c>
      <c r="E323" s="10" t="s">
        <v>18</v>
      </c>
      <c r="F323" s="10" t="s">
        <v>19</v>
      </c>
      <c r="G323" s="4">
        <v>376083611</v>
      </c>
      <c r="H323" s="12">
        <v>4453251</v>
      </c>
      <c r="I323" s="4">
        <v>380536862</v>
      </c>
      <c r="J323" s="12">
        <v>380536862</v>
      </c>
      <c r="K323" s="12">
        <v>0</v>
      </c>
      <c r="L323" s="4">
        <v>380536862</v>
      </c>
      <c r="M323" s="13">
        <v>0</v>
      </c>
    </row>
    <row r="324" spans="1:13">
      <c r="A324" s="14" t="s">
        <v>82</v>
      </c>
      <c r="B324" s="14" t="s">
        <v>17</v>
      </c>
      <c r="C324" s="14">
        <v>21</v>
      </c>
      <c r="D324" s="15">
        <v>30</v>
      </c>
      <c r="E324" s="14" t="s">
        <v>51</v>
      </c>
      <c r="F324" s="14" t="s">
        <v>19</v>
      </c>
      <c r="G324" s="16">
        <v>966556200</v>
      </c>
      <c r="H324" s="17">
        <v>0</v>
      </c>
      <c r="I324" s="16">
        <v>966556200</v>
      </c>
      <c r="J324" s="17">
        <v>966556200</v>
      </c>
      <c r="K324" s="17">
        <v>0</v>
      </c>
      <c r="L324" s="16">
        <v>966556200</v>
      </c>
      <c r="M324" s="18">
        <v>0</v>
      </c>
    </row>
    <row r="325" spans="1:13">
      <c r="A325" s="10" t="s">
        <v>82</v>
      </c>
      <c r="B325" s="10" t="s">
        <v>17</v>
      </c>
      <c r="C325" s="10">
        <v>21</v>
      </c>
      <c r="D325" s="11">
        <v>34</v>
      </c>
      <c r="E325" s="10" t="s">
        <v>20</v>
      </c>
      <c r="F325" s="10" t="s">
        <v>19</v>
      </c>
      <c r="G325" s="4">
        <v>5189408</v>
      </c>
      <c r="H325" s="12">
        <v>0</v>
      </c>
      <c r="I325" s="4">
        <v>5189408</v>
      </c>
      <c r="J325" s="12">
        <v>5189408</v>
      </c>
      <c r="K325" s="12">
        <v>0</v>
      </c>
      <c r="L325" s="4">
        <v>5189408</v>
      </c>
      <c r="M325" s="13">
        <v>0</v>
      </c>
    </row>
    <row r="326" spans="1:13">
      <c r="A326" s="14" t="s">
        <v>82</v>
      </c>
      <c r="B326" s="14" t="s">
        <v>17</v>
      </c>
      <c r="C326" s="14">
        <v>21</v>
      </c>
      <c r="D326" s="15">
        <v>39</v>
      </c>
      <c r="E326" s="14" t="s">
        <v>54</v>
      </c>
      <c r="F326" s="14" t="s">
        <v>19</v>
      </c>
      <c r="G326" s="16">
        <v>11955694</v>
      </c>
      <c r="H326" s="17">
        <v>0</v>
      </c>
      <c r="I326" s="16">
        <v>11955694</v>
      </c>
      <c r="J326" s="17">
        <v>11955694</v>
      </c>
      <c r="K326" s="17">
        <v>0</v>
      </c>
      <c r="L326" s="16">
        <v>11955694</v>
      </c>
      <c r="M326" s="18">
        <v>0</v>
      </c>
    </row>
    <row r="327" spans="1:13">
      <c r="A327" s="10" t="s">
        <v>82</v>
      </c>
      <c r="B327" s="10" t="s">
        <v>17</v>
      </c>
      <c r="C327" s="10">
        <v>21</v>
      </c>
      <c r="D327" s="11">
        <v>43</v>
      </c>
      <c r="E327" s="10" t="s">
        <v>36</v>
      </c>
      <c r="F327" s="10" t="s">
        <v>37</v>
      </c>
      <c r="G327" s="4">
        <v>0</v>
      </c>
      <c r="H327" s="12">
        <v>0</v>
      </c>
      <c r="I327" s="4">
        <v>0</v>
      </c>
      <c r="J327" s="12">
        <v>502903109</v>
      </c>
      <c r="K327" s="12">
        <v>0</v>
      </c>
      <c r="L327" s="4">
        <v>502903109</v>
      </c>
      <c r="M327" s="13">
        <v>0</v>
      </c>
    </row>
    <row r="328" spans="1:13">
      <c r="A328" s="14" t="s">
        <v>82</v>
      </c>
      <c r="B328" s="14" t="s">
        <v>17</v>
      </c>
      <c r="C328" s="14">
        <v>21</v>
      </c>
      <c r="D328" s="15">
        <v>44</v>
      </c>
      <c r="E328" s="14" t="s">
        <v>38</v>
      </c>
      <c r="F328" s="14" t="s">
        <v>37</v>
      </c>
      <c r="G328" s="16">
        <v>0</v>
      </c>
      <c r="H328" s="17">
        <v>0</v>
      </c>
      <c r="I328" s="16">
        <v>0</v>
      </c>
      <c r="J328" s="17">
        <v>25261337</v>
      </c>
      <c r="K328" s="17">
        <v>0</v>
      </c>
      <c r="L328" s="16">
        <v>25261337</v>
      </c>
      <c r="M328" s="18">
        <v>0</v>
      </c>
    </row>
    <row r="329" spans="1:13">
      <c r="A329" s="10" t="s">
        <v>82</v>
      </c>
      <c r="B329" s="10" t="s">
        <v>17</v>
      </c>
      <c r="C329" s="10">
        <v>21</v>
      </c>
      <c r="D329" s="11">
        <v>45</v>
      </c>
      <c r="E329" s="10" t="s">
        <v>39</v>
      </c>
      <c r="F329" s="10" t="s">
        <v>37</v>
      </c>
      <c r="G329" s="4">
        <v>0</v>
      </c>
      <c r="H329" s="12">
        <v>0</v>
      </c>
      <c r="I329" s="4">
        <v>0</v>
      </c>
      <c r="J329" s="12">
        <v>31576665</v>
      </c>
      <c r="K329" s="12">
        <v>0</v>
      </c>
      <c r="L329" s="4">
        <v>31576665</v>
      </c>
      <c r="M329" s="13">
        <v>0</v>
      </c>
    </row>
    <row r="330" spans="1:13">
      <c r="A330" s="14" t="s">
        <v>82</v>
      </c>
      <c r="B330" s="14" t="s">
        <v>17</v>
      </c>
      <c r="C330" s="14">
        <v>21</v>
      </c>
      <c r="D330" s="15">
        <v>46</v>
      </c>
      <c r="E330" s="14" t="s">
        <v>40</v>
      </c>
      <c r="F330" s="14" t="s">
        <v>37</v>
      </c>
      <c r="G330" s="16">
        <v>347620985</v>
      </c>
      <c r="H330" s="17">
        <v>459946176</v>
      </c>
      <c r="I330" s="16">
        <v>807567161</v>
      </c>
      <c r="J330" s="17">
        <v>203195715</v>
      </c>
      <c r="K330" s="17">
        <v>0</v>
      </c>
      <c r="L330" s="16">
        <v>203195715</v>
      </c>
      <c r="M330" s="18">
        <v>-33384566</v>
      </c>
    </row>
    <row r="331" spans="1:13">
      <c r="A331" s="10" t="s">
        <v>82</v>
      </c>
      <c r="B331" s="10" t="s">
        <v>17</v>
      </c>
      <c r="C331" s="10">
        <v>21</v>
      </c>
      <c r="D331" s="11">
        <v>47</v>
      </c>
      <c r="E331" s="10" t="s">
        <v>41</v>
      </c>
      <c r="F331" s="10" t="s">
        <v>37</v>
      </c>
      <c r="G331" s="4">
        <v>0</v>
      </c>
      <c r="H331" s="12">
        <v>0</v>
      </c>
      <c r="I331" s="4">
        <v>0</v>
      </c>
      <c r="J331" s="12">
        <v>15788317</v>
      </c>
      <c r="K331" s="12">
        <v>0</v>
      </c>
      <c r="L331" s="4">
        <v>15788317</v>
      </c>
      <c r="M331" s="13">
        <v>0</v>
      </c>
    </row>
    <row r="332" spans="1:13">
      <c r="A332" s="14" t="s">
        <v>82</v>
      </c>
      <c r="B332" s="14" t="s">
        <v>17</v>
      </c>
      <c r="C332" s="14">
        <v>21</v>
      </c>
      <c r="D332" s="15">
        <v>48</v>
      </c>
      <c r="E332" s="14" t="s">
        <v>42</v>
      </c>
      <c r="F332" s="14" t="s">
        <v>37</v>
      </c>
      <c r="G332" s="16">
        <v>0</v>
      </c>
      <c r="H332" s="17">
        <v>0</v>
      </c>
      <c r="I332" s="16">
        <v>0</v>
      </c>
      <c r="J332" s="17">
        <v>10819450</v>
      </c>
      <c r="K332" s="17">
        <v>0</v>
      </c>
      <c r="L332" s="16">
        <v>10819450</v>
      </c>
      <c r="M332" s="18">
        <v>0</v>
      </c>
    </row>
    <row r="333" spans="1:13">
      <c r="A333" s="10" t="s">
        <v>82</v>
      </c>
      <c r="B333" s="10" t="s">
        <v>17</v>
      </c>
      <c r="C333" s="10">
        <v>21</v>
      </c>
      <c r="D333" s="11">
        <v>49</v>
      </c>
      <c r="E333" s="10" t="s">
        <v>55</v>
      </c>
      <c r="F333" s="10" t="s">
        <v>37</v>
      </c>
      <c r="G333" s="4">
        <v>0</v>
      </c>
      <c r="H333" s="12">
        <v>0</v>
      </c>
      <c r="I333" s="4">
        <v>0</v>
      </c>
      <c r="J333" s="12">
        <v>71608</v>
      </c>
      <c r="K333" s="12">
        <v>0</v>
      </c>
      <c r="L333" s="4">
        <v>71608</v>
      </c>
      <c r="M333" s="13">
        <v>0</v>
      </c>
    </row>
    <row r="334" spans="1:13">
      <c r="A334" s="14" t="s">
        <v>82</v>
      </c>
      <c r="B334" s="14" t="s">
        <v>17</v>
      </c>
      <c r="C334" s="14">
        <v>21</v>
      </c>
      <c r="D334" s="15">
        <v>50</v>
      </c>
      <c r="E334" s="14" t="s">
        <v>43</v>
      </c>
      <c r="F334" s="14" t="s">
        <v>37</v>
      </c>
      <c r="G334" s="16">
        <v>0</v>
      </c>
      <c r="H334" s="17">
        <v>0</v>
      </c>
      <c r="I334" s="16">
        <v>0</v>
      </c>
      <c r="J334" s="17">
        <v>51335526</v>
      </c>
      <c r="K334" s="17">
        <v>0</v>
      </c>
      <c r="L334" s="16">
        <v>51335526</v>
      </c>
      <c r="M334" s="18">
        <v>0</v>
      </c>
    </row>
    <row r="335" spans="1:13">
      <c r="A335" s="10" t="s">
        <v>82</v>
      </c>
      <c r="B335" s="10" t="s">
        <v>17</v>
      </c>
      <c r="C335" s="10">
        <v>21</v>
      </c>
      <c r="D335" s="11">
        <v>52</v>
      </c>
      <c r="E335" s="10" t="s">
        <v>44</v>
      </c>
      <c r="F335" s="10" t="s">
        <v>45</v>
      </c>
      <c r="G335" s="4">
        <v>0</v>
      </c>
      <c r="H335" s="12">
        <v>8127350</v>
      </c>
      <c r="I335" s="4">
        <v>8127350</v>
      </c>
      <c r="J335" s="12">
        <v>8127350</v>
      </c>
      <c r="K335" s="12">
        <v>0</v>
      </c>
      <c r="L335" s="4">
        <v>8127350</v>
      </c>
      <c r="M335" s="13">
        <v>0</v>
      </c>
    </row>
    <row r="336" spans="1:13">
      <c r="A336" s="14" t="s">
        <v>82</v>
      </c>
      <c r="B336" s="14" t="s">
        <v>17</v>
      </c>
      <c r="C336" s="14">
        <v>21</v>
      </c>
      <c r="D336" s="15">
        <v>56</v>
      </c>
      <c r="E336" s="14" t="s">
        <v>57</v>
      </c>
      <c r="F336" s="14" t="s">
        <v>58</v>
      </c>
      <c r="G336" s="16">
        <v>24000000</v>
      </c>
      <c r="H336" s="17">
        <v>0</v>
      </c>
      <c r="I336" s="16">
        <v>24000000</v>
      </c>
      <c r="J336" s="17">
        <v>0</v>
      </c>
      <c r="K336" s="17">
        <v>24000000</v>
      </c>
      <c r="L336" s="16">
        <v>24000000</v>
      </c>
      <c r="M336" s="18">
        <v>0</v>
      </c>
    </row>
    <row r="337" spans="1:13">
      <c r="A337" s="10" t="s">
        <v>82</v>
      </c>
      <c r="B337" s="10" t="s">
        <v>17</v>
      </c>
      <c r="C337" s="10">
        <v>21</v>
      </c>
      <c r="D337" s="11">
        <v>57</v>
      </c>
      <c r="E337" s="10" t="s">
        <v>21</v>
      </c>
      <c r="F337" s="10" t="s">
        <v>22</v>
      </c>
      <c r="G337" s="4">
        <v>40320755</v>
      </c>
      <c r="H337" s="12">
        <v>0</v>
      </c>
      <c r="I337" s="4">
        <v>40320755</v>
      </c>
      <c r="J337" s="12">
        <v>40320755</v>
      </c>
      <c r="K337" s="12">
        <v>0</v>
      </c>
      <c r="L337" s="4">
        <v>40320755</v>
      </c>
      <c r="M337" s="13">
        <v>0</v>
      </c>
    </row>
    <row r="338" spans="1:13">
      <c r="A338" s="14" t="s">
        <v>82</v>
      </c>
      <c r="B338" s="14" t="s">
        <v>17</v>
      </c>
      <c r="C338" s="14">
        <v>21</v>
      </c>
      <c r="D338" s="15">
        <v>58</v>
      </c>
      <c r="E338" s="14" t="s">
        <v>23</v>
      </c>
      <c r="F338" s="14" t="s">
        <v>24</v>
      </c>
      <c r="G338" s="16">
        <v>211958392</v>
      </c>
      <c r="H338" s="17">
        <v>0</v>
      </c>
      <c r="I338" s="16">
        <v>211958392</v>
      </c>
      <c r="J338" s="17">
        <v>0</v>
      </c>
      <c r="K338" s="17">
        <v>0</v>
      </c>
      <c r="L338" s="16">
        <v>0</v>
      </c>
      <c r="M338" s="18">
        <v>211958392</v>
      </c>
    </row>
    <row r="339" spans="1:13">
      <c r="A339" s="10" t="s">
        <v>83</v>
      </c>
      <c r="B339" s="10" t="s">
        <v>17</v>
      </c>
      <c r="C339" s="10">
        <v>22</v>
      </c>
      <c r="D339" s="11">
        <v>3</v>
      </c>
      <c r="E339" s="10" t="s">
        <v>26</v>
      </c>
      <c r="F339" s="10" t="s">
        <v>27</v>
      </c>
      <c r="G339" s="4">
        <v>29183530</v>
      </c>
      <c r="H339" s="12">
        <v>0</v>
      </c>
      <c r="I339" s="4">
        <v>29183530</v>
      </c>
      <c r="J339" s="12">
        <v>50528867</v>
      </c>
      <c r="K339" s="12">
        <v>0</v>
      </c>
      <c r="L339" s="4">
        <v>50528867</v>
      </c>
      <c r="M339" s="13">
        <v>-21345337</v>
      </c>
    </row>
    <row r="340" spans="1:13">
      <c r="A340" s="14" t="s">
        <v>83</v>
      </c>
      <c r="B340" s="14" t="s">
        <v>17</v>
      </c>
      <c r="C340" s="14">
        <v>22</v>
      </c>
      <c r="D340" s="15">
        <v>5</v>
      </c>
      <c r="E340" s="14" t="s">
        <v>48</v>
      </c>
      <c r="F340" s="14" t="s">
        <v>27</v>
      </c>
      <c r="G340" s="16">
        <v>5000000</v>
      </c>
      <c r="H340" s="17">
        <v>0</v>
      </c>
      <c r="I340" s="16">
        <v>5000000</v>
      </c>
      <c r="J340" s="17">
        <v>5000000</v>
      </c>
      <c r="K340" s="17">
        <v>0</v>
      </c>
      <c r="L340" s="16">
        <v>5000000</v>
      </c>
      <c r="M340" s="18">
        <v>0</v>
      </c>
    </row>
    <row r="341" spans="1:13">
      <c r="A341" s="10" t="s">
        <v>83</v>
      </c>
      <c r="B341" s="10" t="s">
        <v>17</v>
      </c>
      <c r="C341" s="10">
        <v>22</v>
      </c>
      <c r="D341" s="11">
        <v>7</v>
      </c>
      <c r="E341" s="10" t="s">
        <v>28</v>
      </c>
      <c r="F341" s="10" t="s">
        <v>27</v>
      </c>
      <c r="G341" s="4">
        <v>1000000</v>
      </c>
      <c r="H341" s="12">
        <v>0</v>
      </c>
      <c r="I341" s="4">
        <v>1000000</v>
      </c>
      <c r="J341" s="12">
        <v>1000000</v>
      </c>
      <c r="K341" s="12">
        <v>0</v>
      </c>
      <c r="L341" s="4">
        <v>1000000</v>
      </c>
      <c r="M341" s="13">
        <v>0</v>
      </c>
    </row>
    <row r="342" spans="1:13">
      <c r="A342" s="14" t="s">
        <v>83</v>
      </c>
      <c r="B342" s="14" t="s">
        <v>17</v>
      </c>
      <c r="C342" s="14">
        <v>22</v>
      </c>
      <c r="D342" s="15">
        <v>27</v>
      </c>
      <c r="E342" s="14" t="s">
        <v>32</v>
      </c>
      <c r="F342" s="14" t="s">
        <v>19</v>
      </c>
      <c r="G342" s="16">
        <v>46193727</v>
      </c>
      <c r="H342" s="17">
        <v>0</v>
      </c>
      <c r="I342" s="16">
        <v>46193727</v>
      </c>
      <c r="J342" s="17">
        <v>46193727</v>
      </c>
      <c r="K342" s="17">
        <v>0</v>
      </c>
      <c r="L342" s="16">
        <v>46193727</v>
      </c>
      <c r="M342" s="18">
        <v>0</v>
      </c>
    </row>
    <row r="343" spans="1:13">
      <c r="A343" s="10" t="s">
        <v>83</v>
      </c>
      <c r="B343" s="10" t="s">
        <v>17</v>
      </c>
      <c r="C343" s="10">
        <v>22</v>
      </c>
      <c r="D343" s="11">
        <v>28</v>
      </c>
      <c r="E343" s="10" t="s">
        <v>18</v>
      </c>
      <c r="F343" s="10" t="s">
        <v>19</v>
      </c>
      <c r="G343" s="4">
        <v>57364975</v>
      </c>
      <c r="H343" s="12">
        <v>0</v>
      </c>
      <c r="I343" s="4">
        <v>57364975</v>
      </c>
      <c r="J343" s="12">
        <v>57184975</v>
      </c>
      <c r="K343" s="12">
        <v>0</v>
      </c>
      <c r="L343" s="4">
        <v>57184975</v>
      </c>
      <c r="M343" s="13">
        <v>180000</v>
      </c>
    </row>
    <row r="344" spans="1:13">
      <c r="A344" s="14" t="s">
        <v>83</v>
      </c>
      <c r="B344" s="14" t="s">
        <v>17</v>
      </c>
      <c r="C344" s="14">
        <v>22</v>
      </c>
      <c r="D344" s="15">
        <v>30</v>
      </c>
      <c r="E344" s="14" t="s">
        <v>51</v>
      </c>
      <c r="F344" s="14" t="s">
        <v>19</v>
      </c>
      <c r="G344" s="16">
        <v>0</v>
      </c>
      <c r="H344" s="17">
        <v>0</v>
      </c>
      <c r="I344" s="16">
        <v>0</v>
      </c>
      <c r="J344" s="17">
        <v>7857494</v>
      </c>
      <c r="K344" s="17">
        <v>0</v>
      </c>
      <c r="L344" s="16">
        <v>7857494</v>
      </c>
      <c r="M344" s="18">
        <v>-7857494</v>
      </c>
    </row>
    <row r="345" spans="1:13">
      <c r="A345" s="10" t="s">
        <v>83</v>
      </c>
      <c r="B345" s="10" t="s">
        <v>17</v>
      </c>
      <c r="C345" s="10">
        <v>22</v>
      </c>
      <c r="D345" s="11">
        <v>33</v>
      </c>
      <c r="E345" s="10" t="s">
        <v>81</v>
      </c>
      <c r="F345" s="10" t="s">
        <v>19</v>
      </c>
      <c r="G345" s="4">
        <v>59280516</v>
      </c>
      <c r="H345" s="12">
        <v>0</v>
      </c>
      <c r="I345" s="4">
        <v>59280516</v>
      </c>
      <c r="J345" s="12">
        <v>59280516</v>
      </c>
      <c r="K345" s="12">
        <v>0</v>
      </c>
      <c r="L345" s="4">
        <v>59280516</v>
      </c>
      <c r="M345" s="13">
        <v>0</v>
      </c>
    </row>
    <row r="346" spans="1:13">
      <c r="A346" s="14" t="s">
        <v>83</v>
      </c>
      <c r="B346" s="14" t="s">
        <v>17</v>
      </c>
      <c r="C346" s="14">
        <v>22</v>
      </c>
      <c r="D346" s="15">
        <v>34</v>
      </c>
      <c r="E346" s="14" t="s">
        <v>20</v>
      </c>
      <c r="F346" s="14" t="s">
        <v>19</v>
      </c>
      <c r="G346" s="16">
        <v>314845</v>
      </c>
      <c r="H346" s="17">
        <v>0</v>
      </c>
      <c r="I346" s="16">
        <v>314845</v>
      </c>
      <c r="J346" s="17">
        <v>314845</v>
      </c>
      <c r="K346" s="17">
        <v>0</v>
      </c>
      <c r="L346" s="16">
        <v>314845</v>
      </c>
      <c r="M346" s="18">
        <v>0</v>
      </c>
    </row>
    <row r="347" spans="1:13">
      <c r="A347" s="10" t="s">
        <v>83</v>
      </c>
      <c r="B347" s="10" t="s">
        <v>17</v>
      </c>
      <c r="C347" s="10">
        <v>22</v>
      </c>
      <c r="D347" s="11">
        <v>43</v>
      </c>
      <c r="E347" s="10" t="s">
        <v>36</v>
      </c>
      <c r="F347" s="10" t="s">
        <v>37</v>
      </c>
      <c r="G347" s="4">
        <v>0</v>
      </c>
      <c r="H347" s="12">
        <v>0</v>
      </c>
      <c r="I347" s="4">
        <v>0</v>
      </c>
      <c r="J347" s="12">
        <v>0</v>
      </c>
      <c r="K347" s="12">
        <v>1190633</v>
      </c>
      <c r="L347" s="4">
        <v>1190633</v>
      </c>
      <c r="M347" s="13">
        <v>0</v>
      </c>
    </row>
    <row r="348" spans="1:13">
      <c r="A348" s="14" t="s">
        <v>83</v>
      </c>
      <c r="B348" s="14" t="s">
        <v>17</v>
      </c>
      <c r="C348" s="14">
        <v>22</v>
      </c>
      <c r="D348" s="15">
        <v>44</v>
      </c>
      <c r="E348" s="14" t="s">
        <v>38</v>
      </c>
      <c r="F348" s="14" t="s">
        <v>37</v>
      </c>
      <c r="G348" s="16">
        <v>0</v>
      </c>
      <c r="H348" s="17">
        <v>0</v>
      </c>
      <c r="I348" s="16">
        <v>0</v>
      </c>
      <c r="J348" s="17">
        <v>0</v>
      </c>
      <c r="K348" s="17">
        <v>49922</v>
      </c>
      <c r="L348" s="16">
        <v>49922</v>
      </c>
      <c r="M348" s="18">
        <v>0</v>
      </c>
    </row>
    <row r="349" spans="1:13">
      <c r="A349" s="10" t="s">
        <v>83</v>
      </c>
      <c r="B349" s="10" t="s">
        <v>17</v>
      </c>
      <c r="C349" s="10">
        <v>22</v>
      </c>
      <c r="D349" s="11">
        <v>45</v>
      </c>
      <c r="E349" s="10" t="s">
        <v>39</v>
      </c>
      <c r="F349" s="10" t="s">
        <v>37</v>
      </c>
      <c r="G349" s="4">
        <v>0</v>
      </c>
      <c r="H349" s="12">
        <v>0</v>
      </c>
      <c r="I349" s="4">
        <v>0</v>
      </c>
      <c r="J349" s="12">
        <v>0</v>
      </c>
      <c r="K349" s="12">
        <v>62402</v>
      </c>
      <c r="L349" s="4">
        <v>62402</v>
      </c>
      <c r="M349" s="13">
        <v>0</v>
      </c>
    </row>
    <row r="350" spans="1:13">
      <c r="A350" s="14" t="s">
        <v>83</v>
      </c>
      <c r="B350" s="14" t="s">
        <v>17</v>
      </c>
      <c r="C350" s="14">
        <v>22</v>
      </c>
      <c r="D350" s="15">
        <v>46</v>
      </c>
      <c r="E350" s="14" t="s">
        <v>40</v>
      </c>
      <c r="F350" s="14" t="s">
        <v>37</v>
      </c>
      <c r="G350" s="16">
        <v>0</v>
      </c>
      <c r="H350" s="17">
        <v>0</v>
      </c>
      <c r="I350" s="16">
        <v>0</v>
      </c>
      <c r="J350" s="17">
        <v>0</v>
      </c>
      <c r="K350" s="17">
        <v>312011</v>
      </c>
      <c r="L350" s="16">
        <v>312011</v>
      </c>
      <c r="M350" s="18">
        <v>-1795934</v>
      </c>
    </row>
    <row r="351" spans="1:13">
      <c r="A351" s="10" t="s">
        <v>83</v>
      </c>
      <c r="B351" s="10" t="s">
        <v>17</v>
      </c>
      <c r="C351" s="10">
        <v>22</v>
      </c>
      <c r="D351" s="11">
        <v>47</v>
      </c>
      <c r="E351" s="10" t="s">
        <v>41</v>
      </c>
      <c r="F351" s="10" t="s">
        <v>37</v>
      </c>
      <c r="G351" s="4">
        <v>0</v>
      </c>
      <c r="H351" s="12">
        <v>0</v>
      </c>
      <c r="I351" s="4">
        <v>0</v>
      </c>
      <c r="J351" s="12">
        <v>0</v>
      </c>
      <c r="K351" s="12">
        <v>31201</v>
      </c>
      <c r="L351" s="4">
        <v>31201</v>
      </c>
      <c r="M351" s="13">
        <v>0</v>
      </c>
    </row>
    <row r="352" spans="1:13">
      <c r="A352" s="14" t="s">
        <v>83</v>
      </c>
      <c r="B352" s="14" t="s">
        <v>17</v>
      </c>
      <c r="C352" s="14">
        <v>22</v>
      </c>
      <c r="D352" s="15">
        <v>48</v>
      </c>
      <c r="E352" s="14" t="s">
        <v>42</v>
      </c>
      <c r="F352" s="14" t="s">
        <v>37</v>
      </c>
      <c r="G352" s="16">
        <v>0</v>
      </c>
      <c r="H352" s="17">
        <v>0</v>
      </c>
      <c r="I352" s="16">
        <v>0</v>
      </c>
      <c r="J352" s="17">
        <v>0</v>
      </c>
      <c r="K352" s="17">
        <v>24961</v>
      </c>
      <c r="L352" s="16">
        <v>24961</v>
      </c>
      <c r="M352" s="18">
        <v>0</v>
      </c>
    </row>
    <row r="353" spans="1:13">
      <c r="A353" s="10" t="s">
        <v>83</v>
      </c>
      <c r="B353" s="10" t="s">
        <v>17</v>
      </c>
      <c r="C353" s="10">
        <v>22</v>
      </c>
      <c r="D353" s="11">
        <v>50</v>
      </c>
      <c r="E353" s="10" t="s">
        <v>43</v>
      </c>
      <c r="F353" s="10" t="s">
        <v>37</v>
      </c>
      <c r="G353" s="4">
        <v>0</v>
      </c>
      <c r="H353" s="12">
        <v>0</v>
      </c>
      <c r="I353" s="4">
        <v>0</v>
      </c>
      <c r="J353" s="12">
        <v>0</v>
      </c>
      <c r="K353" s="12">
        <v>124804</v>
      </c>
      <c r="L353" s="4">
        <v>124804</v>
      </c>
      <c r="M353" s="13">
        <v>0</v>
      </c>
    </row>
    <row r="354" spans="1:13">
      <c r="A354" s="14" t="s">
        <v>83</v>
      </c>
      <c r="B354" s="14" t="s">
        <v>17</v>
      </c>
      <c r="C354" s="14">
        <v>22</v>
      </c>
      <c r="D354" s="15">
        <v>56</v>
      </c>
      <c r="E354" s="14" t="s">
        <v>57</v>
      </c>
      <c r="F354" s="14" t="s">
        <v>58</v>
      </c>
      <c r="G354" s="16">
        <v>0</v>
      </c>
      <c r="H354" s="17">
        <v>0</v>
      </c>
      <c r="I354" s="16">
        <v>0</v>
      </c>
      <c r="J354" s="17">
        <v>3370000</v>
      </c>
      <c r="K354" s="17">
        <v>0</v>
      </c>
      <c r="L354" s="16">
        <v>3370000</v>
      </c>
      <c r="M354" s="18">
        <v>-3370000</v>
      </c>
    </row>
    <row r="355" spans="1:13">
      <c r="A355" s="10" t="s">
        <v>83</v>
      </c>
      <c r="B355" s="10" t="s">
        <v>17</v>
      </c>
      <c r="C355" s="10">
        <v>22</v>
      </c>
      <c r="D355" s="11">
        <v>57</v>
      </c>
      <c r="E355" s="10" t="s">
        <v>21</v>
      </c>
      <c r="F355" s="10" t="s">
        <v>22</v>
      </c>
      <c r="G355" s="4">
        <v>5484956</v>
      </c>
      <c r="H355" s="12">
        <v>0</v>
      </c>
      <c r="I355" s="4">
        <v>5484956</v>
      </c>
      <c r="J355" s="12">
        <v>7896241</v>
      </c>
      <c r="K355" s="12">
        <v>0</v>
      </c>
      <c r="L355" s="4">
        <v>7896241</v>
      </c>
      <c r="M355" s="13">
        <v>-2411285</v>
      </c>
    </row>
    <row r="356" spans="1:13">
      <c r="A356" s="14" t="s">
        <v>83</v>
      </c>
      <c r="B356" s="14" t="s">
        <v>17</v>
      </c>
      <c r="C356" s="14">
        <v>22</v>
      </c>
      <c r="D356" s="15">
        <v>58</v>
      </c>
      <c r="E356" s="14" t="s">
        <v>23</v>
      </c>
      <c r="F356" s="14" t="s">
        <v>24</v>
      </c>
      <c r="G356" s="16">
        <v>17369583</v>
      </c>
      <c r="H356" s="17">
        <v>0</v>
      </c>
      <c r="I356" s="16">
        <v>17369583</v>
      </c>
      <c r="J356" s="17">
        <v>0</v>
      </c>
      <c r="K356" s="17">
        <v>0</v>
      </c>
      <c r="L356" s="16">
        <v>0</v>
      </c>
      <c r="M356" s="18">
        <v>17369583</v>
      </c>
    </row>
    <row r="357" spans="1:13">
      <c r="A357" s="10" t="s">
        <v>84</v>
      </c>
      <c r="B357" s="10" t="s">
        <v>85</v>
      </c>
      <c r="C357" s="10">
        <v>23</v>
      </c>
      <c r="D357" s="11">
        <v>27</v>
      </c>
      <c r="E357" s="10" t="s">
        <v>32</v>
      </c>
      <c r="F357" s="10" t="s">
        <v>19</v>
      </c>
      <c r="G357" s="4">
        <v>13565088</v>
      </c>
      <c r="H357" s="12">
        <v>0</v>
      </c>
      <c r="I357" s="4">
        <v>13565088</v>
      </c>
      <c r="J357" s="12">
        <v>13565088</v>
      </c>
      <c r="K357" s="12">
        <v>0</v>
      </c>
      <c r="L357" s="4">
        <v>13565088</v>
      </c>
      <c r="M357" s="13">
        <v>0</v>
      </c>
    </row>
    <row r="358" spans="1:13">
      <c r="A358" s="14" t="s">
        <v>84</v>
      </c>
      <c r="B358" s="14" t="s">
        <v>85</v>
      </c>
      <c r="C358" s="14">
        <v>23</v>
      </c>
      <c r="D358" s="15">
        <v>28</v>
      </c>
      <c r="E358" s="14" t="s">
        <v>18</v>
      </c>
      <c r="F358" s="14" t="s">
        <v>19</v>
      </c>
      <c r="G358" s="16">
        <v>416832170</v>
      </c>
      <c r="H358" s="17">
        <v>0</v>
      </c>
      <c r="I358" s="16">
        <v>416832170</v>
      </c>
      <c r="J358" s="17">
        <v>386398949</v>
      </c>
      <c r="K358" s="17">
        <v>0</v>
      </c>
      <c r="L358" s="16">
        <v>386398949</v>
      </c>
      <c r="M358" s="18">
        <v>30433221</v>
      </c>
    </row>
    <row r="359" spans="1:13">
      <c r="A359" s="10" t="s">
        <v>84</v>
      </c>
      <c r="B359" s="10" t="s">
        <v>85</v>
      </c>
      <c r="C359" s="10">
        <v>23</v>
      </c>
      <c r="D359" s="11">
        <v>30</v>
      </c>
      <c r="E359" s="10" t="s">
        <v>51</v>
      </c>
      <c r="F359" s="10" t="s">
        <v>19</v>
      </c>
      <c r="G359" s="4">
        <v>0</v>
      </c>
      <c r="H359" s="12">
        <v>0</v>
      </c>
      <c r="I359" s="4">
        <v>0</v>
      </c>
      <c r="J359" s="12">
        <v>5000000</v>
      </c>
      <c r="K359" s="12">
        <v>0</v>
      </c>
      <c r="L359" s="4">
        <v>5000000</v>
      </c>
      <c r="M359" s="13">
        <v>-5000000</v>
      </c>
    </row>
    <row r="360" spans="1:13">
      <c r="A360" s="14" t="s">
        <v>84</v>
      </c>
      <c r="B360" s="14" t="s">
        <v>85</v>
      </c>
      <c r="C360" s="14">
        <v>23</v>
      </c>
      <c r="D360" s="15">
        <v>32</v>
      </c>
      <c r="E360" s="14" t="s">
        <v>53</v>
      </c>
      <c r="F360" s="14" t="s">
        <v>19</v>
      </c>
      <c r="G360" s="16">
        <v>7873531</v>
      </c>
      <c r="H360" s="17">
        <v>0</v>
      </c>
      <c r="I360" s="16">
        <v>7873531</v>
      </c>
      <c r="J360" s="17">
        <v>7873531</v>
      </c>
      <c r="K360" s="17">
        <v>0</v>
      </c>
      <c r="L360" s="16">
        <v>7873531</v>
      </c>
      <c r="M360" s="18">
        <v>0</v>
      </c>
    </row>
    <row r="361" spans="1:13">
      <c r="A361" s="10" t="s">
        <v>84</v>
      </c>
      <c r="B361" s="10" t="s">
        <v>85</v>
      </c>
      <c r="C361" s="10">
        <v>23</v>
      </c>
      <c r="D361" s="11">
        <v>34</v>
      </c>
      <c r="E361" s="10" t="s">
        <v>20</v>
      </c>
      <c r="F361" s="10" t="s">
        <v>19</v>
      </c>
      <c r="G361" s="4">
        <v>5469480</v>
      </c>
      <c r="H361" s="12">
        <v>0</v>
      </c>
      <c r="I361" s="4">
        <v>5469480</v>
      </c>
      <c r="J361" s="12">
        <v>4953989</v>
      </c>
      <c r="K361" s="12">
        <v>0</v>
      </c>
      <c r="L361" s="4">
        <v>4953989</v>
      </c>
      <c r="M361" s="13">
        <v>515491</v>
      </c>
    </row>
    <row r="362" spans="1:13">
      <c r="A362" s="14" t="s">
        <v>84</v>
      </c>
      <c r="B362" s="14" t="s">
        <v>85</v>
      </c>
      <c r="C362" s="14">
        <v>23</v>
      </c>
      <c r="D362" s="15">
        <v>35</v>
      </c>
      <c r="E362" s="14" t="s">
        <v>33</v>
      </c>
      <c r="F362" s="14" t="s">
        <v>19</v>
      </c>
      <c r="G362" s="16">
        <v>66942402</v>
      </c>
      <c r="H362" s="17">
        <v>0</v>
      </c>
      <c r="I362" s="16">
        <v>66942402</v>
      </c>
      <c r="J362" s="17">
        <v>64394091</v>
      </c>
      <c r="K362" s="17">
        <v>0</v>
      </c>
      <c r="L362" s="16">
        <v>64394091</v>
      </c>
      <c r="M362" s="18">
        <v>2548311</v>
      </c>
    </row>
    <row r="363" spans="1:13">
      <c r="A363" s="10" t="s">
        <v>84</v>
      </c>
      <c r="B363" s="10" t="s">
        <v>85</v>
      </c>
      <c r="C363" s="10">
        <v>23</v>
      </c>
      <c r="D363" s="11">
        <v>39</v>
      </c>
      <c r="E363" s="10" t="s">
        <v>54</v>
      </c>
      <c r="F363" s="10" t="s">
        <v>19</v>
      </c>
      <c r="G363" s="4">
        <v>9779641</v>
      </c>
      <c r="H363" s="12">
        <v>0</v>
      </c>
      <c r="I363" s="4">
        <v>9779641</v>
      </c>
      <c r="J363" s="12">
        <v>9779641</v>
      </c>
      <c r="K363" s="12">
        <v>0</v>
      </c>
      <c r="L363" s="4">
        <v>9779641</v>
      </c>
      <c r="M363" s="13">
        <v>0</v>
      </c>
    </row>
    <row r="364" spans="1:13">
      <c r="A364" s="14" t="s">
        <v>84</v>
      </c>
      <c r="B364" s="14" t="s">
        <v>85</v>
      </c>
      <c r="C364" s="14">
        <v>23</v>
      </c>
      <c r="D364" s="15">
        <v>43</v>
      </c>
      <c r="E364" s="14" t="s">
        <v>36</v>
      </c>
      <c r="F364" s="14" t="s">
        <v>37</v>
      </c>
      <c r="G364" s="16">
        <v>0</v>
      </c>
      <c r="H364" s="17">
        <v>0</v>
      </c>
      <c r="I364" s="16">
        <v>0</v>
      </c>
      <c r="J364" s="17">
        <v>9408022</v>
      </c>
      <c r="K364" s="17">
        <v>0</v>
      </c>
      <c r="L364" s="16">
        <v>9408022</v>
      </c>
      <c r="M364" s="18">
        <v>0</v>
      </c>
    </row>
    <row r="365" spans="1:13">
      <c r="A365" s="10" t="s">
        <v>84</v>
      </c>
      <c r="B365" s="10" t="s">
        <v>85</v>
      </c>
      <c r="C365" s="10">
        <v>23</v>
      </c>
      <c r="D365" s="11">
        <v>44</v>
      </c>
      <c r="E365" s="10" t="s">
        <v>38</v>
      </c>
      <c r="F365" s="10" t="s">
        <v>37</v>
      </c>
      <c r="G365" s="4">
        <v>0</v>
      </c>
      <c r="H365" s="12">
        <v>0</v>
      </c>
      <c r="I365" s="4">
        <v>0</v>
      </c>
      <c r="J365" s="12">
        <v>314151</v>
      </c>
      <c r="K365" s="12">
        <v>0</v>
      </c>
      <c r="L365" s="4">
        <v>314151</v>
      </c>
      <c r="M365" s="13">
        <v>0</v>
      </c>
    </row>
    <row r="366" spans="1:13">
      <c r="A366" s="14" t="s">
        <v>84</v>
      </c>
      <c r="B366" s="14" t="s">
        <v>85</v>
      </c>
      <c r="C366" s="14">
        <v>23</v>
      </c>
      <c r="D366" s="15">
        <v>45</v>
      </c>
      <c r="E366" s="14" t="s">
        <v>39</v>
      </c>
      <c r="F366" s="14" t="s">
        <v>37</v>
      </c>
      <c r="G366" s="16">
        <v>0</v>
      </c>
      <c r="H366" s="17">
        <v>0</v>
      </c>
      <c r="I366" s="16">
        <v>0</v>
      </c>
      <c r="J366" s="17">
        <v>392688</v>
      </c>
      <c r="K366" s="17">
        <v>0</v>
      </c>
      <c r="L366" s="16">
        <v>392688</v>
      </c>
      <c r="M366" s="18">
        <v>0</v>
      </c>
    </row>
    <row r="367" spans="1:13">
      <c r="A367" s="10" t="s">
        <v>84</v>
      </c>
      <c r="B367" s="10" t="s">
        <v>85</v>
      </c>
      <c r="C367" s="10">
        <v>23</v>
      </c>
      <c r="D367" s="11">
        <v>46</v>
      </c>
      <c r="E367" s="10" t="s">
        <v>40</v>
      </c>
      <c r="F367" s="10" t="s">
        <v>37</v>
      </c>
      <c r="G367" s="4">
        <v>0</v>
      </c>
      <c r="H367" s="12">
        <v>0</v>
      </c>
      <c r="I367" s="4">
        <v>0</v>
      </c>
      <c r="J367" s="12">
        <v>7853762</v>
      </c>
      <c r="K367" s="12">
        <v>0</v>
      </c>
      <c r="L367" s="4">
        <v>7853762</v>
      </c>
      <c r="M367" s="13">
        <v>-36701426</v>
      </c>
    </row>
    <row r="368" spans="1:13">
      <c r="A368" s="14" t="s">
        <v>84</v>
      </c>
      <c r="B368" s="14" t="s">
        <v>85</v>
      </c>
      <c r="C368" s="14">
        <v>23</v>
      </c>
      <c r="D368" s="15">
        <v>47</v>
      </c>
      <c r="E368" s="14" t="s">
        <v>41</v>
      </c>
      <c r="F368" s="14" t="s">
        <v>37</v>
      </c>
      <c r="G368" s="16">
        <v>0</v>
      </c>
      <c r="H368" s="17">
        <v>0</v>
      </c>
      <c r="I368" s="16">
        <v>0</v>
      </c>
      <c r="J368" s="17">
        <v>196344</v>
      </c>
      <c r="K368" s="17">
        <v>0</v>
      </c>
      <c r="L368" s="16">
        <v>196344</v>
      </c>
      <c r="M368" s="18">
        <v>0</v>
      </c>
    </row>
    <row r="369" spans="1:13">
      <c r="A369" s="10" t="s">
        <v>84</v>
      </c>
      <c r="B369" s="10" t="s">
        <v>85</v>
      </c>
      <c r="C369" s="10">
        <v>23</v>
      </c>
      <c r="D369" s="11">
        <v>49</v>
      </c>
      <c r="E369" s="10" t="s">
        <v>55</v>
      </c>
      <c r="F369" s="10" t="s">
        <v>37</v>
      </c>
      <c r="G369" s="4">
        <v>0</v>
      </c>
      <c r="H369" s="12">
        <v>0</v>
      </c>
      <c r="I369" s="4">
        <v>0</v>
      </c>
      <c r="J369" s="12">
        <v>6176984</v>
      </c>
      <c r="K369" s="12">
        <v>0</v>
      </c>
      <c r="L369" s="4">
        <v>6176984</v>
      </c>
      <c r="M369" s="13">
        <v>0</v>
      </c>
    </row>
    <row r="370" spans="1:13">
      <c r="A370" s="14" t="s">
        <v>84</v>
      </c>
      <c r="B370" s="14" t="s">
        <v>85</v>
      </c>
      <c r="C370" s="14">
        <v>23</v>
      </c>
      <c r="D370" s="15">
        <v>50</v>
      </c>
      <c r="E370" s="14" t="s">
        <v>43</v>
      </c>
      <c r="F370" s="14" t="s">
        <v>37</v>
      </c>
      <c r="G370" s="16">
        <v>0</v>
      </c>
      <c r="H370" s="17">
        <v>0</v>
      </c>
      <c r="I370" s="16">
        <v>0</v>
      </c>
      <c r="J370" s="17">
        <v>785376</v>
      </c>
      <c r="K370" s="17">
        <v>0</v>
      </c>
      <c r="L370" s="16">
        <v>785376</v>
      </c>
      <c r="M370" s="18">
        <v>0</v>
      </c>
    </row>
    <row r="371" spans="1:13">
      <c r="A371" s="10" t="s">
        <v>84</v>
      </c>
      <c r="B371" s="10" t="s">
        <v>85</v>
      </c>
      <c r="C371" s="10">
        <v>23</v>
      </c>
      <c r="D371" s="11">
        <v>51</v>
      </c>
      <c r="E371" s="10" t="s">
        <v>56</v>
      </c>
      <c r="F371" s="10" t="s">
        <v>37</v>
      </c>
      <c r="G371" s="4">
        <v>0</v>
      </c>
      <c r="H371" s="12">
        <v>0</v>
      </c>
      <c r="I371" s="4">
        <v>0</v>
      </c>
      <c r="J371" s="12">
        <v>11574099</v>
      </c>
      <c r="K371" s="12">
        <v>0</v>
      </c>
      <c r="L371" s="4">
        <v>11574099</v>
      </c>
      <c r="M371" s="13">
        <v>0</v>
      </c>
    </row>
    <row r="372" spans="1:13">
      <c r="A372" s="14" t="s">
        <v>84</v>
      </c>
      <c r="B372" s="14" t="s">
        <v>85</v>
      </c>
      <c r="C372" s="14">
        <v>23</v>
      </c>
      <c r="D372" s="15">
        <v>57</v>
      </c>
      <c r="E372" s="14" t="s">
        <v>21</v>
      </c>
      <c r="F372" s="14" t="s">
        <v>22</v>
      </c>
      <c r="G372" s="16">
        <v>0</v>
      </c>
      <c r="H372" s="17">
        <v>0</v>
      </c>
      <c r="I372" s="16">
        <v>0</v>
      </c>
      <c r="J372" s="17">
        <v>4550355</v>
      </c>
      <c r="K372" s="17">
        <v>0</v>
      </c>
      <c r="L372" s="16">
        <v>4550355</v>
      </c>
      <c r="M372" s="18">
        <v>-4550355</v>
      </c>
    </row>
    <row r="373" spans="1:13">
      <c r="A373" s="10" t="s">
        <v>84</v>
      </c>
      <c r="B373" s="10" t="s">
        <v>85</v>
      </c>
      <c r="C373" s="10">
        <v>23</v>
      </c>
      <c r="D373" s="11">
        <v>58</v>
      </c>
      <c r="E373" s="10" t="s">
        <v>23</v>
      </c>
      <c r="F373" s="10" t="s">
        <v>24</v>
      </c>
      <c r="G373" s="4">
        <v>45686035</v>
      </c>
      <c r="H373" s="12">
        <v>0</v>
      </c>
      <c r="I373" s="4">
        <v>45686035</v>
      </c>
      <c r="J373" s="12">
        <v>69525869</v>
      </c>
      <c r="K373" s="12">
        <v>0</v>
      </c>
      <c r="L373" s="4">
        <v>69525869</v>
      </c>
      <c r="M373" s="13">
        <v>-23839834</v>
      </c>
    </row>
    <row r="374" spans="1:13">
      <c r="A374" s="14" t="s">
        <v>86</v>
      </c>
      <c r="B374" s="14" t="s">
        <v>85</v>
      </c>
      <c r="C374" s="14">
        <v>24</v>
      </c>
      <c r="D374" s="15">
        <v>28</v>
      </c>
      <c r="E374" s="14" t="s">
        <v>18</v>
      </c>
      <c r="F374" s="14" t="s">
        <v>19</v>
      </c>
      <c r="G374" s="16">
        <v>0</v>
      </c>
      <c r="H374" s="17">
        <v>0</v>
      </c>
      <c r="I374" s="16">
        <v>0</v>
      </c>
      <c r="J374" s="17">
        <v>10000000</v>
      </c>
      <c r="K374" s="17">
        <v>0</v>
      </c>
      <c r="L374" s="16">
        <v>10000000</v>
      </c>
      <c r="M374" s="18">
        <v>-10000000</v>
      </c>
    </row>
    <row r="375" spans="1:13">
      <c r="A375" s="10" t="s">
        <v>86</v>
      </c>
      <c r="B375" s="10" t="s">
        <v>85</v>
      </c>
      <c r="C375" s="10">
        <v>24</v>
      </c>
      <c r="D375" s="11">
        <v>39</v>
      </c>
      <c r="E375" s="10" t="s">
        <v>54</v>
      </c>
      <c r="F375" s="10" t="s">
        <v>19</v>
      </c>
      <c r="G375" s="4">
        <v>0</v>
      </c>
      <c r="H375" s="12">
        <v>0</v>
      </c>
      <c r="I375" s="4">
        <v>0</v>
      </c>
      <c r="J375" s="12">
        <v>5000000</v>
      </c>
      <c r="K375" s="12">
        <v>0</v>
      </c>
      <c r="L375" s="4">
        <v>5000000</v>
      </c>
      <c r="M375" s="13">
        <v>-5000000</v>
      </c>
    </row>
    <row r="376" spans="1:13">
      <c r="A376" s="14" t="s">
        <v>86</v>
      </c>
      <c r="B376" s="14" t="s">
        <v>85</v>
      </c>
      <c r="C376" s="14">
        <v>24</v>
      </c>
      <c r="D376" s="15">
        <v>43</v>
      </c>
      <c r="E376" s="14" t="s">
        <v>36</v>
      </c>
      <c r="F376" s="14" t="s">
        <v>37</v>
      </c>
      <c r="G376" s="16">
        <v>0</v>
      </c>
      <c r="H376" s="17">
        <v>0</v>
      </c>
      <c r="I376" s="16">
        <v>0</v>
      </c>
      <c r="J376" s="17">
        <v>4764584</v>
      </c>
      <c r="K376" s="17">
        <v>0</v>
      </c>
      <c r="L376" s="16">
        <v>4764584</v>
      </c>
      <c r="M376" s="18">
        <v>0</v>
      </c>
    </row>
    <row r="377" spans="1:13">
      <c r="A377" s="10" t="s">
        <v>86</v>
      </c>
      <c r="B377" s="10" t="s">
        <v>85</v>
      </c>
      <c r="C377" s="10">
        <v>24</v>
      </c>
      <c r="D377" s="11">
        <v>44</v>
      </c>
      <c r="E377" s="10" t="s">
        <v>38</v>
      </c>
      <c r="F377" s="10" t="s">
        <v>37</v>
      </c>
      <c r="G377" s="4">
        <v>0</v>
      </c>
      <c r="H377" s="12">
        <v>0</v>
      </c>
      <c r="I377" s="4">
        <v>0</v>
      </c>
      <c r="J377" s="12">
        <v>194351</v>
      </c>
      <c r="K377" s="12">
        <v>0</v>
      </c>
      <c r="L377" s="4">
        <v>194351</v>
      </c>
      <c r="M377" s="13">
        <v>0</v>
      </c>
    </row>
    <row r="378" spans="1:13">
      <c r="A378" s="14" t="s">
        <v>86</v>
      </c>
      <c r="B378" s="14" t="s">
        <v>85</v>
      </c>
      <c r="C378" s="14">
        <v>24</v>
      </c>
      <c r="D378" s="15">
        <v>45</v>
      </c>
      <c r="E378" s="14" t="s">
        <v>39</v>
      </c>
      <c r="F378" s="14" t="s">
        <v>37</v>
      </c>
      <c r="G378" s="16">
        <v>0</v>
      </c>
      <c r="H378" s="17">
        <v>0</v>
      </c>
      <c r="I378" s="16">
        <v>0</v>
      </c>
      <c r="J378" s="17">
        <v>242938</v>
      </c>
      <c r="K378" s="17">
        <v>0</v>
      </c>
      <c r="L378" s="16">
        <v>242938</v>
      </c>
      <c r="M378" s="18">
        <v>0</v>
      </c>
    </row>
    <row r="379" spans="1:13">
      <c r="A379" s="10" t="s">
        <v>86</v>
      </c>
      <c r="B379" s="10" t="s">
        <v>85</v>
      </c>
      <c r="C379" s="10">
        <v>24</v>
      </c>
      <c r="D379" s="11">
        <v>46</v>
      </c>
      <c r="E379" s="10" t="s">
        <v>40</v>
      </c>
      <c r="F379" s="10" t="s">
        <v>37</v>
      </c>
      <c r="G379" s="4">
        <v>0</v>
      </c>
      <c r="H379" s="12">
        <v>0</v>
      </c>
      <c r="I379" s="4">
        <v>0</v>
      </c>
      <c r="J379" s="12">
        <v>1612353</v>
      </c>
      <c r="K379" s="12">
        <v>0</v>
      </c>
      <c r="L379" s="4">
        <v>1612353</v>
      </c>
      <c r="M379" s="13">
        <v>-8142420</v>
      </c>
    </row>
    <row r="380" spans="1:13">
      <c r="A380" s="14" t="s">
        <v>86</v>
      </c>
      <c r="B380" s="14" t="s">
        <v>85</v>
      </c>
      <c r="C380" s="14">
        <v>24</v>
      </c>
      <c r="D380" s="15">
        <v>47</v>
      </c>
      <c r="E380" s="14" t="s">
        <v>41</v>
      </c>
      <c r="F380" s="14" t="s">
        <v>37</v>
      </c>
      <c r="G380" s="16">
        <v>0</v>
      </c>
      <c r="H380" s="17">
        <v>0</v>
      </c>
      <c r="I380" s="16">
        <v>0</v>
      </c>
      <c r="J380" s="17">
        <v>121469</v>
      </c>
      <c r="K380" s="17">
        <v>0</v>
      </c>
      <c r="L380" s="16">
        <v>121469</v>
      </c>
      <c r="M380" s="18">
        <v>0</v>
      </c>
    </row>
    <row r="381" spans="1:13">
      <c r="A381" s="10" t="s">
        <v>86</v>
      </c>
      <c r="B381" s="10" t="s">
        <v>85</v>
      </c>
      <c r="C381" s="10">
        <v>24</v>
      </c>
      <c r="D381" s="11">
        <v>48</v>
      </c>
      <c r="E381" s="10" t="s">
        <v>42</v>
      </c>
      <c r="F381" s="10" t="s">
        <v>37</v>
      </c>
      <c r="G381" s="4">
        <v>0</v>
      </c>
      <c r="H381" s="12">
        <v>0</v>
      </c>
      <c r="I381" s="4">
        <v>0</v>
      </c>
      <c r="J381" s="12">
        <v>66191</v>
      </c>
      <c r="K381" s="12">
        <v>0</v>
      </c>
      <c r="L381" s="4">
        <v>66191</v>
      </c>
      <c r="M381" s="13">
        <v>0</v>
      </c>
    </row>
    <row r="382" spans="1:13">
      <c r="A382" s="14" t="s">
        <v>86</v>
      </c>
      <c r="B382" s="14" t="s">
        <v>85</v>
      </c>
      <c r="C382" s="14">
        <v>24</v>
      </c>
      <c r="D382" s="15">
        <v>49</v>
      </c>
      <c r="E382" s="14" t="s">
        <v>55</v>
      </c>
      <c r="F382" s="14" t="s">
        <v>37</v>
      </c>
      <c r="G382" s="16">
        <v>0</v>
      </c>
      <c r="H382" s="17">
        <v>0</v>
      </c>
      <c r="I382" s="16">
        <v>0</v>
      </c>
      <c r="J382" s="17">
        <v>150242</v>
      </c>
      <c r="K382" s="17">
        <v>0</v>
      </c>
      <c r="L382" s="16">
        <v>150242</v>
      </c>
      <c r="M382" s="18">
        <v>0</v>
      </c>
    </row>
    <row r="383" spans="1:13">
      <c r="A383" s="10" t="s">
        <v>86</v>
      </c>
      <c r="B383" s="10" t="s">
        <v>85</v>
      </c>
      <c r="C383" s="10">
        <v>24</v>
      </c>
      <c r="D383" s="11">
        <v>50</v>
      </c>
      <c r="E383" s="10" t="s">
        <v>43</v>
      </c>
      <c r="F383" s="10" t="s">
        <v>37</v>
      </c>
      <c r="G383" s="4">
        <v>0</v>
      </c>
      <c r="H383" s="12">
        <v>0</v>
      </c>
      <c r="I383" s="4">
        <v>0</v>
      </c>
      <c r="J383" s="12">
        <v>485876</v>
      </c>
      <c r="K383" s="12">
        <v>0</v>
      </c>
      <c r="L383" s="4">
        <v>485876</v>
      </c>
      <c r="M383" s="13">
        <v>0</v>
      </c>
    </row>
    <row r="384" spans="1:13">
      <c r="A384" s="14" t="s">
        <v>86</v>
      </c>
      <c r="B384" s="14" t="s">
        <v>85</v>
      </c>
      <c r="C384" s="14">
        <v>24</v>
      </c>
      <c r="D384" s="15">
        <v>51</v>
      </c>
      <c r="E384" s="14" t="s">
        <v>56</v>
      </c>
      <c r="F384" s="14" t="s">
        <v>37</v>
      </c>
      <c r="G384" s="16">
        <v>0</v>
      </c>
      <c r="H384" s="17">
        <v>0</v>
      </c>
      <c r="I384" s="16">
        <v>0</v>
      </c>
      <c r="J384" s="17">
        <v>504416</v>
      </c>
      <c r="K384" s="17">
        <v>0</v>
      </c>
      <c r="L384" s="16">
        <v>504416</v>
      </c>
      <c r="M384" s="18">
        <v>0</v>
      </c>
    </row>
    <row r="385" spans="1:13">
      <c r="A385" s="10" t="s">
        <v>87</v>
      </c>
      <c r="B385" s="10" t="s">
        <v>85</v>
      </c>
      <c r="C385" s="10">
        <v>25</v>
      </c>
      <c r="D385" s="11">
        <v>10</v>
      </c>
      <c r="E385" s="10" t="s">
        <v>88</v>
      </c>
      <c r="F385" s="10" t="s">
        <v>89</v>
      </c>
      <c r="G385" s="4">
        <v>213290180</v>
      </c>
      <c r="H385" s="12">
        <v>0</v>
      </c>
      <c r="I385" s="4">
        <v>213290180</v>
      </c>
      <c r="J385" s="12">
        <v>0</v>
      </c>
      <c r="K385" s="12">
        <v>0</v>
      </c>
      <c r="L385" s="4">
        <v>0</v>
      </c>
      <c r="M385" s="13">
        <v>213290180</v>
      </c>
    </row>
    <row r="386" spans="1:13">
      <c r="A386" s="14" t="s">
        <v>87</v>
      </c>
      <c r="B386" s="14" t="s">
        <v>85</v>
      </c>
      <c r="C386" s="14">
        <v>25</v>
      </c>
      <c r="D386" s="15">
        <v>28</v>
      </c>
      <c r="E386" s="14" t="s">
        <v>18</v>
      </c>
      <c r="F386" s="14" t="s">
        <v>19</v>
      </c>
      <c r="G386" s="16">
        <v>433670597</v>
      </c>
      <c r="H386" s="17">
        <v>0</v>
      </c>
      <c r="I386" s="16">
        <v>433670597</v>
      </c>
      <c r="J386" s="17">
        <v>173336427</v>
      </c>
      <c r="K386" s="17">
        <v>0</v>
      </c>
      <c r="L386" s="16">
        <v>173336427</v>
      </c>
      <c r="M386" s="18">
        <v>260334170</v>
      </c>
    </row>
    <row r="387" spans="1:13">
      <c r="A387" s="10" t="s">
        <v>87</v>
      </c>
      <c r="B387" s="10" t="s">
        <v>85</v>
      </c>
      <c r="C387" s="10">
        <v>25</v>
      </c>
      <c r="D387" s="11">
        <v>32</v>
      </c>
      <c r="E387" s="10" t="s">
        <v>53</v>
      </c>
      <c r="F387" s="10" t="s">
        <v>19</v>
      </c>
      <c r="G387" s="4">
        <v>117641468</v>
      </c>
      <c r="H387" s="12">
        <v>0</v>
      </c>
      <c r="I387" s="4">
        <v>117641468</v>
      </c>
      <c r="J387" s="12">
        <v>6885647</v>
      </c>
      <c r="K387" s="12">
        <v>0</v>
      </c>
      <c r="L387" s="4">
        <v>6885647</v>
      </c>
      <c r="M387" s="13">
        <v>110755821</v>
      </c>
    </row>
    <row r="388" spans="1:13">
      <c r="A388" s="14" t="s">
        <v>87</v>
      </c>
      <c r="B388" s="14" t="s">
        <v>85</v>
      </c>
      <c r="C388" s="14">
        <v>25</v>
      </c>
      <c r="D388" s="15">
        <v>34</v>
      </c>
      <c r="E388" s="14" t="s">
        <v>20</v>
      </c>
      <c r="F388" s="14" t="s">
        <v>19</v>
      </c>
      <c r="G388" s="16">
        <v>635000</v>
      </c>
      <c r="H388" s="17">
        <v>0</v>
      </c>
      <c r="I388" s="16">
        <v>635000</v>
      </c>
      <c r="J388" s="17">
        <v>0</v>
      </c>
      <c r="K388" s="17">
        <v>0</v>
      </c>
      <c r="L388" s="16">
        <v>0</v>
      </c>
      <c r="M388" s="18">
        <v>635000</v>
      </c>
    </row>
    <row r="389" spans="1:13">
      <c r="A389" s="10" t="s">
        <v>87</v>
      </c>
      <c r="B389" s="10" t="s">
        <v>85</v>
      </c>
      <c r="C389" s="10">
        <v>25</v>
      </c>
      <c r="D389" s="11">
        <v>43</v>
      </c>
      <c r="E389" s="10" t="s">
        <v>36</v>
      </c>
      <c r="F389" s="10" t="s">
        <v>37</v>
      </c>
      <c r="G389" s="4">
        <v>0</v>
      </c>
      <c r="H389" s="12">
        <v>0</v>
      </c>
      <c r="I389" s="4">
        <v>0</v>
      </c>
      <c r="J389" s="12">
        <v>232955</v>
      </c>
      <c r="K389" s="12">
        <v>0</v>
      </c>
      <c r="L389" s="4">
        <v>232955</v>
      </c>
      <c r="M389" s="13">
        <v>0</v>
      </c>
    </row>
    <row r="390" spans="1:13">
      <c r="A390" s="14" t="s">
        <v>87</v>
      </c>
      <c r="B390" s="14" t="s">
        <v>85</v>
      </c>
      <c r="C390" s="14">
        <v>25</v>
      </c>
      <c r="D390" s="15">
        <v>44</v>
      </c>
      <c r="E390" s="14" t="s">
        <v>38</v>
      </c>
      <c r="F390" s="14" t="s">
        <v>37</v>
      </c>
      <c r="G390" s="16">
        <v>0</v>
      </c>
      <c r="H390" s="17">
        <v>0</v>
      </c>
      <c r="I390" s="16">
        <v>0</v>
      </c>
      <c r="J390" s="17">
        <v>9768</v>
      </c>
      <c r="K390" s="17">
        <v>0</v>
      </c>
      <c r="L390" s="16">
        <v>9768</v>
      </c>
      <c r="M390" s="18">
        <v>0</v>
      </c>
    </row>
    <row r="391" spans="1:13">
      <c r="A391" s="10" t="s">
        <v>87</v>
      </c>
      <c r="B391" s="10" t="s">
        <v>85</v>
      </c>
      <c r="C391" s="10">
        <v>25</v>
      </c>
      <c r="D391" s="11">
        <v>45</v>
      </c>
      <c r="E391" s="10" t="s">
        <v>39</v>
      </c>
      <c r="F391" s="10" t="s">
        <v>37</v>
      </c>
      <c r="G391" s="4">
        <v>0</v>
      </c>
      <c r="H391" s="12">
        <v>0</v>
      </c>
      <c r="I391" s="4">
        <v>0</v>
      </c>
      <c r="J391" s="12">
        <v>12209</v>
      </c>
      <c r="K391" s="12">
        <v>0</v>
      </c>
      <c r="L391" s="4">
        <v>12209</v>
      </c>
      <c r="M391" s="13">
        <v>0</v>
      </c>
    </row>
    <row r="392" spans="1:13">
      <c r="A392" s="14" t="s">
        <v>87</v>
      </c>
      <c r="B392" s="14" t="s">
        <v>85</v>
      </c>
      <c r="C392" s="14">
        <v>25</v>
      </c>
      <c r="D392" s="15">
        <v>46</v>
      </c>
      <c r="E392" s="14" t="s">
        <v>40</v>
      </c>
      <c r="F392" s="14" t="s">
        <v>37</v>
      </c>
      <c r="G392" s="16">
        <v>0</v>
      </c>
      <c r="H392" s="17">
        <v>0</v>
      </c>
      <c r="I392" s="16">
        <v>0</v>
      </c>
      <c r="J392" s="17">
        <v>61047</v>
      </c>
      <c r="K392" s="17">
        <v>0</v>
      </c>
      <c r="L392" s="16">
        <v>61047</v>
      </c>
      <c r="M392" s="18">
        <v>-346503</v>
      </c>
    </row>
    <row r="393" spans="1:13">
      <c r="A393" s="10" t="s">
        <v>87</v>
      </c>
      <c r="B393" s="10" t="s">
        <v>85</v>
      </c>
      <c r="C393" s="10">
        <v>25</v>
      </c>
      <c r="D393" s="11">
        <v>47</v>
      </c>
      <c r="E393" s="10" t="s">
        <v>41</v>
      </c>
      <c r="F393" s="10" t="s">
        <v>37</v>
      </c>
      <c r="G393" s="4">
        <v>0</v>
      </c>
      <c r="H393" s="12">
        <v>0</v>
      </c>
      <c r="I393" s="4">
        <v>0</v>
      </c>
      <c r="J393" s="12">
        <v>6105</v>
      </c>
      <c r="K393" s="12">
        <v>0</v>
      </c>
      <c r="L393" s="4">
        <v>6105</v>
      </c>
      <c r="M393" s="13">
        <v>0</v>
      </c>
    </row>
    <row r="394" spans="1:13">
      <c r="A394" s="14" t="s">
        <v>87</v>
      </c>
      <c r="B394" s="14" t="s">
        <v>85</v>
      </c>
      <c r="C394" s="14">
        <v>25</v>
      </c>
      <c r="D394" s="15">
        <v>50</v>
      </c>
      <c r="E394" s="14" t="s">
        <v>43</v>
      </c>
      <c r="F394" s="14" t="s">
        <v>37</v>
      </c>
      <c r="G394" s="16">
        <v>0</v>
      </c>
      <c r="H394" s="17">
        <v>0</v>
      </c>
      <c r="I394" s="16">
        <v>0</v>
      </c>
      <c r="J394" s="17">
        <v>24419</v>
      </c>
      <c r="K394" s="17">
        <v>0</v>
      </c>
      <c r="L394" s="16">
        <v>24419</v>
      </c>
      <c r="M394" s="18">
        <v>0</v>
      </c>
    </row>
    <row r="395" spans="1:13">
      <c r="A395" s="10" t="s">
        <v>87</v>
      </c>
      <c r="B395" s="10" t="s">
        <v>85</v>
      </c>
      <c r="C395" s="10">
        <v>25</v>
      </c>
      <c r="D395" s="11">
        <v>57</v>
      </c>
      <c r="E395" s="10" t="s">
        <v>21</v>
      </c>
      <c r="F395" s="10" t="s">
        <v>22</v>
      </c>
      <c r="G395" s="4">
        <v>1037988</v>
      </c>
      <c r="H395" s="12">
        <v>0</v>
      </c>
      <c r="I395" s="4">
        <v>1037988</v>
      </c>
      <c r="J395" s="12">
        <v>930468</v>
      </c>
      <c r="K395" s="12">
        <v>0</v>
      </c>
      <c r="L395" s="4">
        <v>930468</v>
      </c>
      <c r="M395" s="13">
        <v>107520</v>
      </c>
    </row>
    <row r="396" spans="1:13">
      <c r="A396" s="14" t="s">
        <v>87</v>
      </c>
      <c r="B396" s="14" t="s">
        <v>85</v>
      </c>
      <c r="C396" s="14">
        <v>25</v>
      </c>
      <c r="D396" s="15">
        <v>58</v>
      </c>
      <c r="E396" s="14" t="s">
        <v>23</v>
      </c>
      <c r="F396" s="14" t="s">
        <v>24</v>
      </c>
      <c r="G396" s="16">
        <v>10367000</v>
      </c>
      <c r="H396" s="17">
        <v>0</v>
      </c>
      <c r="I396" s="16">
        <v>10367000</v>
      </c>
      <c r="J396" s="17">
        <v>8111616</v>
      </c>
      <c r="K396" s="17">
        <v>0</v>
      </c>
      <c r="L396" s="16">
        <v>8111616</v>
      </c>
      <c r="M396" s="18">
        <v>2255384</v>
      </c>
    </row>
    <row r="397" spans="1:13">
      <c r="A397" s="10" t="s">
        <v>90</v>
      </c>
      <c r="B397" s="10" t="s">
        <v>17</v>
      </c>
      <c r="C397" s="10">
        <v>26</v>
      </c>
      <c r="D397" s="11">
        <v>7</v>
      </c>
      <c r="E397" s="10" t="s">
        <v>28</v>
      </c>
      <c r="F397" s="10" t="s">
        <v>27</v>
      </c>
      <c r="G397" s="4">
        <v>427200</v>
      </c>
      <c r="H397" s="12">
        <v>0</v>
      </c>
      <c r="I397" s="4">
        <v>427200</v>
      </c>
      <c r="J397" s="12">
        <v>1872400</v>
      </c>
      <c r="K397" s="12">
        <v>0</v>
      </c>
      <c r="L397" s="4">
        <v>1872400</v>
      </c>
      <c r="M397" s="13">
        <v>-1445200</v>
      </c>
    </row>
    <row r="398" spans="1:13">
      <c r="A398" s="14" t="s">
        <v>90</v>
      </c>
      <c r="B398" s="14" t="s">
        <v>17</v>
      </c>
      <c r="C398" s="14">
        <v>26</v>
      </c>
      <c r="D398" s="15">
        <v>28</v>
      </c>
      <c r="E398" s="14" t="s">
        <v>18</v>
      </c>
      <c r="F398" s="14" t="s">
        <v>19</v>
      </c>
      <c r="G398" s="16">
        <v>342959317</v>
      </c>
      <c r="H398" s="17">
        <v>0</v>
      </c>
      <c r="I398" s="16">
        <v>342959317</v>
      </c>
      <c r="J398" s="17">
        <v>347136163</v>
      </c>
      <c r="K398" s="17">
        <v>0</v>
      </c>
      <c r="L398" s="16">
        <v>347136163</v>
      </c>
      <c r="M398" s="18">
        <v>-4176846</v>
      </c>
    </row>
    <row r="399" spans="1:13">
      <c r="A399" s="10" t="s">
        <v>90</v>
      </c>
      <c r="B399" s="10" t="s">
        <v>17</v>
      </c>
      <c r="C399" s="10">
        <v>26</v>
      </c>
      <c r="D399" s="11">
        <v>32</v>
      </c>
      <c r="E399" s="10" t="s">
        <v>53</v>
      </c>
      <c r="F399" s="10" t="s">
        <v>19</v>
      </c>
      <c r="G399" s="4">
        <v>102667327</v>
      </c>
      <c r="H399" s="12">
        <v>0</v>
      </c>
      <c r="I399" s="4">
        <v>102667327</v>
      </c>
      <c r="J399" s="12">
        <v>105420198</v>
      </c>
      <c r="K399" s="12">
        <v>0</v>
      </c>
      <c r="L399" s="4">
        <v>105420198</v>
      </c>
      <c r="M399" s="13">
        <v>-2752871</v>
      </c>
    </row>
    <row r="400" spans="1:13">
      <c r="A400" s="14" t="s">
        <v>90</v>
      </c>
      <c r="B400" s="14" t="s">
        <v>17</v>
      </c>
      <c r="C400" s="14">
        <v>26</v>
      </c>
      <c r="D400" s="15">
        <v>34</v>
      </c>
      <c r="E400" s="14" t="s">
        <v>20</v>
      </c>
      <c r="F400" s="14" t="s">
        <v>19</v>
      </c>
      <c r="G400" s="16">
        <v>6377719</v>
      </c>
      <c r="H400" s="17">
        <v>0</v>
      </c>
      <c r="I400" s="16">
        <v>6377719</v>
      </c>
      <c r="J400" s="17">
        <v>6921850</v>
      </c>
      <c r="K400" s="17">
        <v>0</v>
      </c>
      <c r="L400" s="16">
        <v>6921850</v>
      </c>
      <c r="M400" s="18">
        <v>-544131</v>
      </c>
    </row>
    <row r="401" spans="1:13">
      <c r="A401" s="10" t="s">
        <v>90</v>
      </c>
      <c r="B401" s="10" t="s">
        <v>17</v>
      </c>
      <c r="C401" s="10">
        <v>26</v>
      </c>
      <c r="D401" s="11">
        <v>55</v>
      </c>
      <c r="E401" s="10" t="s">
        <v>74</v>
      </c>
      <c r="F401" s="10" t="s">
        <v>58</v>
      </c>
      <c r="G401" s="4">
        <v>8056125</v>
      </c>
      <c r="H401" s="12">
        <v>0</v>
      </c>
      <c r="I401" s="4">
        <v>8056125</v>
      </c>
      <c r="J401" s="12">
        <v>0</v>
      </c>
      <c r="K401" s="12">
        <v>0</v>
      </c>
      <c r="L401" s="4">
        <v>0</v>
      </c>
      <c r="M401" s="13">
        <v>8056125</v>
      </c>
    </row>
    <row r="402" spans="1:13">
      <c r="A402" s="14" t="s">
        <v>90</v>
      </c>
      <c r="B402" s="14" t="s">
        <v>17</v>
      </c>
      <c r="C402" s="14">
        <v>26</v>
      </c>
      <c r="D402" s="15">
        <v>57</v>
      </c>
      <c r="E402" s="14" t="s">
        <v>21</v>
      </c>
      <c r="F402" s="14" t="s">
        <v>22</v>
      </c>
      <c r="G402" s="16">
        <v>43662593</v>
      </c>
      <c r="H402" s="17">
        <v>0</v>
      </c>
      <c r="I402" s="16">
        <v>43662593</v>
      </c>
      <c r="J402" s="17">
        <v>0</v>
      </c>
      <c r="K402" s="17">
        <v>0</v>
      </c>
      <c r="L402" s="16">
        <v>0</v>
      </c>
      <c r="M402" s="18">
        <v>43662593</v>
      </c>
    </row>
    <row r="403" spans="1:13">
      <c r="A403" s="10" t="s">
        <v>91</v>
      </c>
      <c r="B403" s="10" t="s">
        <v>85</v>
      </c>
      <c r="C403" s="10">
        <v>27</v>
      </c>
      <c r="D403" s="11">
        <v>10</v>
      </c>
      <c r="E403" s="10" t="s">
        <v>88</v>
      </c>
      <c r="F403" s="10" t="s">
        <v>89</v>
      </c>
      <c r="G403" s="4">
        <v>1526875000</v>
      </c>
      <c r="H403" s="12">
        <v>0</v>
      </c>
      <c r="I403" s="4">
        <v>1526875000</v>
      </c>
      <c r="J403" s="12">
        <v>0</v>
      </c>
      <c r="K403" s="12">
        <v>0</v>
      </c>
      <c r="L403" s="4">
        <v>0</v>
      </c>
      <c r="M403" s="13">
        <v>1526875000</v>
      </c>
    </row>
    <row r="404" spans="1:13">
      <c r="A404" s="14" t="s">
        <v>91</v>
      </c>
      <c r="B404" s="14" t="s">
        <v>85</v>
      </c>
      <c r="C404" s="14">
        <v>27</v>
      </c>
      <c r="D404" s="15">
        <v>13</v>
      </c>
      <c r="E404" s="14" t="s">
        <v>92</v>
      </c>
      <c r="F404" s="14" t="s">
        <v>89</v>
      </c>
      <c r="G404" s="16">
        <v>93792878</v>
      </c>
      <c r="H404" s="17">
        <v>0</v>
      </c>
      <c r="I404" s="16">
        <v>93792878</v>
      </c>
      <c r="J404" s="17">
        <v>0</v>
      </c>
      <c r="K404" s="17">
        <v>0</v>
      </c>
      <c r="L404" s="16">
        <v>0</v>
      </c>
      <c r="M404" s="18">
        <v>93792878</v>
      </c>
    </row>
    <row r="405" spans="1:13">
      <c r="A405" s="10" t="s">
        <v>91</v>
      </c>
      <c r="B405" s="10" t="s">
        <v>85</v>
      </c>
      <c r="C405" s="10">
        <v>27</v>
      </c>
      <c r="D405" s="11">
        <v>27</v>
      </c>
      <c r="E405" s="10" t="s">
        <v>32</v>
      </c>
      <c r="F405" s="10" t="s">
        <v>19</v>
      </c>
      <c r="G405" s="4">
        <v>0</v>
      </c>
      <c r="H405" s="12">
        <v>0</v>
      </c>
      <c r="I405" s="4">
        <v>0</v>
      </c>
      <c r="J405" s="12">
        <v>400000</v>
      </c>
      <c r="K405" s="12">
        <v>0</v>
      </c>
      <c r="L405" s="4">
        <v>400000</v>
      </c>
      <c r="M405" s="13">
        <v>-400000</v>
      </c>
    </row>
    <row r="406" spans="1:13">
      <c r="A406" s="14" t="s">
        <v>91</v>
      </c>
      <c r="B406" s="14" t="s">
        <v>85</v>
      </c>
      <c r="C406" s="14">
        <v>27</v>
      </c>
      <c r="D406" s="15">
        <v>28</v>
      </c>
      <c r="E406" s="14" t="s">
        <v>18</v>
      </c>
      <c r="F406" s="14" t="s">
        <v>19</v>
      </c>
      <c r="G406" s="16">
        <v>0</v>
      </c>
      <c r="H406" s="17">
        <v>0</v>
      </c>
      <c r="I406" s="16">
        <v>0</v>
      </c>
      <c r="J406" s="17">
        <v>400000</v>
      </c>
      <c r="K406" s="17">
        <v>0</v>
      </c>
      <c r="L406" s="16">
        <v>400000</v>
      </c>
      <c r="M406" s="18">
        <v>-400000</v>
      </c>
    </row>
    <row r="407" spans="1:13">
      <c r="A407" s="10" t="s">
        <v>91</v>
      </c>
      <c r="B407" s="10" t="s">
        <v>85</v>
      </c>
      <c r="C407" s="10">
        <v>27</v>
      </c>
      <c r="D407" s="11">
        <v>29</v>
      </c>
      <c r="E407" s="10" t="s">
        <v>50</v>
      </c>
      <c r="F407" s="10" t="s">
        <v>19</v>
      </c>
      <c r="G407" s="4">
        <v>0</v>
      </c>
      <c r="H407" s="12">
        <v>0</v>
      </c>
      <c r="I407" s="4">
        <v>0</v>
      </c>
      <c r="J407" s="12">
        <v>600000</v>
      </c>
      <c r="K407" s="12">
        <v>0</v>
      </c>
      <c r="L407" s="4">
        <v>600000</v>
      </c>
      <c r="M407" s="13">
        <v>-600000</v>
      </c>
    </row>
    <row r="408" spans="1:13">
      <c r="A408" s="14" t="s">
        <v>93</v>
      </c>
      <c r="B408" s="14" t="s">
        <v>85</v>
      </c>
      <c r="C408" s="14">
        <v>28</v>
      </c>
      <c r="D408" s="15">
        <v>10</v>
      </c>
      <c r="E408" s="14" t="s">
        <v>88</v>
      </c>
      <c r="F408" s="14" t="s">
        <v>89</v>
      </c>
      <c r="G408" s="16">
        <v>183966000</v>
      </c>
      <c r="H408" s="17">
        <v>0</v>
      </c>
      <c r="I408" s="16">
        <v>183966000</v>
      </c>
      <c r="J408" s="17">
        <v>0</v>
      </c>
      <c r="K408" s="17">
        <v>0</v>
      </c>
      <c r="L408" s="16">
        <v>0</v>
      </c>
      <c r="M408" s="18">
        <v>183966000</v>
      </c>
    </row>
    <row r="409" spans="1:13">
      <c r="A409" s="10" t="s">
        <v>93</v>
      </c>
      <c r="B409" s="10" t="s">
        <v>85</v>
      </c>
      <c r="C409" s="10">
        <v>28</v>
      </c>
      <c r="D409" s="11">
        <v>28</v>
      </c>
      <c r="E409" s="10" t="s">
        <v>18</v>
      </c>
      <c r="F409" s="10" t="s">
        <v>19</v>
      </c>
      <c r="G409" s="4">
        <v>13875927029</v>
      </c>
      <c r="H409" s="12">
        <v>0</v>
      </c>
      <c r="I409" s="4">
        <v>13875927029</v>
      </c>
      <c r="J409" s="12">
        <v>13875927029</v>
      </c>
      <c r="K409" s="12">
        <v>0</v>
      </c>
      <c r="L409" s="4">
        <v>13875927029</v>
      </c>
      <c r="M409" s="13">
        <v>0</v>
      </c>
    </row>
    <row r="410" spans="1:13">
      <c r="A410" s="14" t="s">
        <v>93</v>
      </c>
      <c r="B410" s="14" t="s">
        <v>85</v>
      </c>
      <c r="C410" s="14">
        <v>28</v>
      </c>
      <c r="D410" s="15">
        <v>30</v>
      </c>
      <c r="E410" s="14" t="s">
        <v>51</v>
      </c>
      <c r="F410" s="14" t="s">
        <v>19</v>
      </c>
      <c r="G410" s="16">
        <v>5016913339</v>
      </c>
      <c r="H410" s="17">
        <v>0</v>
      </c>
      <c r="I410" s="16">
        <v>5016913339</v>
      </c>
      <c r="J410" s="17">
        <v>5016913339</v>
      </c>
      <c r="K410" s="17">
        <v>0</v>
      </c>
      <c r="L410" s="16">
        <v>5016913339</v>
      </c>
      <c r="M410" s="18">
        <v>0</v>
      </c>
    </row>
    <row r="411" spans="1:13">
      <c r="A411" s="10" t="s">
        <v>93</v>
      </c>
      <c r="B411" s="10" t="s">
        <v>85</v>
      </c>
      <c r="C411" s="10">
        <v>28</v>
      </c>
      <c r="D411" s="11">
        <v>32</v>
      </c>
      <c r="E411" s="10" t="s">
        <v>53</v>
      </c>
      <c r="F411" s="10" t="s">
        <v>19</v>
      </c>
      <c r="G411" s="4">
        <v>58667859</v>
      </c>
      <c r="H411" s="12">
        <v>0</v>
      </c>
      <c r="I411" s="4">
        <v>58667859</v>
      </c>
      <c r="J411" s="12">
        <v>58242673</v>
      </c>
      <c r="K411" s="12">
        <v>0</v>
      </c>
      <c r="L411" s="4">
        <v>58242673</v>
      </c>
      <c r="M411" s="13">
        <v>425186</v>
      </c>
    </row>
    <row r="412" spans="1:13">
      <c r="A412" s="14" t="s">
        <v>93</v>
      </c>
      <c r="B412" s="14" t="s">
        <v>85</v>
      </c>
      <c r="C412" s="14">
        <v>28</v>
      </c>
      <c r="D412" s="15">
        <v>34</v>
      </c>
      <c r="E412" s="14" t="s">
        <v>20</v>
      </c>
      <c r="F412" s="14" t="s">
        <v>19</v>
      </c>
      <c r="G412" s="16">
        <v>27965530</v>
      </c>
      <c r="H412" s="17">
        <v>0</v>
      </c>
      <c r="I412" s="16">
        <v>27965530</v>
      </c>
      <c r="J412" s="17">
        <v>27965530</v>
      </c>
      <c r="K412" s="17">
        <v>0</v>
      </c>
      <c r="L412" s="16">
        <v>27965530</v>
      </c>
      <c r="M412" s="18">
        <v>0</v>
      </c>
    </row>
    <row r="413" spans="1:13">
      <c r="A413" s="10" t="s">
        <v>93</v>
      </c>
      <c r="B413" s="10" t="s">
        <v>85</v>
      </c>
      <c r="C413" s="10">
        <v>28</v>
      </c>
      <c r="D413" s="11">
        <v>43</v>
      </c>
      <c r="E413" s="10" t="s">
        <v>36</v>
      </c>
      <c r="F413" s="10" t="s">
        <v>37</v>
      </c>
      <c r="G413" s="4">
        <v>0</v>
      </c>
      <c r="H413" s="12">
        <v>0</v>
      </c>
      <c r="I413" s="4">
        <v>0</v>
      </c>
      <c r="J413" s="12">
        <v>31933994</v>
      </c>
      <c r="K413" s="12">
        <v>0</v>
      </c>
      <c r="L413" s="4">
        <v>31933994</v>
      </c>
      <c r="M413" s="13">
        <v>0</v>
      </c>
    </row>
    <row r="414" spans="1:13">
      <c r="A414" s="14" t="s">
        <v>93</v>
      </c>
      <c r="B414" s="14" t="s">
        <v>85</v>
      </c>
      <c r="C414" s="14">
        <v>28</v>
      </c>
      <c r="D414" s="15">
        <v>44</v>
      </c>
      <c r="E414" s="14" t="s">
        <v>38</v>
      </c>
      <c r="F414" s="14" t="s">
        <v>37</v>
      </c>
      <c r="G414" s="16">
        <v>0</v>
      </c>
      <c r="H414" s="17">
        <v>0</v>
      </c>
      <c r="I414" s="16">
        <v>0</v>
      </c>
      <c r="J414" s="17">
        <v>1284905</v>
      </c>
      <c r="K414" s="17">
        <v>0</v>
      </c>
      <c r="L414" s="16">
        <v>1284905</v>
      </c>
      <c r="M414" s="18">
        <v>0</v>
      </c>
    </row>
    <row r="415" spans="1:13">
      <c r="A415" s="10" t="s">
        <v>93</v>
      </c>
      <c r="B415" s="10" t="s">
        <v>85</v>
      </c>
      <c r="C415" s="10">
        <v>28</v>
      </c>
      <c r="D415" s="11">
        <v>45</v>
      </c>
      <c r="E415" s="10" t="s">
        <v>39</v>
      </c>
      <c r="F415" s="10" t="s">
        <v>37</v>
      </c>
      <c r="G415" s="4">
        <v>0</v>
      </c>
      <c r="H415" s="12">
        <v>0</v>
      </c>
      <c r="I415" s="4">
        <v>0</v>
      </c>
      <c r="J415" s="12">
        <v>1606139</v>
      </c>
      <c r="K415" s="12">
        <v>0</v>
      </c>
      <c r="L415" s="4">
        <v>1606139</v>
      </c>
      <c r="M415" s="13">
        <v>0</v>
      </c>
    </row>
    <row r="416" spans="1:13">
      <c r="A416" s="14" t="s">
        <v>93</v>
      </c>
      <c r="B416" s="14" t="s">
        <v>85</v>
      </c>
      <c r="C416" s="14">
        <v>28</v>
      </c>
      <c r="D416" s="15">
        <v>46</v>
      </c>
      <c r="E416" s="14" t="s">
        <v>40</v>
      </c>
      <c r="F416" s="14" t="s">
        <v>37</v>
      </c>
      <c r="G416" s="16">
        <v>0</v>
      </c>
      <c r="H416" s="17">
        <v>0</v>
      </c>
      <c r="I416" s="16">
        <v>0</v>
      </c>
      <c r="J416" s="17">
        <v>15688892</v>
      </c>
      <c r="K416" s="17">
        <v>0</v>
      </c>
      <c r="L416" s="16">
        <v>15688892</v>
      </c>
      <c r="M416" s="18">
        <v>-54529142</v>
      </c>
    </row>
    <row r="417" spans="1:13">
      <c r="A417" s="10" t="s">
        <v>93</v>
      </c>
      <c r="B417" s="10" t="s">
        <v>85</v>
      </c>
      <c r="C417" s="10">
        <v>28</v>
      </c>
      <c r="D417" s="11">
        <v>47</v>
      </c>
      <c r="E417" s="10" t="s">
        <v>41</v>
      </c>
      <c r="F417" s="10" t="s">
        <v>37</v>
      </c>
      <c r="G417" s="4">
        <v>0</v>
      </c>
      <c r="H417" s="12">
        <v>0</v>
      </c>
      <c r="I417" s="4">
        <v>0</v>
      </c>
      <c r="J417" s="12">
        <v>802939</v>
      </c>
      <c r="K417" s="12">
        <v>0</v>
      </c>
      <c r="L417" s="4">
        <v>802939</v>
      </c>
      <c r="M417" s="13">
        <v>0</v>
      </c>
    </row>
    <row r="418" spans="1:13">
      <c r="A418" s="14" t="s">
        <v>93</v>
      </c>
      <c r="B418" s="14" t="s">
        <v>85</v>
      </c>
      <c r="C418" s="14">
        <v>28</v>
      </c>
      <c r="D418" s="15">
        <v>50</v>
      </c>
      <c r="E418" s="14" t="s">
        <v>43</v>
      </c>
      <c r="F418" s="14" t="s">
        <v>37</v>
      </c>
      <c r="G418" s="16">
        <v>0</v>
      </c>
      <c r="H418" s="17">
        <v>0</v>
      </c>
      <c r="I418" s="16">
        <v>0</v>
      </c>
      <c r="J418" s="17">
        <v>3212273</v>
      </c>
      <c r="K418" s="17">
        <v>0</v>
      </c>
      <c r="L418" s="16">
        <v>3212273</v>
      </c>
      <c r="M418" s="18">
        <v>0</v>
      </c>
    </row>
    <row r="419" spans="1:13">
      <c r="A419" s="10" t="s">
        <v>93</v>
      </c>
      <c r="B419" s="10" t="s">
        <v>85</v>
      </c>
      <c r="C419" s="10">
        <v>28</v>
      </c>
      <c r="D419" s="11">
        <v>57</v>
      </c>
      <c r="E419" s="10" t="s">
        <v>21</v>
      </c>
      <c r="F419" s="10" t="s">
        <v>22</v>
      </c>
      <c r="G419" s="4">
        <v>12300120</v>
      </c>
      <c r="H419" s="12">
        <v>0</v>
      </c>
      <c r="I419" s="4">
        <v>12300120</v>
      </c>
      <c r="J419" s="12">
        <v>14364390</v>
      </c>
      <c r="K419" s="12">
        <v>0</v>
      </c>
      <c r="L419" s="4">
        <v>14364390</v>
      </c>
      <c r="M419" s="13">
        <v>-2064270</v>
      </c>
    </row>
    <row r="420" spans="1:13">
      <c r="A420" s="14" t="s">
        <v>93</v>
      </c>
      <c r="B420" s="14" t="s">
        <v>85</v>
      </c>
      <c r="C420" s="14">
        <v>28</v>
      </c>
      <c r="D420" s="15">
        <v>58</v>
      </c>
      <c r="E420" s="14" t="s">
        <v>23</v>
      </c>
      <c r="F420" s="14" t="s">
        <v>24</v>
      </c>
      <c r="G420" s="16">
        <v>224906519</v>
      </c>
      <c r="H420" s="17">
        <v>0</v>
      </c>
      <c r="I420" s="16">
        <v>224906519</v>
      </c>
      <c r="J420" s="17">
        <v>262652026</v>
      </c>
      <c r="K420" s="17">
        <v>0</v>
      </c>
      <c r="L420" s="16">
        <v>262652026</v>
      </c>
      <c r="M420" s="18">
        <v>-37745507</v>
      </c>
    </row>
    <row r="421" spans="1:13">
      <c r="A421" s="10" t="s">
        <v>94</v>
      </c>
      <c r="B421" s="10" t="s">
        <v>85</v>
      </c>
      <c r="C421" s="10">
        <v>29</v>
      </c>
      <c r="D421" s="11">
        <v>27</v>
      </c>
      <c r="E421" s="10" t="s">
        <v>32</v>
      </c>
      <c r="F421" s="10" t="s">
        <v>19</v>
      </c>
      <c r="G421" s="4">
        <v>1390354143</v>
      </c>
      <c r="H421" s="12">
        <v>0</v>
      </c>
      <c r="I421" s="4">
        <v>1390354143</v>
      </c>
      <c r="J421" s="12">
        <v>739272462</v>
      </c>
      <c r="K421" s="12">
        <v>0</v>
      </c>
      <c r="L421" s="4">
        <v>739272462</v>
      </c>
      <c r="M421" s="13">
        <v>651081681</v>
      </c>
    </row>
    <row r="422" spans="1:13">
      <c r="A422" s="14" t="s">
        <v>94</v>
      </c>
      <c r="B422" s="14" t="s">
        <v>85</v>
      </c>
      <c r="C422" s="14">
        <v>29</v>
      </c>
      <c r="D422" s="15">
        <v>28</v>
      </c>
      <c r="E422" s="14" t="s">
        <v>18</v>
      </c>
      <c r="F422" s="14" t="s">
        <v>19</v>
      </c>
      <c r="G422" s="16">
        <v>7750604213</v>
      </c>
      <c r="H422" s="17">
        <v>854462685</v>
      </c>
      <c r="I422" s="16">
        <v>8605066898</v>
      </c>
      <c r="J422" s="17">
        <v>8605066898</v>
      </c>
      <c r="K422" s="17">
        <v>0</v>
      </c>
      <c r="L422" s="16">
        <v>8605066898</v>
      </c>
      <c r="M422" s="18">
        <v>0</v>
      </c>
    </row>
    <row r="423" spans="1:13">
      <c r="A423" s="10" t="s">
        <v>94</v>
      </c>
      <c r="B423" s="10" t="s">
        <v>85</v>
      </c>
      <c r="C423" s="10">
        <v>29</v>
      </c>
      <c r="D423" s="11">
        <v>29</v>
      </c>
      <c r="E423" s="10" t="s">
        <v>50</v>
      </c>
      <c r="F423" s="10" t="s">
        <v>19</v>
      </c>
      <c r="G423" s="4">
        <v>0</v>
      </c>
      <c r="H423" s="12">
        <v>0</v>
      </c>
      <c r="I423" s="4">
        <v>0</v>
      </c>
      <c r="J423" s="12">
        <v>700000000</v>
      </c>
      <c r="K423" s="12">
        <v>0</v>
      </c>
      <c r="L423" s="4">
        <v>700000000</v>
      </c>
      <c r="M423" s="13">
        <v>-700000000</v>
      </c>
    </row>
    <row r="424" spans="1:13">
      <c r="A424" s="14" t="s">
        <v>94</v>
      </c>
      <c r="B424" s="14" t="s">
        <v>85</v>
      </c>
      <c r="C424" s="14">
        <v>29</v>
      </c>
      <c r="D424" s="15">
        <v>30</v>
      </c>
      <c r="E424" s="14" t="s">
        <v>51</v>
      </c>
      <c r="F424" s="14" t="s">
        <v>19</v>
      </c>
      <c r="G424" s="16">
        <v>0</v>
      </c>
      <c r="H424" s="17">
        <v>0</v>
      </c>
      <c r="I424" s="16">
        <v>0</v>
      </c>
      <c r="J424" s="17">
        <v>706186567</v>
      </c>
      <c r="K424" s="17">
        <v>0</v>
      </c>
      <c r="L424" s="16">
        <v>706186567</v>
      </c>
      <c r="M424" s="18">
        <v>-706186567</v>
      </c>
    </row>
    <row r="425" spans="1:13">
      <c r="A425" s="10" t="s">
        <v>94</v>
      </c>
      <c r="B425" s="10" t="s">
        <v>85</v>
      </c>
      <c r="C425" s="10">
        <v>29</v>
      </c>
      <c r="D425" s="11">
        <v>32</v>
      </c>
      <c r="E425" s="10" t="s">
        <v>53</v>
      </c>
      <c r="F425" s="10" t="s">
        <v>19</v>
      </c>
      <c r="G425" s="4">
        <v>1906158918</v>
      </c>
      <c r="H425" s="12">
        <v>0</v>
      </c>
      <c r="I425" s="4">
        <v>1906158918</v>
      </c>
      <c r="J425" s="12">
        <v>1275605320</v>
      </c>
      <c r="K425" s="12">
        <v>0</v>
      </c>
      <c r="L425" s="4">
        <v>1275605320</v>
      </c>
      <c r="M425" s="13">
        <v>630553598</v>
      </c>
    </row>
    <row r="426" spans="1:13">
      <c r="A426" s="14" t="s">
        <v>94</v>
      </c>
      <c r="B426" s="14" t="s">
        <v>85</v>
      </c>
      <c r="C426" s="14">
        <v>29</v>
      </c>
      <c r="D426" s="15">
        <v>34</v>
      </c>
      <c r="E426" s="14" t="s">
        <v>20</v>
      </c>
      <c r="F426" s="14" t="s">
        <v>19</v>
      </c>
      <c r="G426" s="16">
        <v>1073016</v>
      </c>
      <c r="H426" s="17">
        <v>0</v>
      </c>
      <c r="I426" s="16">
        <v>1073016</v>
      </c>
      <c r="J426" s="17">
        <v>913016</v>
      </c>
      <c r="K426" s="17">
        <v>0</v>
      </c>
      <c r="L426" s="16">
        <v>913016</v>
      </c>
      <c r="M426" s="18">
        <v>160000</v>
      </c>
    </row>
    <row r="427" spans="1:13">
      <c r="A427" s="10" t="s">
        <v>94</v>
      </c>
      <c r="B427" s="10" t="s">
        <v>85</v>
      </c>
      <c r="C427" s="10">
        <v>29</v>
      </c>
      <c r="D427" s="11">
        <v>43</v>
      </c>
      <c r="E427" s="10" t="s">
        <v>36</v>
      </c>
      <c r="F427" s="10" t="s">
        <v>37</v>
      </c>
      <c r="G427" s="4">
        <v>0</v>
      </c>
      <c r="H427" s="12">
        <v>0</v>
      </c>
      <c r="I427" s="4">
        <v>0</v>
      </c>
      <c r="J427" s="12">
        <v>476639299</v>
      </c>
      <c r="K427" s="12">
        <v>0</v>
      </c>
      <c r="L427" s="4">
        <v>476639299</v>
      </c>
      <c r="M427" s="13">
        <v>0</v>
      </c>
    </row>
    <row r="428" spans="1:13">
      <c r="A428" s="14" t="s">
        <v>94</v>
      </c>
      <c r="B428" s="14" t="s">
        <v>85</v>
      </c>
      <c r="C428" s="14">
        <v>29</v>
      </c>
      <c r="D428" s="15">
        <v>44</v>
      </c>
      <c r="E428" s="14" t="s">
        <v>38</v>
      </c>
      <c r="F428" s="14" t="s">
        <v>37</v>
      </c>
      <c r="G428" s="16">
        <v>0</v>
      </c>
      <c r="H428" s="17">
        <v>0</v>
      </c>
      <c r="I428" s="16">
        <v>0</v>
      </c>
      <c r="J428" s="17">
        <v>157935687</v>
      </c>
      <c r="K428" s="17">
        <v>0</v>
      </c>
      <c r="L428" s="16">
        <v>157935687</v>
      </c>
      <c r="M428" s="18">
        <v>0</v>
      </c>
    </row>
    <row r="429" spans="1:13">
      <c r="A429" s="10" t="s">
        <v>94</v>
      </c>
      <c r="B429" s="10" t="s">
        <v>85</v>
      </c>
      <c r="C429" s="10">
        <v>29</v>
      </c>
      <c r="D429" s="11">
        <v>45</v>
      </c>
      <c r="E429" s="10" t="s">
        <v>39</v>
      </c>
      <c r="F429" s="10" t="s">
        <v>37</v>
      </c>
      <c r="G429" s="4">
        <v>0</v>
      </c>
      <c r="H429" s="12">
        <v>0</v>
      </c>
      <c r="I429" s="4">
        <v>0</v>
      </c>
      <c r="J429" s="12">
        <v>197419605</v>
      </c>
      <c r="K429" s="12">
        <v>0</v>
      </c>
      <c r="L429" s="4">
        <v>197419605</v>
      </c>
      <c r="M429" s="13">
        <v>0</v>
      </c>
    </row>
    <row r="430" spans="1:13">
      <c r="A430" s="14" t="s">
        <v>94</v>
      </c>
      <c r="B430" s="14" t="s">
        <v>85</v>
      </c>
      <c r="C430" s="14">
        <v>29</v>
      </c>
      <c r="D430" s="15">
        <v>46</v>
      </c>
      <c r="E430" s="14" t="s">
        <v>40</v>
      </c>
      <c r="F430" s="14" t="s">
        <v>37</v>
      </c>
      <c r="G430" s="16">
        <v>23095657831</v>
      </c>
      <c r="H430" s="17">
        <v>0</v>
      </c>
      <c r="I430" s="16">
        <v>23095657831</v>
      </c>
      <c r="J430" s="17">
        <v>384508440</v>
      </c>
      <c r="K430" s="17">
        <v>21728180728</v>
      </c>
      <c r="L430" s="16">
        <v>22112689168</v>
      </c>
      <c r="M430" s="18">
        <v>0</v>
      </c>
    </row>
    <row r="431" spans="1:13">
      <c r="A431" s="10" t="s">
        <v>94</v>
      </c>
      <c r="B431" s="10" t="s">
        <v>85</v>
      </c>
      <c r="C431" s="10">
        <v>29</v>
      </c>
      <c r="D431" s="11">
        <v>47</v>
      </c>
      <c r="E431" s="10" t="s">
        <v>41</v>
      </c>
      <c r="F431" s="10" t="s">
        <v>37</v>
      </c>
      <c r="G431" s="4">
        <v>0</v>
      </c>
      <c r="H431" s="12">
        <v>0</v>
      </c>
      <c r="I431" s="4">
        <v>0</v>
      </c>
      <c r="J431" s="12">
        <v>98709801</v>
      </c>
      <c r="K431" s="12">
        <v>0</v>
      </c>
      <c r="L431" s="4">
        <v>98709801</v>
      </c>
      <c r="M431" s="13">
        <v>0</v>
      </c>
    </row>
    <row r="432" spans="1:13">
      <c r="A432" s="14" t="s">
        <v>94</v>
      </c>
      <c r="B432" s="14" t="s">
        <v>85</v>
      </c>
      <c r="C432" s="14">
        <v>29</v>
      </c>
      <c r="D432" s="15">
        <v>48</v>
      </c>
      <c r="E432" s="14" t="s">
        <v>42</v>
      </c>
      <c r="F432" s="14" t="s">
        <v>37</v>
      </c>
      <c r="G432" s="16">
        <v>0</v>
      </c>
      <c r="H432" s="17">
        <v>0</v>
      </c>
      <c r="I432" s="16">
        <v>0</v>
      </c>
      <c r="J432" s="17">
        <v>6929188</v>
      </c>
      <c r="K432" s="17">
        <v>0</v>
      </c>
      <c r="L432" s="16">
        <v>6929188</v>
      </c>
      <c r="M432" s="18">
        <v>0</v>
      </c>
    </row>
    <row r="433" spans="1:13">
      <c r="A433" s="10" t="s">
        <v>94</v>
      </c>
      <c r="B433" s="10" t="s">
        <v>85</v>
      </c>
      <c r="C433" s="10">
        <v>29</v>
      </c>
      <c r="D433" s="11">
        <v>50</v>
      </c>
      <c r="E433" s="10" t="s">
        <v>43</v>
      </c>
      <c r="F433" s="10" t="s">
        <v>37</v>
      </c>
      <c r="G433" s="4">
        <v>0</v>
      </c>
      <c r="H433" s="12">
        <v>0</v>
      </c>
      <c r="I433" s="4">
        <v>0</v>
      </c>
      <c r="J433" s="12">
        <v>45335083</v>
      </c>
      <c r="K433" s="12">
        <v>0</v>
      </c>
      <c r="L433" s="4">
        <v>45335083</v>
      </c>
      <c r="M433" s="13">
        <v>0</v>
      </c>
    </row>
    <row r="434" spans="1:13">
      <c r="A434" s="14" t="s">
        <v>94</v>
      </c>
      <c r="B434" s="14" t="s">
        <v>85</v>
      </c>
      <c r="C434" s="14">
        <v>29</v>
      </c>
      <c r="D434" s="15">
        <v>51</v>
      </c>
      <c r="E434" s="14" t="s">
        <v>56</v>
      </c>
      <c r="F434" s="14" t="s">
        <v>37</v>
      </c>
      <c r="G434" s="16">
        <v>3000000000</v>
      </c>
      <c r="H434" s="17">
        <v>0</v>
      </c>
      <c r="I434" s="16">
        <v>3000000000</v>
      </c>
      <c r="J434" s="17">
        <v>0</v>
      </c>
      <c r="K434" s="17">
        <v>3000000000</v>
      </c>
      <c r="L434" s="16">
        <v>3000000000</v>
      </c>
      <c r="M434" s="18">
        <v>0</v>
      </c>
    </row>
    <row r="435" spans="1:13">
      <c r="A435" s="10" t="s">
        <v>94</v>
      </c>
      <c r="B435" s="10" t="s">
        <v>85</v>
      </c>
      <c r="C435" s="10">
        <v>29</v>
      </c>
      <c r="D435" s="11">
        <v>52</v>
      </c>
      <c r="E435" s="10" t="s">
        <v>44</v>
      </c>
      <c r="F435" s="10" t="s">
        <v>45</v>
      </c>
      <c r="G435" s="4">
        <v>0</v>
      </c>
      <c r="H435" s="12">
        <v>0</v>
      </c>
      <c r="I435" s="4">
        <v>0</v>
      </c>
      <c r="J435" s="12">
        <v>175592700</v>
      </c>
      <c r="K435" s="12">
        <v>0</v>
      </c>
      <c r="L435" s="4">
        <v>175592700</v>
      </c>
      <c r="M435" s="13">
        <v>-175592700</v>
      </c>
    </row>
    <row r="436" spans="1:13">
      <c r="A436" s="14" t="s">
        <v>94</v>
      </c>
      <c r="B436" s="14" t="s">
        <v>85</v>
      </c>
      <c r="C436" s="14">
        <v>29</v>
      </c>
      <c r="D436" s="15">
        <v>57</v>
      </c>
      <c r="E436" s="14" t="s">
        <v>21</v>
      </c>
      <c r="F436" s="14" t="s">
        <v>22</v>
      </c>
      <c r="G436" s="16">
        <v>6310416</v>
      </c>
      <c r="H436" s="17">
        <v>0</v>
      </c>
      <c r="I436" s="16">
        <v>6310416</v>
      </c>
      <c r="J436" s="17">
        <v>6310416</v>
      </c>
      <c r="K436" s="17">
        <v>0</v>
      </c>
      <c r="L436" s="16">
        <v>6310416</v>
      </c>
      <c r="M436" s="18">
        <v>0</v>
      </c>
    </row>
    <row r="437" spans="1:13">
      <c r="A437" s="10" t="s">
        <v>94</v>
      </c>
      <c r="B437" s="10" t="s">
        <v>85</v>
      </c>
      <c r="C437" s="10">
        <v>29</v>
      </c>
      <c r="D437" s="11">
        <v>58</v>
      </c>
      <c r="E437" s="10" t="s">
        <v>23</v>
      </c>
      <c r="F437" s="10" t="s">
        <v>24</v>
      </c>
      <c r="G437" s="4">
        <v>112337889</v>
      </c>
      <c r="H437" s="12">
        <v>0</v>
      </c>
      <c r="I437" s="4">
        <v>112337889</v>
      </c>
      <c r="J437" s="12">
        <v>112253010</v>
      </c>
      <c r="K437" s="12">
        <v>0</v>
      </c>
      <c r="L437" s="4">
        <v>112253010</v>
      </c>
      <c r="M437" s="13">
        <v>84879</v>
      </c>
    </row>
    <row r="438" spans="1:13">
      <c r="A438" s="14" t="s">
        <v>95</v>
      </c>
      <c r="B438" s="14" t="s">
        <v>17</v>
      </c>
      <c r="C438" s="14">
        <v>30</v>
      </c>
      <c r="D438" s="15">
        <v>3</v>
      </c>
      <c r="E438" s="14" t="s">
        <v>26</v>
      </c>
      <c r="F438" s="14" t="s">
        <v>27</v>
      </c>
      <c r="G438" s="16">
        <v>467630407</v>
      </c>
      <c r="H438" s="17">
        <v>161728076</v>
      </c>
      <c r="I438" s="16">
        <v>629358483</v>
      </c>
      <c r="J438" s="17">
        <v>629358483</v>
      </c>
      <c r="K438" s="17">
        <v>0</v>
      </c>
      <c r="L438" s="16">
        <v>629358483</v>
      </c>
      <c r="M438" s="18">
        <v>0</v>
      </c>
    </row>
    <row r="439" spans="1:13">
      <c r="A439" s="10" t="s">
        <v>95</v>
      </c>
      <c r="B439" s="10" t="s">
        <v>17</v>
      </c>
      <c r="C439" s="10">
        <v>30</v>
      </c>
      <c r="D439" s="11">
        <v>5</v>
      </c>
      <c r="E439" s="10" t="s">
        <v>48</v>
      </c>
      <c r="F439" s="10" t="s">
        <v>27</v>
      </c>
      <c r="G439" s="4">
        <v>0</v>
      </c>
      <c r="H439" s="12">
        <v>1000000</v>
      </c>
      <c r="I439" s="4">
        <v>1000000</v>
      </c>
      <c r="J439" s="12">
        <v>1000000</v>
      </c>
      <c r="K439" s="12">
        <v>0</v>
      </c>
      <c r="L439" s="4">
        <v>1000000</v>
      </c>
      <c r="M439" s="13">
        <v>0</v>
      </c>
    </row>
    <row r="440" spans="1:13">
      <c r="A440" s="14" t="s">
        <v>95</v>
      </c>
      <c r="B440" s="14" t="s">
        <v>17</v>
      </c>
      <c r="C440" s="14">
        <v>30</v>
      </c>
      <c r="D440" s="15">
        <v>7</v>
      </c>
      <c r="E440" s="14" t="s">
        <v>28</v>
      </c>
      <c r="F440" s="14" t="s">
        <v>27</v>
      </c>
      <c r="G440" s="16">
        <v>3379545</v>
      </c>
      <c r="H440" s="17">
        <v>0</v>
      </c>
      <c r="I440" s="16">
        <v>3379545</v>
      </c>
      <c r="J440" s="17">
        <v>3379545</v>
      </c>
      <c r="K440" s="17">
        <v>0</v>
      </c>
      <c r="L440" s="16">
        <v>3379545</v>
      </c>
      <c r="M440" s="18">
        <v>0</v>
      </c>
    </row>
    <row r="441" spans="1:13">
      <c r="A441" s="10" t="s">
        <v>95</v>
      </c>
      <c r="B441" s="10" t="s">
        <v>17</v>
      </c>
      <c r="C441" s="10">
        <v>30</v>
      </c>
      <c r="D441" s="11">
        <v>26</v>
      </c>
      <c r="E441" s="10" t="s">
        <v>66</v>
      </c>
      <c r="F441" s="10" t="s">
        <v>30</v>
      </c>
      <c r="G441" s="4">
        <v>53766887</v>
      </c>
      <c r="H441" s="12">
        <v>0</v>
      </c>
      <c r="I441" s="4">
        <v>53766887</v>
      </c>
      <c r="J441" s="12">
        <v>34740741</v>
      </c>
      <c r="K441" s="12">
        <v>0</v>
      </c>
      <c r="L441" s="4">
        <v>34740741</v>
      </c>
      <c r="M441" s="13">
        <v>19026146</v>
      </c>
    </row>
    <row r="442" spans="1:13">
      <c r="A442" s="14" t="s">
        <v>95</v>
      </c>
      <c r="B442" s="14" t="s">
        <v>17</v>
      </c>
      <c r="C442" s="14">
        <v>30</v>
      </c>
      <c r="D442" s="15">
        <v>27</v>
      </c>
      <c r="E442" s="14" t="s">
        <v>32</v>
      </c>
      <c r="F442" s="14" t="s">
        <v>19</v>
      </c>
      <c r="G442" s="16">
        <v>108711566</v>
      </c>
      <c r="H442" s="17">
        <v>237138943</v>
      </c>
      <c r="I442" s="16">
        <v>345850509</v>
      </c>
      <c r="J442" s="17">
        <v>345850509</v>
      </c>
      <c r="K442" s="17">
        <v>0</v>
      </c>
      <c r="L442" s="16">
        <v>345850509</v>
      </c>
      <c r="M442" s="18">
        <v>0</v>
      </c>
    </row>
    <row r="443" spans="1:13">
      <c r="A443" s="10" t="s">
        <v>95</v>
      </c>
      <c r="B443" s="10" t="s">
        <v>17</v>
      </c>
      <c r="C443" s="10">
        <v>30</v>
      </c>
      <c r="D443" s="11">
        <v>28</v>
      </c>
      <c r="E443" s="10" t="s">
        <v>18</v>
      </c>
      <c r="F443" s="10" t="s">
        <v>19</v>
      </c>
      <c r="G443" s="4">
        <v>348342117</v>
      </c>
      <c r="H443" s="12">
        <v>-11864505</v>
      </c>
      <c r="I443" s="4">
        <v>336477612</v>
      </c>
      <c r="J443" s="12">
        <v>336477612</v>
      </c>
      <c r="K443" s="12">
        <v>0</v>
      </c>
      <c r="L443" s="4">
        <v>336477612</v>
      </c>
      <c r="M443" s="13">
        <v>0</v>
      </c>
    </row>
    <row r="444" spans="1:13">
      <c r="A444" s="14" t="s">
        <v>95</v>
      </c>
      <c r="B444" s="14" t="s">
        <v>17</v>
      </c>
      <c r="C444" s="14">
        <v>30</v>
      </c>
      <c r="D444" s="15">
        <v>30</v>
      </c>
      <c r="E444" s="14" t="s">
        <v>51</v>
      </c>
      <c r="F444" s="14" t="s">
        <v>19</v>
      </c>
      <c r="G444" s="16">
        <v>460038600</v>
      </c>
      <c r="H444" s="17">
        <v>132474151</v>
      </c>
      <c r="I444" s="16">
        <v>592512751</v>
      </c>
      <c r="J444" s="17">
        <v>542512751</v>
      </c>
      <c r="K444" s="17">
        <v>50000000</v>
      </c>
      <c r="L444" s="16">
        <v>592512751</v>
      </c>
      <c r="M444" s="18">
        <v>0</v>
      </c>
    </row>
    <row r="445" spans="1:13">
      <c r="A445" s="10" t="s">
        <v>95</v>
      </c>
      <c r="B445" s="10" t="s">
        <v>17</v>
      </c>
      <c r="C445" s="10">
        <v>30</v>
      </c>
      <c r="D445" s="11">
        <v>34</v>
      </c>
      <c r="E445" s="10" t="s">
        <v>20</v>
      </c>
      <c r="F445" s="10" t="s">
        <v>19</v>
      </c>
      <c r="G445" s="4">
        <v>8279350</v>
      </c>
      <c r="H445" s="12">
        <v>0</v>
      </c>
      <c r="I445" s="4">
        <v>8279350</v>
      </c>
      <c r="J445" s="12">
        <v>8210467</v>
      </c>
      <c r="K445" s="12">
        <v>0</v>
      </c>
      <c r="L445" s="4">
        <v>8210467</v>
      </c>
      <c r="M445" s="13">
        <v>68883</v>
      </c>
    </row>
    <row r="446" spans="1:13">
      <c r="A446" s="14" t="s">
        <v>95</v>
      </c>
      <c r="B446" s="14" t="s">
        <v>17</v>
      </c>
      <c r="C446" s="14">
        <v>30</v>
      </c>
      <c r="D446" s="15">
        <v>39</v>
      </c>
      <c r="E446" s="14" t="s">
        <v>54</v>
      </c>
      <c r="F446" s="14" t="s">
        <v>19</v>
      </c>
      <c r="G446" s="16">
        <v>2666667</v>
      </c>
      <c r="H446" s="17">
        <v>0</v>
      </c>
      <c r="I446" s="16">
        <v>2666667</v>
      </c>
      <c r="J446" s="17">
        <v>2666667</v>
      </c>
      <c r="K446" s="17">
        <v>0</v>
      </c>
      <c r="L446" s="16">
        <v>2666667</v>
      </c>
      <c r="M446" s="18">
        <v>0</v>
      </c>
    </row>
    <row r="447" spans="1:13">
      <c r="A447" s="10" t="s">
        <v>95</v>
      </c>
      <c r="B447" s="10" t="s">
        <v>17</v>
      </c>
      <c r="C447" s="10">
        <v>30</v>
      </c>
      <c r="D447" s="11">
        <v>43</v>
      </c>
      <c r="E447" s="10" t="s">
        <v>36</v>
      </c>
      <c r="F447" s="10" t="s">
        <v>37</v>
      </c>
      <c r="G447" s="4">
        <v>0</v>
      </c>
      <c r="H447" s="12">
        <v>0</v>
      </c>
      <c r="I447" s="4">
        <v>0</v>
      </c>
      <c r="J447" s="12">
        <v>0</v>
      </c>
      <c r="K447" s="12">
        <v>519838999</v>
      </c>
      <c r="L447" s="4">
        <v>519838999</v>
      </c>
      <c r="M447" s="13">
        <v>0</v>
      </c>
    </row>
    <row r="448" spans="1:13">
      <c r="A448" s="14" t="s">
        <v>95</v>
      </c>
      <c r="B448" s="14" t="s">
        <v>17</v>
      </c>
      <c r="C448" s="14">
        <v>30</v>
      </c>
      <c r="D448" s="15">
        <v>44</v>
      </c>
      <c r="E448" s="14" t="s">
        <v>38</v>
      </c>
      <c r="F448" s="14" t="s">
        <v>37</v>
      </c>
      <c r="G448" s="16">
        <v>0</v>
      </c>
      <c r="H448" s="17">
        <v>0</v>
      </c>
      <c r="I448" s="16">
        <v>0</v>
      </c>
      <c r="J448" s="17">
        <v>0</v>
      </c>
      <c r="K448" s="17">
        <v>21059892</v>
      </c>
      <c r="L448" s="16">
        <v>21059892</v>
      </c>
      <c r="M448" s="18">
        <v>0</v>
      </c>
    </row>
    <row r="449" spans="1:13">
      <c r="A449" s="10" t="s">
        <v>95</v>
      </c>
      <c r="B449" s="10" t="s">
        <v>17</v>
      </c>
      <c r="C449" s="10">
        <v>30</v>
      </c>
      <c r="D449" s="11">
        <v>45</v>
      </c>
      <c r="E449" s="10" t="s">
        <v>39</v>
      </c>
      <c r="F449" s="10" t="s">
        <v>37</v>
      </c>
      <c r="G449" s="4">
        <v>0</v>
      </c>
      <c r="H449" s="12">
        <v>0</v>
      </c>
      <c r="I449" s="4">
        <v>0</v>
      </c>
      <c r="J449" s="12">
        <v>0</v>
      </c>
      <c r="K449" s="12">
        <v>26324843</v>
      </c>
      <c r="L449" s="4">
        <v>26324843</v>
      </c>
      <c r="M449" s="13">
        <v>0</v>
      </c>
    </row>
    <row r="450" spans="1:13">
      <c r="A450" s="14" t="s">
        <v>95</v>
      </c>
      <c r="B450" s="14" t="s">
        <v>17</v>
      </c>
      <c r="C450" s="14">
        <v>30</v>
      </c>
      <c r="D450" s="15">
        <v>46</v>
      </c>
      <c r="E450" s="14" t="s">
        <v>40</v>
      </c>
      <c r="F450" s="14" t="s">
        <v>37</v>
      </c>
      <c r="G450" s="16">
        <v>842350402</v>
      </c>
      <c r="H450" s="17">
        <v>0</v>
      </c>
      <c r="I450" s="16">
        <v>842350402</v>
      </c>
      <c r="J450" s="17">
        <v>0</v>
      </c>
      <c r="K450" s="17">
        <v>229307908</v>
      </c>
      <c r="L450" s="16">
        <v>229307908</v>
      </c>
      <c r="M450" s="18">
        <v>-42397976</v>
      </c>
    </row>
    <row r="451" spans="1:13">
      <c r="A451" s="10" t="s">
        <v>95</v>
      </c>
      <c r="B451" s="10" t="s">
        <v>17</v>
      </c>
      <c r="C451" s="10">
        <v>30</v>
      </c>
      <c r="D451" s="11">
        <v>47</v>
      </c>
      <c r="E451" s="10" t="s">
        <v>41</v>
      </c>
      <c r="F451" s="10" t="s">
        <v>37</v>
      </c>
      <c r="G451" s="4">
        <v>0</v>
      </c>
      <c r="H451" s="12">
        <v>0</v>
      </c>
      <c r="I451" s="4">
        <v>0</v>
      </c>
      <c r="J451" s="12">
        <v>0</v>
      </c>
      <c r="K451" s="12">
        <v>13162408</v>
      </c>
      <c r="L451" s="4">
        <v>13162408</v>
      </c>
      <c r="M451" s="13">
        <v>0</v>
      </c>
    </row>
    <row r="452" spans="1:13">
      <c r="A452" s="14" t="s">
        <v>95</v>
      </c>
      <c r="B452" s="14" t="s">
        <v>17</v>
      </c>
      <c r="C452" s="14">
        <v>30</v>
      </c>
      <c r="D452" s="15">
        <v>48</v>
      </c>
      <c r="E452" s="14" t="s">
        <v>42</v>
      </c>
      <c r="F452" s="14" t="s">
        <v>37</v>
      </c>
      <c r="G452" s="16">
        <v>0</v>
      </c>
      <c r="H452" s="17">
        <v>0</v>
      </c>
      <c r="I452" s="16">
        <v>0</v>
      </c>
      <c r="J452" s="17">
        <v>0</v>
      </c>
      <c r="K452" s="17">
        <v>7956830</v>
      </c>
      <c r="L452" s="16">
        <v>7956830</v>
      </c>
      <c r="M452" s="18">
        <v>0</v>
      </c>
    </row>
    <row r="453" spans="1:13">
      <c r="A453" s="10" t="s">
        <v>95</v>
      </c>
      <c r="B453" s="10" t="s">
        <v>17</v>
      </c>
      <c r="C453" s="10">
        <v>30</v>
      </c>
      <c r="D453" s="11">
        <v>49</v>
      </c>
      <c r="E453" s="10" t="s">
        <v>55</v>
      </c>
      <c r="F453" s="10" t="s">
        <v>37</v>
      </c>
      <c r="G453" s="4">
        <v>0</v>
      </c>
      <c r="H453" s="12">
        <v>0</v>
      </c>
      <c r="I453" s="4">
        <v>0</v>
      </c>
      <c r="J453" s="12">
        <v>0</v>
      </c>
      <c r="K453" s="12">
        <v>14370334</v>
      </c>
      <c r="L453" s="4">
        <v>14370334</v>
      </c>
      <c r="M453" s="13">
        <v>0</v>
      </c>
    </row>
    <row r="454" spans="1:13">
      <c r="A454" s="14" t="s">
        <v>95</v>
      </c>
      <c r="B454" s="14" t="s">
        <v>17</v>
      </c>
      <c r="C454" s="14">
        <v>30</v>
      </c>
      <c r="D454" s="15">
        <v>50</v>
      </c>
      <c r="E454" s="14" t="s">
        <v>43</v>
      </c>
      <c r="F454" s="14" t="s">
        <v>37</v>
      </c>
      <c r="G454" s="16">
        <v>0</v>
      </c>
      <c r="H454" s="17">
        <v>0</v>
      </c>
      <c r="I454" s="16">
        <v>0</v>
      </c>
      <c r="J454" s="17">
        <v>0</v>
      </c>
      <c r="K454" s="17">
        <v>52597587</v>
      </c>
      <c r="L454" s="16">
        <v>52597587</v>
      </c>
      <c r="M454" s="18">
        <v>0</v>
      </c>
    </row>
    <row r="455" spans="1:13">
      <c r="A455" s="10" t="s">
        <v>95</v>
      </c>
      <c r="B455" s="10" t="s">
        <v>17</v>
      </c>
      <c r="C455" s="10">
        <v>30</v>
      </c>
      <c r="D455" s="11">
        <v>51</v>
      </c>
      <c r="E455" s="10" t="s">
        <v>56</v>
      </c>
      <c r="F455" s="10" t="s">
        <v>37</v>
      </c>
      <c r="G455" s="4">
        <v>20000000</v>
      </c>
      <c r="H455" s="12">
        <v>0</v>
      </c>
      <c r="I455" s="4">
        <v>20000000</v>
      </c>
      <c r="J455" s="12">
        <v>0</v>
      </c>
      <c r="K455" s="12">
        <v>20129577</v>
      </c>
      <c r="L455" s="4">
        <v>20129577</v>
      </c>
      <c r="M455" s="13">
        <v>0</v>
      </c>
    </row>
    <row r="456" spans="1:13">
      <c r="A456" s="14" t="s">
        <v>95</v>
      </c>
      <c r="B456" s="14" t="s">
        <v>17</v>
      </c>
      <c r="C456" s="14">
        <v>30</v>
      </c>
      <c r="D456" s="15">
        <v>57</v>
      </c>
      <c r="E456" s="14" t="s">
        <v>21</v>
      </c>
      <c r="F456" s="14" t="s">
        <v>22</v>
      </c>
      <c r="G456" s="16">
        <v>0</v>
      </c>
      <c r="H456" s="17">
        <v>30028497</v>
      </c>
      <c r="I456" s="16">
        <v>30028497</v>
      </c>
      <c r="J456" s="17">
        <v>30028497</v>
      </c>
      <c r="K456" s="17">
        <v>0</v>
      </c>
      <c r="L456" s="16">
        <v>30028497</v>
      </c>
      <c r="M456" s="18">
        <v>0</v>
      </c>
    </row>
    <row r="457" spans="1:13">
      <c r="A457" s="10" t="s">
        <v>95</v>
      </c>
      <c r="B457" s="10" t="s">
        <v>17</v>
      </c>
      <c r="C457" s="10">
        <v>30</v>
      </c>
      <c r="D457" s="11">
        <v>58</v>
      </c>
      <c r="E457" s="10" t="s">
        <v>23</v>
      </c>
      <c r="F457" s="10" t="s">
        <v>24</v>
      </c>
      <c r="G457" s="4">
        <v>237909125</v>
      </c>
      <c r="H457" s="12">
        <v>-52454860</v>
      </c>
      <c r="I457" s="4">
        <v>185454265</v>
      </c>
      <c r="J457" s="12">
        <v>185454265</v>
      </c>
      <c r="K457" s="12">
        <v>0</v>
      </c>
      <c r="L457" s="4">
        <v>185454265</v>
      </c>
      <c r="M457" s="13">
        <v>0</v>
      </c>
    </row>
    <row r="459" spans="1:13">
      <c r="F459" s="19" t="s">
        <v>96</v>
      </c>
      <c r="G459" s="20">
        <f t="shared" ref="G459:M459" si="0">SUM(G9:G458)</f>
        <v>419479996465</v>
      </c>
      <c r="H459" s="20">
        <f t="shared" si="0"/>
        <v>-1605054919</v>
      </c>
      <c r="I459" s="20">
        <f t="shared" si="0"/>
        <v>417874941546</v>
      </c>
      <c r="J459" s="20">
        <f t="shared" si="0"/>
        <v>362502659410</v>
      </c>
      <c r="K459" s="20">
        <f t="shared" si="0"/>
        <v>52894305154</v>
      </c>
      <c r="L459" s="20">
        <f t="shared" si="0"/>
        <v>415396964564</v>
      </c>
      <c r="M459" s="20">
        <f t="shared" si="0"/>
        <v>2477976982</v>
      </c>
    </row>
  </sheetData>
  <autoFilter ref="A8:M457" xr:uid="{EB9B32EE-A248-436E-BEFB-7BC1290036B4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71301-B532-4302-A8D8-23F9284A7090}">
  <sheetPr>
    <tabColor rgb="FF00B050"/>
  </sheetPr>
  <dimension ref="A1:D395"/>
  <sheetViews>
    <sheetView showGridLines="0" workbookViewId="0">
      <selection activeCell="B21" sqref="B21"/>
    </sheetView>
  </sheetViews>
  <sheetFormatPr baseColWidth="10" defaultColWidth="12" defaultRowHeight="13"/>
  <cols>
    <col min="1" max="1" width="18.26953125" style="22" customWidth="1"/>
    <col min="2" max="2" width="62.54296875" style="22" bestFit="1" customWidth="1"/>
    <col min="3" max="3" width="25.453125" style="22" bestFit="1" customWidth="1"/>
    <col min="4" max="4" width="21.81640625" style="22" bestFit="1" customWidth="1"/>
    <col min="5" max="6" width="12" style="22"/>
    <col min="7" max="7" width="17.54296875" style="22" bestFit="1" customWidth="1"/>
    <col min="8" max="16384" width="12" style="22"/>
  </cols>
  <sheetData>
    <row r="1" spans="1:4" ht="14.5">
      <c r="A1" s="21" t="s">
        <v>0</v>
      </c>
    </row>
    <row r="2" spans="1:4" s="24" customFormat="1" ht="21">
      <c r="A2" s="23" t="s">
        <v>97</v>
      </c>
    </row>
    <row r="4" spans="1:4" ht="13.5" thickBot="1">
      <c r="A4" s="25" t="s">
        <v>98</v>
      </c>
      <c r="B4" s="25" t="s">
        <v>99</v>
      </c>
      <c r="C4" s="25" t="s">
        <v>6</v>
      </c>
      <c r="D4" s="26" t="s">
        <v>100</v>
      </c>
    </row>
    <row r="5" spans="1:4" ht="14.5">
      <c r="A5" s="27" t="s">
        <v>98</v>
      </c>
      <c r="B5" s="27" t="s">
        <v>46</v>
      </c>
      <c r="C5" s="27" t="s">
        <v>17</v>
      </c>
      <c r="D5" s="28">
        <v>118188583878</v>
      </c>
    </row>
    <row r="6" spans="1:4" ht="14.5">
      <c r="A6" s="29" t="s">
        <v>98</v>
      </c>
      <c r="B6" s="29" t="s">
        <v>67</v>
      </c>
      <c r="C6" s="29" t="s">
        <v>17</v>
      </c>
      <c r="D6" s="30">
        <v>46308375776</v>
      </c>
    </row>
    <row r="7" spans="1:4" ht="14.5">
      <c r="A7" s="27" t="s">
        <v>98</v>
      </c>
      <c r="B7" s="27" t="s">
        <v>25</v>
      </c>
      <c r="C7" s="27" t="s">
        <v>17</v>
      </c>
      <c r="D7" s="28">
        <v>44980635283</v>
      </c>
    </row>
    <row r="8" spans="1:4" ht="14.5">
      <c r="A8" s="29" t="s">
        <v>98</v>
      </c>
      <c r="B8" s="29" t="s">
        <v>59</v>
      </c>
      <c r="C8" s="29" t="s">
        <v>17</v>
      </c>
      <c r="D8" s="30">
        <v>39165637228</v>
      </c>
    </row>
    <row r="9" spans="1:4" ht="14.5">
      <c r="A9" s="27" t="s">
        <v>98</v>
      </c>
      <c r="B9" s="27" t="s">
        <v>94</v>
      </c>
      <c r="C9" s="27" t="s">
        <v>85</v>
      </c>
      <c r="D9" s="28">
        <v>37899312064</v>
      </c>
    </row>
    <row r="10" spans="1:4" ht="14.5">
      <c r="A10" s="29" t="s">
        <v>98</v>
      </c>
      <c r="B10" s="29" t="s">
        <v>63</v>
      </c>
      <c r="C10" s="29" t="s">
        <v>17</v>
      </c>
      <c r="D10" s="30">
        <v>31545604665</v>
      </c>
    </row>
    <row r="11" spans="1:4" ht="14.5">
      <c r="A11" s="27" t="s">
        <v>98</v>
      </c>
      <c r="B11" s="27" t="s">
        <v>60</v>
      </c>
      <c r="C11" s="27" t="s">
        <v>17</v>
      </c>
      <c r="D11" s="28">
        <v>26763324428</v>
      </c>
    </row>
    <row r="12" spans="1:4" ht="14.5">
      <c r="A12" s="29" t="s">
        <v>98</v>
      </c>
      <c r="B12" s="29" t="s">
        <v>93</v>
      </c>
      <c r="C12" s="29" t="s">
        <v>85</v>
      </c>
      <c r="D12" s="30">
        <v>19030244411</v>
      </c>
    </row>
    <row r="13" spans="1:4" ht="14.5">
      <c r="A13" s="27" t="s">
        <v>98</v>
      </c>
      <c r="B13" s="27" t="s">
        <v>65</v>
      </c>
      <c r="C13" s="27" t="s">
        <v>17</v>
      </c>
      <c r="D13" s="28">
        <v>18989629562</v>
      </c>
    </row>
    <row r="14" spans="1:4" ht="14.5">
      <c r="A14" s="29" t="s">
        <v>101</v>
      </c>
      <c r="B14" s="29" t="s">
        <v>102</v>
      </c>
      <c r="C14" s="29" t="s">
        <v>85</v>
      </c>
      <c r="D14" s="30">
        <v>18788459724</v>
      </c>
    </row>
    <row r="15" spans="1:4" ht="14.5">
      <c r="A15" s="27" t="s">
        <v>98</v>
      </c>
      <c r="B15" s="27" t="s">
        <v>103</v>
      </c>
      <c r="C15" s="27" t="s">
        <v>17</v>
      </c>
      <c r="D15" s="28">
        <v>8583961421</v>
      </c>
    </row>
    <row r="16" spans="1:4" ht="14.5">
      <c r="A16" s="29" t="s">
        <v>98</v>
      </c>
      <c r="B16" s="29" t="s">
        <v>69</v>
      </c>
      <c r="C16" s="29" t="s">
        <v>17</v>
      </c>
      <c r="D16" s="30">
        <v>5574637252</v>
      </c>
    </row>
    <row r="17" spans="1:4" ht="14.5">
      <c r="A17" s="27" t="s">
        <v>98</v>
      </c>
      <c r="B17" s="27" t="s">
        <v>82</v>
      </c>
      <c r="C17" s="27" t="s">
        <v>17</v>
      </c>
      <c r="D17" s="28">
        <v>3327793163</v>
      </c>
    </row>
    <row r="18" spans="1:4" ht="14.5">
      <c r="A18" s="29" t="s">
        <v>98</v>
      </c>
      <c r="B18" s="29" t="s">
        <v>95</v>
      </c>
      <c r="C18" s="29" t="s">
        <v>17</v>
      </c>
      <c r="D18" s="30">
        <v>2790441180</v>
      </c>
    </row>
    <row r="19" spans="1:4" ht="14.5">
      <c r="A19" s="27" t="s">
        <v>98</v>
      </c>
      <c r="B19" s="27" t="s">
        <v>71</v>
      </c>
      <c r="C19" s="27" t="s">
        <v>17</v>
      </c>
      <c r="D19" s="28">
        <v>2701132195.0116262</v>
      </c>
    </row>
    <row r="20" spans="1:4" ht="14.5">
      <c r="A20" s="29" t="s">
        <v>98</v>
      </c>
      <c r="B20" s="29" t="s">
        <v>80</v>
      </c>
      <c r="C20" s="29" t="s">
        <v>17</v>
      </c>
      <c r="D20" s="30">
        <v>2515237787</v>
      </c>
    </row>
    <row r="21" spans="1:4" ht="14.5">
      <c r="A21" s="27" t="s">
        <v>98</v>
      </c>
      <c r="B21" s="27" t="s">
        <v>79</v>
      </c>
      <c r="C21" s="27" t="s">
        <v>17</v>
      </c>
      <c r="D21" s="28">
        <v>1347838094</v>
      </c>
    </row>
    <row r="22" spans="1:4" ht="14.5">
      <c r="A22" s="29" t="s">
        <v>98</v>
      </c>
      <c r="B22" s="29" t="s">
        <v>73</v>
      </c>
      <c r="C22" s="29" t="s">
        <v>17</v>
      </c>
      <c r="D22" s="30">
        <v>1144732518</v>
      </c>
    </row>
    <row r="23" spans="1:4" ht="14.5">
      <c r="A23" s="27" t="s">
        <v>98</v>
      </c>
      <c r="B23" s="27" t="s">
        <v>84</v>
      </c>
      <c r="C23" s="27" t="s">
        <v>85</v>
      </c>
      <c r="D23" s="28">
        <v>527763532</v>
      </c>
    </row>
    <row r="24" spans="1:4" ht="14.5">
      <c r="A24" s="29" t="s">
        <v>98</v>
      </c>
      <c r="B24" s="29" t="s">
        <v>90</v>
      </c>
      <c r="C24" s="29" t="s">
        <v>17</v>
      </c>
      <c r="D24" s="30">
        <v>461350611</v>
      </c>
    </row>
    <row r="25" spans="1:4" ht="14.5">
      <c r="A25" s="27" t="s">
        <v>98</v>
      </c>
      <c r="B25" s="27" t="s">
        <v>77</v>
      </c>
      <c r="C25" s="27" t="s">
        <v>17</v>
      </c>
      <c r="D25" s="28">
        <v>379479102</v>
      </c>
    </row>
    <row r="26" spans="1:4" ht="14.5">
      <c r="A26" s="29" t="s">
        <v>98</v>
      </c>
      <c r="B26" s="29" t="s">
        <v>61</v>
      </c>
      <c r="C26" s="29" t="s">
        <v>17</v>
      </c>
      <c r="D26" s="30">
        <v>308331463</v>
      </c>
    </row>
    <row r="27" spans="1:4" ht="14.5">
      <c r="A27" s="27" t="s">
        <v>98</v>
      </c>
      <c r="B27" s="27" t="s">
        <v>72</v>
      </c>
      <c r="C27" s="27" t="s">
        <v>17</v>
      </c>
      <c r="D27" s="28">
        <v>262396567</v>
      </c>
    </row>
    <row r="28" spans="1:4" ht="14.5">
      <c r="A28" s="29" t="s">
        <v>98</v>
      </c>
      <c r="B28" s="29" t="s">
        <v>83</v>
      </c>
      <c r="C28" s="29" t="s">
        <v>17</v>
      </c>
      <c r="D28" s="30">
        <v>233739398</v>
      </c>
    </row>
    <row r="29" spans="1:4" ht="14.5">
      <c r="A29" s="27" t="s">
        <v>98</v>
      </c>
      <c r="B29" s="27" t="s">
        <v>104</v>
      </c>
      <c r="C29" s="27" t="s">
        <v>17</v>
      </c>
      <c r="D29" s="28">
        <v>210039520</v>
      </c>
    </row>
    <row r="30" spans="1:4" ht="14.5">
      <c r="A30" s="29" t="s">
        <v>98</v>
      </c>
      <c r="B30" s="29" t="s">
        <v>87</v>
      </c>
      <c r="C30" s="29" t="s">
        <v>85</v>
      </c>
      <c r="D30" s="30">
        <v>180540495</v>
      </c>
    </row>
    <row r="31" spans="1:4" ht="14.5">
      <c r="A31" s="27" t="s">
        <v>101</v>
      </c>
      <c r="B31" s="27" t="s">
        <v>105</v>
      </c>
      <c r="C31" s="27" t="s">
        <v>17</v>
      </c>
      <c r="D31" s="28">
        <v>170831557</v>
      </c>
    </row>
    <row r="32" spans="1:4" ht="14.5">
      <c r="A32" s="29" t="s">
        <v>101</v>
      </c>
      <c r="B32" s="29" t="s">
        <v>106</v>
      </c>
      <c r="C32" s="29" t="s">
        <v>85</v>
      </c>
      <c r="D32" s="30">
        <v>125840252</v>
      </c>
    </row>
    <row r="33" spans="1:4" ht="14.5">
      <c r="A33" s="27" t="s">
        <v>101</v>
      </c>
      <c r="B33" s="27" t="s">
        <v>107</v>
      </c>
      <c r="C33" s="27" t="s">
        <v>17</v>
      </c>
      <c r="D33" s="28">
        <v>112199224</v>
      </c>
    </row>
    <row r="34" spans="1:4" ht="14.5">
      <c r="A34" s="29" t="s">
        <v>101</v>
      </c>
      <c r="B34" s="29" t="s">
        <v>108</v>
      </c>
      <c r="C34" s="29" t="s">
        <v>17</v>
      </c>
      <c r="D34" s="30">
        <v>105529550</v>
      </c>
    </row>
    <row r="35" spans="1:4" ht="14.5">
      <c r="A35" s="27" t="s">
        <v>98</v>
      </c>
      <c r="B35" s="27" t="s">
        <v>75</v>
      </c>
      <c r="C35" s="27" t="s">
        <v>17</v>
      </c>
      <c r="D35" s="28">
        <v>98813309</v>
      </c>
    </row>
    <row r="36" spans="1:4" ht="14.5">
      <c r="A36" s="29" t="s">
        <v>101</v>
      </c>
      <c r="B36" s="29" t="s">
        <v>109</v>
      </c>
      <c r="C36" s="29" t="s">
        <v>17</v>
      </c>
      <c r="D36" s="30">
        <v>84605710</v>
      </c>
    </row>
    <row r="37" spans="1:4" ht="14.5">
      <c r="A37" s="27" t="s">
        <v>101</v>
      </c>
      <c r="B37" s="27" t="s">
        <v>110</v>
      </c>
      <c r="C37" s="27" t="s">
        <v>17</v>
      </c>
      <c r="D37" s="28">
        <v>74027375</v>
      </c>
    </row>
    <row r="38" spans="1:4" ht="14.5">
      <c r="A38" s="29" t="s">
        <v>101</v>
      </c>
      <c r="B38" s="29" t="s">
        <v>111</v>
      </c>
      <c r="C38" s="29" t="s">
        <v>17</v>
      </c>
      <c r="D38" s="30">
        <v>72622839</v>
      </c>
    </row>
    <row r="39" spans="1:4" ht="14.5">
      <c r="A39" s="27" t="s">
        <v>101</v>
      </c>
      <c r="B39" s="27" t="s">
        <v>112</v>
      </c>
      <c r="C39" s="27" t="s">
        <v>17</v>
      </c>
      <c r="D39" s="28">
        <v>70196461</v>
      </c>
    </row>
    <row r="40" spans="1:4" ht="14.5">
      <c r="A40" s="29" t="s">
        <v>98</v>
      </c>
      <c r="B40" s="29" t="s">
        <v>16</v>
      </c>
      <c r="C40" s="29" t="s">
        <v>17</v>
      </c>
      <c r="D40" s="30">
        <v>67127746</v>
      </c>
    </row>
    <row r="41" spans="1:4" ht="14.5">
      <c r="A41" s="27" t="s">
        <v>101</v>
      </c>
      <c r="B41" s="27" t="s">
        <v>113</v>
      </c>
      <c r="C41" s="27" t="s">
        <v>17</v>
      </c>
      <c r="D41" s="28">
        <v>67032143</v>
      </c>
    </row>
    <row r="42" spans="1:4" ht="14.5">
      <c r="A42" s="29" t="s">
        <v>101</v>
      </c>
      <c r="B42" s="29" t="s">
        <v>114</v>
      </c>
      <c r="C42" s="29" t="s">
        <v>17</v>
      </c>
      <c r="D42" s="30">
        <v>59113450</v>
      </c>
    </row>
    <row r="43" spans="1:4" ht="14.5">
      <c r="A43" s="27" t="s">
        <v>101</v>
      </c>
      <c r="B43" s="27" t="s">
        <v>115</v>
      </c>
      <c r="C43" s="27" t="s">
        <v>17</v>
      </c>
      <c r="D43" s="28">
        <v>56487006</v>
      </c>
    </row>
    <row r="44" spans="1:4" ht="14.5">
      <c r="A44" s="29" t="s">
        <v>101</v>
      </c>
      <c r="B44" s="29" t="s">
        <v>116</v>
      </c>
      <c r="C44" s="29" t="s">
        <v>17</v>
      </c>
      <c r="D44" s="30">
        <v>52500000</v>
      </c>
    </row>
    <row r="45" spans="1:4" ht="14.5">
      <c r="A45" s="27" t="s">
        <v>101</v>
      </c>
      <c r="B45" s="27" t="s">
        <v>117</v>
      </c>
      <c r="C45" s="27" t="s">
        <v>17</v>
      </c>
      <c r="D45" s="28">
        <v>52500000</v>
      </c>
    </row>
    <row r="46" spans="1:4" ht="14.5">
      <c r="A46" s="29" t="s">
        <v>101</v>
      </c>
      <c r="B46" s="29" t="s">
        <v>118</v>
      </c>
      <c r="C46" s="29" t="s">
        <v>17</v>
      </c>
      <c r="D46" s="30">
        <v>51403762</v>
      </c>
    </row>
    <row r="47" spans="1:4" ht="14.5">
      <c r="A47" s="27" t="s">
        <v>101</v>
      </c>
      <c r="B47" s="27" t="s">
        <v>119</v>
      </c>
      <c r="C47" s="27" t="s">
        <v>17</v>
      </c>
      <c r="D47" s="28">
        <v>47718000</v>
      </c>
    </row>
    <row r="48" spans="1:4" ht="14.5">
      <c r="A48" s="29" t="s">
        <v>101</v>
      </c>
      <c r="B48" s="29" t="s">
        <v>120</v>
      </c>
      <c r="C48" s="29" t="s">
        <v>17</v>
      </c>
      <c r="D48" s="30">
        <v>47550462</v>
      </c>
    </row>
    <row r="49" spans="1:4" ht="14.5">
      <c r="A49" s="27" t="s">
        <v>101</v>
      </c>
      <c r="B49" s="27" t="s">
        <v>121</v>
      </c>
      <c r="C49" s="27" t="s">
        <v>17</v>
      </c>
      <c r="D49" s="28">
        <v>45656600</v>
      </c>
    </row>
    <row r="50" spans="1:4" ht="14.5">
      <c r="A50" s="29" t="s">
        <v>101</v>
      </c>
      <c r="B50" s="29" t="s">
        <v>122</v>
      </c>
      <c r="C50" s="29" t="s">
        <v>17</v>
      </c>
      <c r="D50" s="30">
        <v>41402333</v>
      </c>
    </row>
    <row r="51" spans="1:4" ht="14.5">
      <c r="A51" s="27" t="s">
        <v>101</v>
      </c>
      <c r="B51" s="27" t="s">
        <v>123</v>
      </c>
      <c r="C51" s="27" t="s">
        <v>17</v>
      </c>
      <c r="D51" s="28">
        <v>40713918</v>
      </c>
    </row>
    <row r="52" spans="1:4" ht="14.5">
      <c r="A52" s="29" t="s">
        <v>101</v>
      </c>
      <c r="B52" s="29" t="s">
        <v>124</v>
      </c>
      <c r="C52" s="29" t="s">
        <v>17</v>
      </c>
      <c r="D52" s="30">
        <v>39500000</v>
      </c>
    </row>
    <row r="53" spans="1:4" ht="14.5">
      <c r="A53" s="27" t="s">
        <v>101</v>
      </c>
      <c r="B53" s="27" t="s">
        <v>125</v>
      </c>
      <c r="C53" s="27" t="s">
        <v>17</v>
      </c>
      <c r="D53" s="28">
        <v>38570000</v>
      </c>
    </row>
    <row r="54" spans="1:4" ht="14.5">
      <c r="A54" s="29" t="s">
        <v>101</v>
      </c>
      <c r="B54" s="29" t="s">
        <v>126</v>
      </c>
      <c r="C54" s="29" t="s">
        <v>17</v>
      </c>
      <c r="D54" s="30">
        <v>37500000</v>
      </c>
    </row>
    <row r="55" spans="1:4" ht="14.5">
      <c r="A55" s="27" t="s">
        <v>101</v>
      </c>
      <c r="B55" s="27" t="s">
        <v>127</v>
      </c>
      <c r="C55" s="27" t="s">
        <v>17</v>
      </c>
      <c r="D55" s="28">
        <v>35108049</v>
      </c>
    </row>
    <row r="56" spans="1:4" ht="14.5">
      <c r="A56" s="29" t="s">
        <v>101</v>
      </c>
      <c r="B56" s="29" t="s">
        <v>128</v>
      </c>
      <c r="C56" s="29" t="s">
        <v>17</v>
      </c>
      <c r="D56" s="30">
        <v>34568373</v>
      </c>
    </row>
    <row r="57" spans="1:4" ht="14.5">
      <c r="A57" s="27" t="s">
        <v>101</v>
      </c>
      <c r="B57" s="27" t="s">
        <v>129</v>
      </c>
      <c r="C57" s="27" t="s">
        <v>17</v>
      </c>
      <c r="D57" s="28">
        <v>33874908</v>
      </c>
    </row>
    <row r="58" spans="1:4" ht="14.5">
      <c r="A58" s="29" t="s">
        <v>101</v>
      </c>
      <c r="B58" s="29" t="s">
        <v>130</v>
      </c>
      <c r="C58" s="29" t="s">
        <v>17</v>
      </c>
      <c r="D58" s="30">
        <v>30669315</v>
      </c>
    </row>
    <row r="59" spans="1:4" ht="14.5">
      <c r="A59" s="27" t="s">
        <v>101</v>
      </c>
      <c r="B59" s="27" t="s">
        <v>131</v>
      </c>
      <c r="C59" s="27" t="s">
        <v>17</v>
      </c>
      <c r="D59" s="28">
        <v>29772500</v>
      </c>
    </row>
    <row r="60" spans="1:4" ht="14.5">
      <c r="A60" s="29" t="s">
        <v>101</v>
      </c>
      <c r="B60" s="29" t="s">
        <v>132</v>
      </c>
      <c r="C60" s="29" t="s">
        <v>17</v>
      </c>
      <c r="D60" s="30">
        <v>28604600</v>
      </c>
    </row>
    <row r="61" spans="1:4" ht="14.5">
      <c r="A61" s="27" t="s">
        <v>101</v>
      </c>
      <c r="B61" s="27" t="s">
        <v>133</v>
      </c>
      <c r="C61" s="27" t="s">
        <v>17</v>
      </c>
      <c r="D61" s="28">
        <v>28144000</v>
      </c>
    </row>
    <row r="62" spans="1:4" ht="14.5">
      <c r="A62" s="29" t="s">
        <v>101</v>
      </c>
      <c r="B62" s="29" t="s">
        <v>134</v>
      </c>
      <c r="C62" s="29" t="s">
        <v>17</v>
      </c>
      <c r="D62" s="30">
        <v>27500000</v>
      </c>
    </row>
    <row r="63" spans="1:4" ht="14.5">
      <c r="A63" s="27" t="s">
        <v>101</v>
      </c>
      <c r="B63" s="27" t="s">
        <v>135</v>
      </c>
      <c r="C63" s="27" t="s">
        <v>17</v>
      </c>
      <c r="D63" s="28">
        <v>27450000</v>
      </c>
    </row>
    <row r="64" spans="1:4" ht="14.5">
      <c r="A64" s="29" t="s">
        <v>101</v>
      </c>
      <c r="B64" s="29" t="s">
        <v>136</v>
      </c>
      <c r="C64" s="29" t="s">
        <v>17</v>
      </c>
      <c r="D64" s="30">
        <v>27450000</v>
      </c>
    </row>
    <row r="65" spans="1:4" ht="14.5">
      <c r="A65" s="27" t="s">
        <v>101</v>
      </c>
      <c r="B65" s="27" t="s">
        <v>137</v>
      </c>
      <c r="C65" s="27" t="s">
        <v>17</v>
      </c>
      <c r="D65" s="28">
        <v>27439500</v>
      </c>
    </row>
    <row r="66" spans="1:4" ht="14.5">
      <c r="A66" s="29" t="s">
        <v>101</v>
      </c>
      <c r="B66" s="29" t="s">
        <v>138</v>
      </c>
      <c r="C66" s="29" t="s">
        <v>17</v>
      </c>
      <c r="D66" s="30">
        <v>26060484</v>
      </c>
    </row>
    <row r="67" spans="1:4" ht="14.5">
      <c r="A67" s="27" t="s">
        <v>101</v>
      </c>
      <c r="B67" s="27" t="s">
        <v>139</v>
      </c>
      <c r="C67" s="27" t="s">
        <v>17</v>
      </c>
      <c r="D67" s="28">
        <v>25000000</v>
      </c>
    </row>
    <row r="68" spans="1:4" ht="14.5">
      <c r="A68" s="29" t="s">
        <v>101</v>
      </c>
      <c r="B68" s="29" t="s">
        <v>140</v>
      </c>
      <c r="C68" s="29" t="s">
        <v>17</v>
      </c>
      <c r="D68" s="30">
        <v>24512500</v>
      </c>
    </row>
    <row r="69" spans="1:4" ht="14.5">
      <c r="A69" s="27" t="s">
        <v>101</v>
      </c>
      <c r="B69" s="27" t="s">
        <v>141</v>
      </c>
      <c r="C69" s="27" t="s">
        <v>17</v>
      </c>
      <c r="D69" s="28">
        <v>24095500</v>
      </c>
    </row>
    <row r="70" spans="1:4" ht="14.5">
      <c r="A70" s="29" t="s">
        <v>101</v>
      </c>
      <c r="B70" s="29" t="s">
        <v>142</v>
      </c>
      <c r="C70" s="29" t="s">
        <v>17</v>
      </c>
      <c r="D70" s="30">
        <v>23833500</v>
      </c>
    </row>
    <row r="71" spans="1:4" ht="14.5">
      <c r="A71" s="27" t="s">
        <v>101</v>
      </c>
      <c r="B71" s="27" t="s">
        <v>143</v>
      </c>
      <c r="C71" s="27" t="s">
        <v>17</v>
      </c>
      <c r="D71" s="28">
        <v>23015175</v>
      </c>
    </row>
    <row r="72" spans="1:4" ht="14.5">
      <c r="A72" s="29" t="s">
        <v>101</v>
      </c>
      <c r="B72" s="29" t="s">
        <v>144</v>
      </c>
      <c r="C72" s="29" t="s">
        <v>17</v>
      </c>
      <c r="D72" s="30">
        <v>22925000</v>
      </c>
    </row>
    <row r="73" spans="1:4" ht="14.5">
      <c r="A73" s="27" t="s">
        <v>98</v>
      </c>
      <c r="B73" s="27" t="s">
        <v>86</v>
      </c>
      <c r="C73" s="27" t="s">
        <v>85</v>
      </c>
      <c r="D73" s="28">
        <v>22517471</v>
      </c>
    </row>
    <row r="74" spans="1:4" ht="14.5">
      <c r="A74" s="29" t="s">
        <v>101</v>
      </c>
      <c r="B74" s="29" t="s">
        <v>145</v>
      </c>
      <c r="C74" s="29" t="s">
        <v>17</v>
      </c>
      <c r="D74" s="30">
        <v>20828000</v>
      </c>
    </row>
    <row r="75" spans="1:4" ht="14.5">
      <c r="A75" s="27" t="s">
        <v>101</v>
      </c>
      <c r="B75" s="27" t="s">
        <v>146</v>
      </c>
      <c r="C75" s="27" t="s">
        <v>17</v>
      </c>
      <c r="D75" s="28">
        <v>20290000</v>
      </c>
    </row>
    <row r="76" spans="1:4" ht="14.5">
      <c r="A76" s="29" t="s">
        <v>101</v>
      </c>
      <c r="B76" s="29" t="s">
        <v>147</v>
      </c>
      <c r="C76" s="29" t="s">
        <v>17</v>
      </c>
      <c r="D76" s="30">
        <v>19765000</v>
      </c>
    </row>
    <row r="77" spans="1:4" ht="14.5">
      <c r="A77" s="27" t="s">
        <v>101</v>
      </c>
      <c r="B77" s="27" t="s">
        <v>148</v>
      </c>
      <c r="C77" s="27" t="s">
        <v>17</v>
      </c>
      <c r="D77" s="28">
        <v>19283815</v>
      </c>
    </row>
    <row r="78" spans="1:4" ht="14.5">
      <c r="A78" s="29" t="s">
        <v>101</v>
      </c>
      <c r="B78" s="29" t="s">
        <v>149</v>
      </c>
      <c r="C78" s="29" t="s">
        <v>17</v>
      </c>
      <c r="D78" s="30">
        <v>19049845</v>
      </c>
    </row>
    <row r="79" spans="1:4" ht="14.5">
      <c r="A79" s="27" t="s">
        <v>101</v>
      </c>
      <c r="B79" s="27" t="s">
        <v>150</v>
      </c>
      <c r="C79" s="27" t="s">
        <v>17</v>
      </c>
      <c r="D79" s="28">
        <v>17603617</v>
      </c>
    </row>
    <row r="80" spans="1:4" ht="14.5">
      <c r="A80" s="29" t="s">
        <v>101</v>
      </c>
      <c r="B80" s="29" t="s">
        <v>151</v>
      </c>
      <c r="C80" s="29" t="s">
        <v>17</v>
      </c>
      <c r="D80" s="30">
        <v>17399880</v>
      </c>
    </row>
    <row r="81" spans="1:4" ht="14.5">
      <c r="A81" s="27" t="s">
        <v>101</v>
      </c>
      <c r="B81" s="27" t="s">
        <v>152</v>
      </c>
      <c r="C81" s="27" t="s">
        <v>17</v>
      </c>
      <c r="D81" s="28">
        <v>17041712</v>
      </c>
    </row>
    <row r="82" spans="1:4" ht="14.5">
      <c r="A82" s="29" t="s">
        <v>101</v>
      </c>
      <c r="B82" s="29" t="s">
        <v>153</v>
      </c>
      <c r="C82" s="29" t="s">
        <v>17</v>
      </c>
      <c r="D82" s="30">
        <v>16640000</v>
      </c>
    </row>
    <row r="83" spans="1:4" ht="14.5">
      <c r="A83" s="27" t="s">
        <v>101</v>
      </c>
      <c r="B83" s="27" t="s">
        <v>154</v>
      </c>
      <c r="C83" s="27" t="s">
        <v>17</v>
      </c>
      <c r="D83" s="28">
        <v>15650000</v>
      </c>
    </row>
    <row r="84" spans="1:4" ht="14.5">
      <c r="A84" s="29" t="s">
        <v>101</v>
      </c>
      <c r="B84" s="29" t="s">
        <v>155</v>
      </c>
      <c r="C84" s="29" t="s">
        <v>17</v>
      </c>
      <c r="D84" s="30">
        <v>15456480</v>
      </c>
    </row>
    <row r="85" spans="1:4" ht="14.5">
      <c r="A85" s="27" t="s">
        <v>101</v>
      </c>
      <c r="B85" s="27" t="s">
        <v>156</v>
      </c>
      <c r="C85" s="27" t="s">
        <v>17</v>
      </c>
      <c r="D85" s="28">
        <v>15042407</v>
      </c>
    </row>
    <row r="86" spans="1:4" ht="14.5">
      <c r="A86" s="29" t="s">
        <v>101</v>
      </c>
      <c r="B86" s="29" t="s">
        <v>157</v>
      </c>
      <c r="C86" s="29" t="s">
        <v>17</v>
      </c>
      <c r="D86" s="30">
        <v>14756523</v>
      </c>
    </row>
    <row r="87" spans="1:4" ht="14.5">
      <c r="A87" s="27" t="s">
        <v>101</v>
      </c>
      <c r="B87" s="27" t="s">
        <v>158</v>
      </c>
      <c r="C87" s="27" t="s">
        <v>17</v>
      </c>
      <c r="D87" s="28">
        <v>13934658</v>
      </c>
    </row>
    <row r="88" spans="1:4" ht="14.5">
      <c r="A88" s="29" t="s">
        <v>101</v>
      </c>
      <c r="B88" s="29" t="s">
        <v>159</v>
      </c>
      <c r="C88" s="29" t="s">
        <v>17</v>
      </c>
      <c r="D88" s="30">
        <v>13820210</v>
      </c>
    </row>
    <row r="89" spans="1:4" ht="14.5">
      <c r="A89" s="27" t="s">
        <v>101</v>
      </c>
      <c r="B89" s="27" t="s">
        <v>160</v>
      </c>
      <c r="C89" s="27" t="s">
        <v>17</v>
      </c>
      <c r="D89" s="28">
        <v>13495012</v>
      </c>
    </row>
    <row r="90" spans="1:4" ht="14.5">
      <c r="A90" s="29" t="s">
        <v>101</v>
      </c>
      <c r="B90" s="29" t="s">
        <v>161</v>
      </c>
      <c r="C90" s="29" t="s">
        <v>17</v>
      </c>
      <c r="D90" s="30">
        <v>13390078</v>
      </c>
    </row>
    <row r="91" spans="1:4" ht="14.5">
      <c r="A91" s="27" t="s">
        <v>101</v>
      </c>
      <c r="B91" s="27" t="s">
        <v>162</v>
      </c>
      <c r="C91" s="27" t="s">
        <v>17</v>
      </c>
      <c r="D91" s="28">
        <v>13050432</v>
      </c>
    </row>
    <row r="92" spans="1:4" ht="14.5">
      <c r="A92" s="29" t="s">
        <v>101</v>
      </c>
      <c r="B92" s="29" t="s">
        <v>163</v>
      </c>
      <c r="C92" s="29" t="s">
        <v>17</v>
      </c>
      <c r="D92" s="30">
        <v>12981380</v>
      </c>
    </row>
    <row r="93" spans="1:4" ht="14.5">
      <c r="A93" s="27" t="s">
        <v>101</v>
      </c>
      <c r="B93" s="27" t="s">
        <v>164</v>
      </c>
      <c r="C93" s="27" t="s">
        <v>17</v>
      </c>
      <c r="D93" s="28">
        <v>12820000</v>
      </c>
    </row>
    <row r="94" spans="1:4" ht="14.5">
      <c r="A94" s="29" t="s">
        <v>101</v>
      </c>
      <c r="B94" s="29" t="s">
        <v>165</v>
      </c>
      <c r="C94" s="29" t="s">
        <v>17</v>
      </c>
      <c r="D94" s="30">
        <v>12295139</v>
      </c>
    </row>
    <row r="95" spans="1:4" ht="14.5">
      <c r="A95" s="27" t="s">
        <v>101</v>
      </c>
      <c r="B95" s="27" t="s">
        <v>166</v>
      </c>
      <c r="C95" s="27" t="s">
        <v>17</v>
      </c>
      <c r="D95" s="28">
        <v>12290000</v>
      </c>
    </row>
    <row r="96" spans="1:4" ht="14.5">
      <c r="A96" s="29" t="s">
        <v>101</v>
      </c>
      <c r="B96" s="29" t="s">
        <v>167</v>
      </c>
      <c r="C96" s="29" t="s">
        <v>17</v>
      </c>
      <c r="D96" s="30">
        <v>12079167</v>
      </c>
    </row>
    <row r="97" spans="1:4" ht="14.5">
      <c r="A97" s="27" t="s">
        <v>101</v>
      </c>
      <c r="B97" s="27" t="s">
        <v>168</v>
      </c>
      <c r="C97" s="27" t="s">
        <v>17</v>
      </c>
      <c r="D97" s="28">
        <v>12076235</v>
      </c>
    </row>
    <row r="98" spans="1:4" ht="14.5">
      <c r="A98" s="29" t="s">
        <v>101</v>
      </c>
      <c r="B98" s="29" t="s">
        <v>169</v>
      </c>
      <c r="C98" s="29" t="s">
        <v>17</v>
      </c>
      <c r="D98" s="30">
        <v>11922000</v>
      </c>
    </row>
    <row r="99" spans="1:4" ht="14.5">
      <c r="A99" s="27" t="s">
        <v>101</v>
      </c>
      <c r="B99" s="27" t="s">
        <v>170</v>
      </c>
      <c r="C99" s="27" t="s">
        <v>17</v>
      </c>
      <c r="D99" s="28">
        <v>11566012</v>
      </c>
    </row>
    <row r="100" spans="1:4" ht="14.5">
      <c r="A100" s="29" t="s">
        <v>101</v>
      </c>
      <c r="B100" s="29" t="s">
        <v>171</v>
      </c>
      <c r="C100" s="29" t="s">
        <v>17</v>
      </c>
      <c r="D100" s="30">
        <v>11250000</v>
      </c>
    </row>
    <row r="101" spans="1:4" ht="14.5">
      <c r="A101" s="27" t="s">
        <v>101</v>
      </c>
      <c r="B101" s="27" t="s">
        <v>172</v>
      </c>
      <c r="C101" s="27" t="s">
        <v>17</v>
      </c>
      <c r="D101" s="28">
        <v>11063900</v>
      </c>
    </row>
    <row r="102" spans="1:4" ht="14.5">
      <c r="A102" s="29" t="s">
        <v>101</v>
      </c>
      <c r="B102" s="29" t="s">
        <v>173</v>
      </c>
      <c r="C102" s="29" t="s">
        <v>17</v>
      </c>
      <c r="D102" s="30">
        <v>11000000</v>
      </c>
    </row>
    <row r="103" spans="1:4" ht="14.5">
      <c r="A103" s="27" t="s">
        <v>101</v>
      </c>
      <c r="B103" s="27" t="s">
        <v>174</v>
      </c>
      <c r="C103" s="27" t="s">
        <v>17</v>
      </c>
      <c r="D103" s="28">
        <v>10713235</v>
      </c>
    </row>
    <row r="104" spans="1:4" ht="14.5">
      <c r="A104" s="29" t="s">
        <v>101</v>
      </c>
      <c r="B104" s="29" t="s">
        <v>175</v>
      </c>
      <c r="C104" s="29" t="s">
        <v>17</v>
      </c>
      <c r="D104" s="30">
        <v>10679040</v>
      </c>
    </row>
    <row r="105" spans="1:4" ht="14.5">
      <c r="A105" s="27" t="s">
        <v>101</v>
      </c>
      <c r="B105" s="27" t="s">
        <v>176</v>
      </c>
      <c r="C105" s="27" t="s">
        <v>17</v>
      </c>
      <c r="D105" s="28">
        <v>10440000</v>
      </c>
    </row>
    <row r="106" spans="1:4" ht="14.5">
      <c r="A106" s="29" t="s">
        <v>101</v>
      </c>
      <c r="B106" s="29" t="s">
        <v>177</v>
      </c>
      <c r="C106" s="29" t="s">
        <v>17</v>
      </c>
      <c r="D106" s="30">
        <v>10322000</v>
      </c>
    </row>
    <row r="107" spans="1:4" ht="14.5">
      <c r="A107" s="27" t="s">
        <v>101</v>
      </c>
      <c r="B107" s="27" t="s">
        <v>178</v>
      </c>
      <c r="C107" s="27" t="s">
        <v>17</v>
      </c>
      <c r="D107" s="28">
        <v>10228300</v>
      </c>
    </row>
    <row r="108" spans="1:4" ht="14.5">
      <c r="A108" s="29" t="s">
        <v>101</v>
      </c>
      <c r="B108" s="29" t="s">
        <v>179</v>
      </c>
      <c r="C108" s="29" t="s">
        <v>17</v>
      </c>
      <c r="D108" s="30">
        <v>10061500</v>
      </c>
    </row>
    <row r="109" spans="1:4" ht="14.5">
      <c r="A109" s="27" t="s">
        <v>101</v>
      </c>
      <c r="B109" s="27" t="s">
        <v>180</v>
      </c>
      <c r="C109" s="27" t="s">
        <v>17</v>
      </c>
      <c r="D109" s="28">
        <v>9925000</v>
      </c>
    </row>
    <row r="110" spans="1:4" ht="14.5">
      <c r="A110" s="29" t="s">
        <v>101</v>
      </c>
      <c r="B110" s="29" t="s">
        <v>181</v>
      </c>
      <c r="C110" s="29" t="s">
        <v>17</v>
      </c>
      <c r="D110" s="30">
        <v>9838160</v>
      </c>
    </row>
    <row r="111" spans="1:4" ht="14.5">
      <c r="A111" s="27" t="s">
        <v>101</v>
      </c>
      <c r="B111" s="27" t="s">
        <v>182</v>
      </c>
      <c r="C111" s="27" t="s">
        <v>17</v>
      </c>
      <c r="D111" s="28">
        <v>9777500</v>
      </c>
    </row>
    <row r="112" spans="1:4" ht="14.5">
      <c r="A112" s="29" t="s">
        <v>101</v>
      </c>
      <c r="B112" s="29" t="s">
        <v>183</v>
      </c>
      <c r="C112" s="29" t="s">
        <v>17</v>
      </c>
      <c r="D112" s="30">
        <v>9400000</v>
      </c>
    </row>
    <row r="113" spans="1:4" ht="14.5">
      <c r="A113" s="27" t="s">
        <v>101</v>
      </c>
      <c r="B113" s="27" t="s">
        <v>184</v>
      </c>
      <c r="C113" s="27" t="s">
        <v>17</v>
      </c>
      <c r="D113" s="28">
        <v>9390000</v>
      </c>
    </row>
    <row r="114" spans="1:4" ht="14.5">
      <c r="A114" s="29" t="s">
        <v>101</v>
      </c>
      <c r="B114" s="29" t="s">
        <v>185</v>
      </c>
      <c r="C114" s="29" t="s">
        <v>17</v>
      </c>
      <c r="D114" s="30">
        <v>9387840</v>
      </c>
    </row>
    <row r="115" spans="1:4" ht="14.5">
      <c r="A115" s="27" t="s">
        <v>101</v>
      </c>
      <c r="B115" s="27" t="s">
        <v>186</v>
      </c>
      <c r="C115" s="27" t="s">
        <v>17</v>
      </c>
      <c r="D115" s="28">
        <v>9260000</v>
      </c>
    </row>
    <row r="116" spans="1:4" ht="14.5">
      <c r="A116" s="29" t="s">
        <v>101</v>
      </c>
      <c r="B116" s="29" t="s">
        <v>187</v>
      </c>
      <c r="C116" s="29" t="s">
        <v>17</v>
      </c>
      <c r="D116" s="30">
        <v>9118900</v>
      </c>
    </row>
    <row r="117" spans="1:4" ht="14.5">
      <c r="A117" s="27" t="s">
        <v>101</v>
      </c>
      <c r="B117" s="27" t="s">
        <v>188</v>
      </c>
      <c r="C117" s="27" t="s">
        <v>17</v>
      </c>
      <c r="D117" s="28">
        <v>8636175</v>
      </c>
    </row>
    <row r="118" spans="1:4" ht="14.5">
      <c r="A118" s="29" t="s">
        <v>101</v>
      </c>
      <c r="B118" s="29" t="s">
        <v>189</v>
      </c>
      <c r="C118" s="29" t="s">
        <v>17</v>
      </c>
      <c r="D118" s="30">
        <v>8410000</v>
      </c>
    </row>
    <row r="119" spans="1:4" ht="14.5">
      <c r="A119" s="27" t="s">
        <v>101</v>
      </c>
      <c r="B119" s="27" t="s">
        <v>190</v>
      </c>
      <c r="C119" s="27" t="s">
        <v>17</v>
      </c>
      <c r="D119" s="28">
        <v>8347901</v>
      </c>
    </row>
    <row r="120" spans="1:4" ht="14.5">
      <c r="A120" s="29" t="s">
        <v>101</v>
      </c>
      <c r="B120" s="29" t="s">
        <v>191</v>
      </c>
      <c r="C120" s="29" t="s">
        <v>17</v>
      </c>
      <c r="D120" s="30">
        <v>8178500</v>
      </c>
    </row>
    <row r="121" spans="1:4" ht="14.5">
      <c r="A121" s="27" t="s">
        <v>101</v>
      </c>
      <c r="B121" s="27" t="s">
        <v>192</v>
      </c>
      <c r="C121" s="27" t="s">
        <v>17</v>
      </c>
      <c r="D121" s="28">
        <v>8167500</v>
      </c>
    </row>
    <row r="122" spans="1:4" ht="14.5">
      <c r="A122" s="29" t="s">
        <v>101</v>
      </c>
      <c r="B122" s="29" t="s">
        <v>193</v>
      </c>
      <c r="C122" s="29" t="s">
        <v>17</v>
      </c>
      <c r="D122" s="30">
        <v>8108500</v>
      </c>
    </row>
    <row r="123" spans="1:4" ht="14.5">
      <c r="A123" s="27" t="s">
        <v>101</v>
      </c>
      <c r="B123" s="27" t="s">
        <v>194</v>
      </c>
      <c r="C123" s="27" t="s">
        <v>17</v>
      </c>
      <c r="D123" s="28">
        <v>8002900</v>
      </c>
    </row>
    <row r="124" spans="1:4" ht="14.5">
      <c r="A124" s="29" t="s">
        <v>101</v>
      </c>
      <c r="B124" s="29" t="s">
        <v>195</v>
      </c>
      <c r="C124" s="29" t="s">
        <v>17</v>
      </c>
      <c r="D124" s="30">
        <v>7999425</v>
      </c>
    </row>
    <row r="125" spans="1:4" ht="14.5">
      <c r="A125" s="27" t="s">
        <v>101</v>
      </c>
      <c r="B125" s="27" t="s">
        <v>196</v>
      </c>
      <c r="C125" s="27" t="s">
        <v>17</v>
      </c>
      <c r="D125" s="28">
        <v>7983920</v>
      </c>
    </row>
    <row r="126" spans="1:4" ht="14.5">
      <c r="A126" s="29" t="s">
        <v>101</v>
      </c>
      <c r="B126" s="29" t="s">
        <v>197</v>
      </c>
      <c r="C126" s="29" t="s">
        <v>17</v>
      </c>
      <c r="D126" s="30">
        <v>7754745</v>
      </c>
    </row>
    <row r="127" spans="1:4" ht="14.5">
      <c r="A127" s="27" t="s">
        <v>101</v>
      </c>
      <c r="B127" s="27" t="s">
        <v>198</v>
      </c>
      <c r="C127" s="27" t="s">
        <v>17</v>
      </c>
      <c r="D127" s="28">
        <v>7386100</v>
      </c>
    </row>
    <row r="128" spans="1:4" ht="14.5">
      <c r="A128" s="29" t="s">
        <v>101</v>
      </c>
      <c r="B128" s="29" t="s">
        <v>199</v>
      </c>
      <c r="C128" s="29" t="s">
        <v>17</v>
      </c>
      <c r="D128" s="30">
        <v>7127100</v>
      </c>
    </row>
    <row r="129" spans="1:4" ht="14.5">
      <c r="A129" s="27" t="s">
        <v>101</v>
      </c>
      <c r="B129" s="27" t="s">
        <v>200</v>
      </c>
      <c r="C129" s="27" t="s">
        <v>17</v>
      </c>
      <c r="D129" s="28">
        <v>7038100</v>
      </c>
    </row>
    <row r="130" spans="1:4" ht="14.5">
      <c r="A130" s="29" t="s">
        <v>101</v>
      </c>
      <c r="B130" s="29" t="s">
        <v>201</v>
      </c>
      <c r="C130" s="29" t="s">
        <v>17</v>
      </c>
      <c r="D130" s="30">
        <v>7027000</v>
      </c>
    </row>
    <row r="131" spans="1:4" ht="14.5">
      <c r="A131" s="27" t="s">
        <v>101</v>
      </c>
      <c r="B131" s="27" t="s">
        <v>202</v>
      </c>
      <c r="C131" s="27" t="s">
        <v>17</v>
      </c>
      <c r="D131" s="28">
        <v>6937056</v>
      </c>
    </row>
    <row r="132" spans="1:4" ht="14.5">
      <c r="A132" s="29" t="s">
        <v>101</v>
      </c>
      <c r="B132" s="29" t="s">
        <v>203</v>
      </c>
      <c r="C132" s="29" t="s">
        <v>17</v>
      </c>
      <c r="D132" s="30">
        <v>6930000</v>
      </c>
    </row>
    <row r="133" spans="1:4" ht="14.5">
      <c r="A133" s="27" t="s">
        <v>101</v>
      </c>
      <c r="B133" s="27" t="s">
        <v>204</v>
      </c>
      <c r="C133" s="27" t="s">
        <v>17</v>
      </c>
      <c r="D133" s="28">
        <v>6916900</v>
      </c>
    </row>
    <row r="134" spans="1:4" ht="14.5">
      <c r="A134" s="29" t="s">
        <v>101</v>
      </c>
      <c r="B134" s="29" t="s">
        <v>205</v>
      </c>
      <c r="C134" s="29" t="s">
        <v>17</v>
      </c>
      <c r="D134" s="30">
        <v>6901000</v>
      </c>
    </row>
    <row r="135" spans="1:4" ht="14.5">
      <c r="A135" s="27" t="s">
        <v>101</v>
      </c>
      <c r="B135" s="27" t="s">
        <v>206</v>
      </c>
      <c r="C135" s="27" t="s">
        <v>17</v>
      </c>
      <c r="D135" s="28">
        <v>6856000</v>
      </c>
    </row>
    <row r="136" spans="1:4" ht="14.5">
      <c r="A136" s="29" t="s">
        <v>101</v>
      </c>
      <c r="B136" s="29" t="s">
        <v>207</v>
      </c>
      <c r="C136" s="29" t="s">
        <v>17</v>
      </c>
      <c r="D136" s="30">
        <v>6835040</v>
      </c>
    </row>
    <row r="137" spans="1:4" ht="14.5">
      <c r="A137" s="27" t="s">
        <v>101</v>
      </c>
      <c r="B137" s="27" t="s">
        <v>208</v>
      </c>
      <c r="C137" s="27" t="s">
        <v>17</v>
      </c>
      <c r="D137" s="28">
        <v>6641500</v>
      </c>
    </row>
    <row r="138" spans="1:4" ht="14.5">
      <c r="A138" s="29" t="s">
        <v>101</v>
      </c>
      <c r="B138" s="29" t="s">
        <v>209</v>
      </c>
      <c r="C138" s="29" t="s">
        <v>17</v>
      </c>
      <c r="D138" s="30">
        <v>6500000</v>
      </c>
    </row>
    <row r="139" spans="1:4" ht="14.5">
      <c r="A139" s="27" t="s">
        <v>101</v>
      </c>
      <c r="B139" s="27" t="s">
        <v>210</v>
      </c>
      <c r="C139" s="27" t="s">
        <v>17</v>
      </c>
      <c r="D139" s="28">
        <v>6443850</v>
      </c>
    </row>
    <row r="140" spans="1:4" ht="14.5">
      <c r="A140" s="29" t="s">
        <v>101</v>
      </c>
      <c r="B140" s="29" t="s">
        <v>211</v>
      </c>
      <c r="C140" s="29" t="s">
        <v>17</v>
      </c>
      <c r="D140" s="30">
        <v>6400000</v>
      </c>
    </row>
    <row r="141" spans="1:4" ht="14.5">
      <c r="A141" s="27" t="s">
        <v>101</v>
      </c>
      <c r="B141" s="27" t="s">
        <v>212</v>
      </c>
      <c r="C141" s="27" t="s">
        <v>17</v>
      </c>
      <c r="D141" s="28">
        <v>6153875</v>
      </c>
    </row>
    <row r="142" spans="1:4" ht="14.5">
      <c r="A142" s="29" t="s">
        <v>101</v>
      </c>
      <c r="B142" s="29" t="s">
        <v>213</v>
      </c>
      <c r="C142" s="29" t="s">
        <v>17</v>
      </c>
      <c r="D142" s="30">
        <v>6022360</v>
      </c>
    </row>
    <row r="143" spans="1:4" ht="14.5">
      <c r="A143" s="27" t="s">
        <v>101</v>
      </c>
      <c r="B143" s="27" t="s">
        <v>214</v>
      </c>
      <c r="C143" s="27" t="s">
        <v>17</v>
      </c>
      <c r="D143" s="28">
        <v>6017000</v>
      </c>
    </row>
    <row r="144" spans="1:4" ht="14.5">
      <c r="A144" s="29" t="s">
        <v>101</v>
      </c>
      <c r="B144" s="29" t="s">
        <v>215</v>
      </c>
      <c r="C144" s="29" t="s">
        <v>17</v>
      </c>
      <c r="D144" s="30">
        <v>6000000</v>
      </c>
    </row>
    <row r="145" spans="1:4" ht="14.5">
      <c r="A145" s="27" t="s">
        <v>101</v>
      </c>
      <c r="B145" s="27" t="s">
        <v>216</v>
      </c>
      <c r="C145" s="27" t="s">
        <v>17</v>
      </c>
      <c r="D145" s="28">
        <v>5890000</v>
      </c>
    </row>
    <row r="146" spans="1:4" ht="14.5">
      <c r="A146" s="29" t="s">
        <v>101</v>
      </c>
      <c r="B146" s="29" t="s">
        <v>217</v>
      </c>
      <c r="C146" s="29" t="s">
        <v>17</v>
      </c>
      <c r="D146" s="30">
        <v>5834750</v>
      </c>
    </row>
    <row r="147" spans="1:4" ht="14.5">
      <c r="A147" s="27" t="s">
        <v>101</v>
      </c>
      <c r="B147" s="27" t="s">
        <v>218</v>
      </c>
      <c r="C147" s="27" t="s">
        <v>17</v>
      </c>
      <c r="D147" s="28">
        <v>5678500</v>
      </c>
    </row>
    <row r="148" spans="1:4" ht="14.5">
      <c r="A148" s="29" t="s">
        <v>101</v>
      </c>
      <c r="B148" s="29" t="s">
        <v>219</v>
      </c>
      <c r="C148" s="29" t="s">
        <v>17</v>
      </c>
      <c r="D148" s="30">
        <v>5606000</v>
      </c>
    </row>
    <row r="149" spans="1:4" ht="14.5">
      <c r="A149" s="27" t="s">
        <v>101</v>
      </c>
      <c r="B149" s="27" t="s">
        <v>220</v>
      </c>
      <c r="C149" s="27" t="s">
        <v>17</v>
      </c>
      <c r="D149" s="28">
        <v>5581648</v>
      </c>
    </row>
    <row r="150" spans="1:4" ht="14.5">
      <c r="A150" s="29" t="s">
        <v>101</v>
      </c>
      <c r="B150" s="29" t="s">
        <v>221</v>
      </c>
      <c r="C150" s="29" t="s">
        <v>17</v>
      </c>
      <c r="D150" s="30">
        <v>5416000</v>
      </c>
    </row>
    <row r="151" spans="1:4" ht="14.5">
      <c r="A151" s="27" t="s">
        <v>101</v>
      </c>
      <c r="B151" s="27" t="s">
        <v>222</v>
      </c>
      <c r="C151" s="27" t="s">
        <v>17</v>
      </c>
      <c r="D151" s="28">
        <v>5355000</v>
      </c>
    </row>
    <row r="152" spans="1:4" ht="14.5">
      <c r="A152" s="29" t="s">
        <v>101</v>
      </c>
      <c r="B152" s="29" t="s">
        <v>223</v>
      </c>
      <c r="C152" s="29" t="s">
        <v>17</v>
      </c>
      <c r="D152" s="30">
        <v>5295000</v>
      </c>
    </row>
    <row r="153" spans="1:4" ht="14.5">
      <c r="A153" s="27" t="s">
        <v>101</v>
      </c>
      <c r="B153" s="27" t="s">
        <v>224</v>
      </c>
      <c r="C153" s="27" t="s">
        <v>17</v>
      </c>
      <c r="D153" s="28">
        <v>5235000</v>
      </c>
    </row>
    <row r="154" spans="1:4" ht="14.5">
      <c r="A154" s="29" t="s">
        <v>101</v>
      </c>
      <c r="B154" s="29" t="s">
        <v>225</v>
      </c>
      <c r="C154" s="29" t="s">
        <v>17</v>
      </c>
      <c r="D154" s="30">
        <v>5230000</v>
      </c>
    </row>
    <row r="155" spans="1:4" ht="14.5">
      <c r="A155" s="27" t="s">
        <v>101</v>
      </c>
      <c r="B155" s="27" t="s">
        <v>226</v>
      </c>
      <c r="C155" s="27" t="s">
        <v>17</v>
      </c>
      <c r="D155" s="28">
        <v>5180000</v>
      </c>
    </row>
    <row r="156" spans="1:4" ht="14.5">
      <c r="A156" s="29" t="s">
        <v>101</v>
      </c>
      <c r="B156" s="29" t="s">
        <v>227</v>
      </c>
      <c r="C156" s="29" t="s">
        <v>17</v>
      </c>
      <c r="D156" s="30">
        <v>5099840</v>
      </c>
    </row>
    <row r="157" spans="1:4" ht="14.5">
      <c r="A157" s="27" t="s">
        <v>101</v>
      </c>
      <c r="B157" s="27" t="s">
        <v>228</v>
      </c>
      <c r="C157" s="27" t="s">
        <v>17</v>
      </c>
      <c r="D157" s="28">
        <v>5071000</v>
      </c>
    </row>
    <row r="158" spans="1:4" ht="14.5">
      <c r="A158" s="29" t="s">
        <v>101</v>
      </c>
      <c r="B158" s="29" t="s">
        <v>229</v>
      </c>
      <c r="C158" s="29" t="s">
        <v>17</v>
      </c>
      <c r="D158" s="30">
        <v>5057700</v>
      </c>
    </row>
    <row r="159" spans="1:4" ht="14.5">
      <c r="A159" s="27" t="s">
        <v>101</v>
      </c>
      <c r="B159" s="27" t="s">
        <v>230</v>
      </c>
      <c r="C159" s="27" t="s">
        <v>17</v>
      </c>
      <c r="D159" s="28">
        <v>5000000</v>
      </c>
    </row>
    <row r="160" spans="1:4" ht="14.5">
      <c r="A160" s="29" t="s">
        <v>101</v>
      </c>
      <c r="B160" s="29" t="s">
        <v>231</v>
      </c>
      <c r="C160" s="29" t="s">
        <v>17</v>
      </c>
      <c r="D160" s="30">
        <v>5000000</v>
      </c>
    </row>
    <row r="161" spans="1:4" ht="14.5">
      <c r="A161" s="27" t="s">
        <v>101</v>
      </c>
      <c r="B161" s="27" t="s">
        <v>232</v>
      </c>
      <c r="C161" s="27" t="s">
        <v>17</v>
      </c>
      <c r="D161" s="28">
        <v>5000000</v>
      </c>
    </row>
    <row r="162" spans="1:4" ht="14.5">
      <c r="A162" s="29" t="s">
        <v>101</v>
      </c>
      <c r="B162" s="29" t="s">
        <v>233</v>
      </c>
      <c r="C162" s="29" t="s">
        <v>17</v>
      </c>
      <c r="D162" s="30">
        <v>5000000</v>
      </c>
    </row>
    <row r="163" spans="1:4" ht="14.5">
      <c r="A163" s="27" t="s">
        <v>101</v>
      </c>
      <c r="B163" s="27" t="s">
        <v>234</v>
      </c>
      <c r="C163" s="27" t="s">
        <v>17</v>
      </c>
      <c r="D163" s="28">
        <v>5000000</v>
      </c>
    </row>
    <row r="164" spans="1:4" ht="14.5">
      <c r="A164" s="29" t="s">
        <v>101</v>
      </c>
      <c r="B164" s="29" t="s">
        <v>235</v>
      </c>
      <c r="C164" s="29" t="s">
        <v>17</v>
      </c>
      <c r="D164" s="30">
        <v>5000000</v>
      </c>
    </row>
    <row r="165" spans="1:4" ht="14.5">
      <c r="A165" s="27" t="s">
        <v>101</v>
      </c>
      <c r="B165" s="27" t="s">
        <v>236</v>
      </c>
      <c r="C165" s="27" t="s">
        <v>17</v>
      </c>
      <c r="D165" s="28">
        <v>4970250</v>
      </c>
    </row>
    <row r="166" spans="1:4" ht="14.5">
      <c r="A166" s="29" t="s">
        <v>101</v>
      </c>
      <c r="B166" s="29" t="s">
        <v>237</v>
      </c>
      <c r="C166" s="29" t="s">
        <v>17</v>
      </c>
      <c r="D166" s="30">
        <v>4952500</v>
      </c>
    </row>
    <row r="167" spans="1:4" ht="14.5">
      <c r="A167" s="27" t="s">
        <v>101</v>
      </c>
      <c r="B167" s="27" t="s">
        <v>238</v>
      </c>
      <c r="C167" s="27" t="s">
        <v>17</v>
      </c>
      <c r="D167" s="28">
        <v>4952300</v>
      </c>
    </row>
    <row r="168" spans="1:4" ht="14.5">
      <c r="A168" s="29" t="s">
        <v>101</v>
      </c>
      <c r="B168" s="29" t="s">
        <v>239</v>
      </c>
      <c r="C168" s="29" t="s">
        <v>17</v>
      </c>
      <c r="D168" s="30">
        <v>4804250</v>
      </c>
    </row>
    <row r="169" spans="1:4" ht="14.5">
      <c r="A169" s="27" t="s">
        <v>101</v>
      </c>
      <c r="B169" s="27" t="s">
        <v>240</v>
      </c>
      <c r="C169" s="27" t="s">
        <v>17</v>
      </c>
      <c r="D169" s="28">
        <v>4800000</v>
      </c>
    </row>
    <row r="170" spans="1:4" ht="14.5">
      <c r="A170" s="29" t="s">
        <v>101</v>
      </c>
      <c r="B170" s="29" t="s">
        <v>241</v>
      </c>
      <c r="C170" s="29" t="s">
        <v>17</v>
      </c>
      <c r="D170" s="30">
        <v>4765000</v>
      </c>
    </row>
    <row r="171" spans="1:4" ht="14.5">
      <c r="A171" s="27" t="s">
        <v>101</v>
      </c>
      <c r="B171" s="27" t="s">
        <v>242</v>
      </c>
      <c r="C171" s="27" t="s">
        <v>17</v>
      </c>
      <c r="D171" s="28">
        <v>4744400</v>
      </c>
    </row>
    <row r="172" spans="1:4" ht="14.5">
      <c r="A172" s="29" t="s">
        <v>101</v>
      </c>
      <c r="B172" s="29" t="s">
        <v>243</v>
      </c>
      <c r="C172" s="29" t="s">
        <v>17</v>
      </c>
      <c r="D172" s="30">
        <v>4512750</v>
      </c>
    </row>
    <row r="173" spans="1:4" ht="14.5">
      <c r="A173" s="27" t="s">
        <v>101</v>
      </c>
      <c r="B173" s="27" t="s">
        <v>244</v>
      </c>
      <c r="C173" s="27" t="s">
        <v>17</v>
      </c>
      <c r="D173" s="28">
        <v>4500000</v>
      </c>
    </row>
    <row r="174" spans="1:4" ht="14.5">
      <c r="A174" s="29" t="s">
        <v>101</v>
      </c>
      <c r="B174" s="29" t="s">
        <v>245</v>
      </c>
      <c r="C174" s="29" t="s">
        <v>17</v>
      </c>
      <c r="D174" s="30">
        <v>4427200</v>
      </c>
    </row>
    <row r="175" spans="1:4" ht="14.5">
      <c r="A175" s="27" t="s">
        <v>101</v>
      </c>
      <c r="B175" s="27" t="s">
        <v>246</v>
      </c>
      <c r="C175" s="27" t="s">
        <v>17</v>
      </c>
      <c r="D175" s="28">
        <v>4410500</v>
      </c>
    </row>
    <row r="176" spans="1:4" ht="14.5">
      <c r="A176" s="29" t="s">
        <v>101</v>
      </c>
      <c r="B176" s="29" t="s">
        <v>247</v>
      </c>
      <c r="C176" s="29" t="s">
        <v>17</v>
      </c>
      <c r="D176" s="30">
        <v>4408666</v>
      </c>
    </row>
    <row r="177" spans="1:4" ht="14.5">
      <c r="A177" s="27" t="s">
        <v>101</v>
      </c>
      <c r="B177" s="27" t="s">
        <v>248</v>
      </c>
      <c r="C177" s="27" t="s">
        <v>17</v>
      </c>
      <c r="D177" s="28">
        <v>4376100</v>
      </c>
    </row>
    <row r="178" spans="1:4" ht="14.5">
      <c r="A178" s="29" t="s">
        <v>101</v>
      </c>
      <c r="B178" s="29" t="s">
        <v>249</v>
      </c>
      <c r="C178" s="29" t="s">
        <v>17</v>
      </c>
      <c r="D178" s="30">
        <v>4300000</v>
      </c>
    </row>
    <row r="179" spans="1:4" ht="14.5">
      <c r="A179" s="27" t="s">
        <v>101</v>
      </c>
      <c r="B179" s="27" t="s">
        <v>250</v>
      </c>
      <c r="C179" s="27" t="s">
        <v>17</v>
      </c>
      <c r="D179" s="28">
        <v>4275000</v>
      </c>
    </row>
    <row r="180" spans="1:4" ht="14.5">
      <c r="A180" s="29" t="s">
        <v>101</v>
      </c>
      <c r="B180" s="29" t="s">
        <v>251</v>
      </c>
      <c r="C180" s="29" t="s">
        <v>17</v>
      </c>
      <c r="D180" s="30">
        <v>4246031</v>
      </c>
    </row>
    <row r="181" spans="1:4" ht="14.5">
      <c r="A181" s="27" t="s">
        <v>101</v>
      </c>
      <c r="B181" s="27" t="s">
        <v>252</v>
      </c>
      <c r="C181" s="27" t="s">
        <v>17</v>
      </c>
      <c r="D181" s="28">
        <v>4176900</v>
      </c>
    </row>
    <row r="182" spans="1:4" ht="14.5">
      <c r="A182" s="29" t="s">
        <v>101</v>
      </c>
      <c r="B182" s="29" t="s">
        <v>253</v>
      </c>
      <c r="C182" s="29" t="s">
        <v>17</v>
      </c>
      <c r="D182" s="30">
        <v>4171200</v>
      </c>
    </row>
    <row r="183" spans="1:4" ht="14.5">
      <c r="A183" s="27" t="s">
        <v>101</v>
      </c>
      <c r="B183" s="27" t="s">
        <v>254</v>
      </c>
      <c r="C183" s="27" t="s">
        <v>17</v>
      </c>
      <c r="D183" s="28">
        <v>4144300</v>
      </c>
    </row>
    <row r="184" spans="1:4" ht="14.5">
      <c r="A184" s="29" t="s">
        <v>101</v>
      </c>
      <c r="B184" s="29" t="s">
        <v>255</v>
      </c>
      <c r="C184" s="29" t="s">
        <v>17</v>
      </c>
      <c r="D184" s="30">
        <v>4070000</v>
      </c>
    </row>
    <row r="185" spans="1:4" ht="14.5">
      <c r="A185" s="27" t="s">
        <v>101</v>
      </c>
      <c r="B185" s="27" t="s">
        <v>256</v>
      </c>
      <c r="C185" s="27" t="s">
        <v>17</v>
      </c>
      <c r="D185" s="28">
        <v>4014300</v>
      </c>
    </row>
    <row r="186" spans="1:4" ht="14.5">
      <c r="A186" s="29" t="s">
        <v>101</v>
      </c>
      <c r="B186" s="29" t="s">
        <v>257</v>
      </c>
      <c r="C186" s="29" t="s">
        <v>17</v>
      </c>
      <c r="D186" s="30">
        <v>4006500</v>
      </c>
    </row>
    <row r="187" spans="1:4" ht="14.5">
      <c r="A187" s="27" t="s">
        <v>101</v>
      </c>
      <c r="B187" s="27" t="s">
        <v>258</v>
      </c>
      <c r="C187" s="27" t="s">
        <v>17</v>
      </c>
      <c r="D187" s="28">
        <v>4006500</v>
      </c>
    </row>
    <row r="188" spans="1:4" ht="14.5">
      <c r="A188" s="29" t="s">
        <v>101</v>
      </c>
      <c r="B188" s="29" t="s">
        <v>259</v>
      </c>
      <c r="C188" s="29" t="s">
        <v>17</v>
      </c>
      <c r="D188" s="30">
        <v>4000000</v>
      </c>
    </row>
    <row r="189" spans="1:4" ht="14.5">
      <c r="A189" s="27" t="s">
        <v>101</v>
      </c>
      <c r="B189" s="27" t="s">
        <v>260</v>
      </c>
      <c r="C189" s="27" t="s">
        <v>17</v>
      </c>
      <c r="D189" s="28">
        <v>4000000</v>
      </c>
    </row>
    <row r="190" spans="1:4" ht="14.5">
      <c r="A190" s="29" t="s">
        <v>101</v>
      </c>
      <c r="B190" s="29" t="s">
        <v>261</v>
      </c>
      <c r="C190" s="29" t="s">
        <v>17</v>
      </c>
      <c r="D190" s="30">
        <v>4000000</v>
      </c>
    </row>
    <row r="191" spans="1:4" ht="14.5">
      <c r="A191" s="27" t="s">
        <v>101</v>
      </c>
      <c r="B191" s="27" t="s">
        <v>262</v>
      </c>
      <c r="C191" s="27" t="s">
        <v>17</v>
      </c>
      <c r="D191" s="28">
        <v>4000000</v>
      </c>
    </row>
    <row r="192" spans="1:4" ht="14.5">
      <c r="A192" s="29" t="s">
        <v>101</v>
      </c>
      <c r="B192" s="29" t="s">
        <v>263</v>
      </c>
      <c r="C192" s="29" t="s">
        <v>17</v>
      </c>
      <c r="D192" s="30">
        <v>4000000</v>
      </c>
    </row>
    <row r="193" spans="1:4" ht="14.5">
      <c r="A193" s="27" t="s">
        <v>101</v>
      </c>
      <c r="B193" s="27" t="s">
        <v>264</v>
      </c>
      <c r="C193" s="27" t="s">
        <v>17</v>
      </c>
      <c r="D193" s="28">
        <v>4000000</v>
      </c>
    </row>
    <row r="194" spans="1:4" ht="14.5">
      <c r="A194" s="29" t="s">
        <v>101</v>
      </c>
      <c r="B194" s="29" t="s">
        <v>265</v>
      </c>
      <c r="C194" s="29" t="s">
        <v>17</v>
      </c>
      <c r="D194" s="30">
        <v>3999430</v>
      </c>
    </row>
    <row r="195" spans="1:4" ht="14.5">
      <c r="A195" s="27" t="s">
        <v>101</v>
      </c>
      <c r="B195" s="27" t="s">
        <v>266</v>
      </c>
      <c r="C195" s="27" t="s">
        <v>17</v>
      </c>
      <c r="D195" s="28">
        <v>3998750</v>
      </c>
    </row>
    <row r="196" spans="1:4" ht="14.5">
      <c r="A196" s="29" t="s">
        <v>101</v>
      </c>
      <c r="B196" s="29" t="s">
        <v>267</v>
      </c>
      <c r="C196" s="29" t="s">
        <v>17</v>
      </c>
      <c r="D196" s="30">
        <v>3996165</v>
      </c>
    </row>
    <row r="197" spans="1:4" ht="14.5">
      <c r="A197" s="27" t="s">
        <v>101</v>
      </c>
      <c r="B197" s="27" t="s">
        <v>268</v>
      </c>
      <c r="C197" s="27" t="s">
        <v>17</v>
      </c>
      <c r="D197" s="28">
        <v>3996000</v>
      </c>
    </row>
    <row r="198" spans="1:4" ht="14.5">
      <c r="A198" s="29" t="s">
        <v>101</v>
      </c>
      <c r="B198" s="29" t="s">
        <v>269</v>
      </c>
      <c r="C198" s="29" t="s">
        <v>17</v>
      </c>
      <c r="D198" s="30">
        <v>3995435</v>
      </c>
    </row>
    <row r="199" spans="1:4" ht="14.5">
      <c r="A199" s="27" t="s">
        <v>101</v>
      </c>
      <c r="B199" s="27" t="s">
        <v>270</v>
      </c>
      <c r="C199" s="27" t="s">
        <v>17</v>
      </c>
      <c r="D199" s="28">
        <v>3993000</v>
      </c>
    </row>
    <row r="200" spans="1:4" ht="14.5">
      <c r="A200" s="29" t="s">
        <v>101</v>
      </c>
      <c r="B200" s="29" t="s">
        <v>271</v>
      </c>
      <c r="C200" s="29" t="s">
        <v>17</v>
      </c>
      <c r="D200" s="30">
        <v>3992730</v>
      </c>
    </row>
    <row r="201" spans="1:4" ht="14.5">
      <c r="A201" s="27" t="s">
        <v>101</v>
      </c>
      <c r="B201" s="27" t="s">
        <v>272</v>
      </c>
      <c r="C201" s="27" t="s">
        <v>17</v>
      </c>
      <c r="D201" s="28">
        <v>3992625</v>
      </c>
    </row>
    <row r="202" spans="1:4" ht="14.5">
      <c r="A202" s="29" t="s">
        <v>101</v>
      </c>
      <c r="B202" s="29" t="s">
        <v>273</v>
      </c>
      <c r="C202" s="29" t="s">
        <v>17</v>
      </c>
      <c r="D202" s="30">
        <v>3986530</v>
      </c>
    </row>
    <row r="203" spans="1:4" ht="14.5">
      <c r="A203" s="27" t="s">
        <v>101</v>
      </c>
      <c r="B203" s="27" t="s">
        <v>274</v>
      </c>
      <c r="C203" s="27" t="s">
        <v>17</v>
      </c>
      <c r="D203" s="28">
        <v>3985000</v>
      </c>
    </row>
    <row r="204" spans="1:4" ht="14.5">
      <c r="A204" s="29" t="s">
        <v>101</v>
      </c>
      <c r="B204" s="29" t="s">
        <v>275</v>
      </c>
      <c r="C204" s="29" t="s">
        <v>17</v>
      </c>
      <c r="D204" s="30">
        <v>3985000</v>
      </c>
    </row>
    <row r="205" spans="1:4" ht="14.5">
      <c r="A205" s="27" t="s">
        <v>101</v>
      </c>
      <c r="B205" s="27" t="s">
        <v>276</v>
      </c>
      <c r="C205" s="27" t="s">
        <v>17</v>
      </c>
      <c r="D205" s="28">
        <v>3980340</v>
      </c>
    </row>
    <row r="206" spans="1:4" ht="14.5">
      <c r="A206" s="29" t="s">
        <v>101</v>
      </c>
      <c r="B206" s="29" t="s">
        <v>277</v>
      </c>
      <c r="C206" s="29" t="s">
        <v>17</v>
      </c>
      <c r="D206" s="30">
        <v>3975865</v>
      </c>
    </row>
    <row r="207" spans="1:4" ht="14.5">
      <c r="A207" s="27" t="s">
        <v>101</v>
      </c>
      <c r="B207" s="27" t="s">
        <v>278</v>
      </c>
      <c r="C207" s="27" t="s">
        <v>17</v>
      </c>
      <c r="D207" s="28">
        <v>3955900</v>
      </c>
    </row>
    <row r="208" spans="1:4" ht="14.5">
      <c r="A208" s="29" t="s">
        <v>101</v>
      </c>
      <c r="B208" s="29" t="s">
        <v>279</v>
      </c>
      <c r="C208" s="29" t="s">
        <v>17</v>
      </c>
      <c r="D208" s="30">
        <v>3954115</v>
      </c>
    </row>
    <row r="209" spans="1:4" ht="14.5">
      <c r="A209" s="27" t="s">
        <v>101</v>
      </c>
      <c r="B209" s="27" t="s">
        <v>280</v>
      </c>
      <c r="C209" s="27" t="s">
        <v>17</v>
      </c>
      <c r="D209" s="28">
        <v>3938625</v>
      </c>
    </row>
    <row r="210" spans="1:4" ht="14.5">
      <c r="A210" s="29" t="s">
        <v>101</v>
      </c>
      <c r="B210" s="29" t="s">
        <v>281</v>
      </c>
      <c r="C210" s="29" t="s">
        <v>17</v>
      </c>
      <c r="D210" s="30">
        <v>3906900</v>
      </c>
    </row>
    <row r="211" spans="1:4" ht="14.5">
      <c r="A211" s="27" t="s">
        <v>101</v>
      </c>
      <c r="B211" s="27" t="s">
        <v>282</v>
      </c>
      <c r="C211" s="27" t="s">
        <v>17</v>
      </c>
      <c r="D211" s="28">
        <v>3905000</v>
      </c>
    </row>
    <row r="212" spans="1:4" ht="14.5">
      <c r="A212" s="29" t="s">
        <v>101</v>
      </c>
      <c r="B212" s="29" t="s">
        <v>283</v>
      </c>
      <c r="C212" s="29" t="s">
        <v>17</v>
      </c>
      <c r="D212" s="30">
        <v>3878000</v>
      </c>
    </row>
    <row r="213" spans="1:4" ht="14.5">
      <c r="A213" s="27" t="s">
        <v>101</v>
      </c>
      <c r="B213" s="27" t="s">
        <v>284</v>
      </c>
      <c r="C213" s="27" t="s">
        <v>17</v>
      </c>
      <c r="D213" s="28">
        <v>3875875</v>
      </c>
    </row>
    <row r="214" spans="1:4" ht="14.5">
      <c r="A214" s="29" t="s">
        <v>101</v>
      </c>
      <c r="B214" s="29" t="s">
        <v>285</v>
      </c>
      <c r="C214" s="29" t="s">
        <v>17</v>
      </c>
      <c r="D214" s="30">
        <v>3873600</v>
      </c>
    </row>
    <row r="215" spans="1:4" ht="14.5">
      <c r="A215" s="27" t="s">
        <v>101</v>
      </c>
      <c r="B215" s="27" t="s">
        <v>286</v>
      </c>
      <c r="C215" s="27" t="s">
        <v>17</v>
      </c>
      <c r="D215" s="28">
        <v>3861640</v>
      </c>
    </row>
    <row r="216" spans="1:4" ht="14.5">
      <c r="A216" s="29" t="s">
        <v>101</v>
      </c>
      <c r="B216" s="29" t="s">
        <v>287</v>
      </c>
      <c r="C216" s="29" t="s">
        <v>17</v>
      </c>
      <c r="D216" s="30">
        <v>3849645</v>
      </c>
    </row>
    <row r="217" spans="1:4" ht="14.5">
      <c r="A217" s="27" t="s">
        <v>101</v>
      </c>
      <c r="B217" s="27" t="s">
        <v>288</v>
      </c>
      <c r="C217" s="27" t="s">
        <v>17</v>
      </c>
      <c r="D217" s="28">
        <v>3835000</v>
      </c>
    </row>
    <row r="218" spans="1:4" ht="14.5">
      <c r="A218" s="29" t="s">
        <v>101</v>
      </c>
      <c r="B218" s="29" t="s">
        <v>289</v>
      </c>
      <c r="C218" s="29" t="s">
        <v>17</v>
      </c>
      <c r="D218" s="30">
        <v>3800000</v>
      </c>
    </row>
    <row r="219" spans="1:4" ht="14.5">
      <c r="A219" s="27" t="s">
        <v>101</v>
      </c>
      <c r="B219" s="27" t="s">
        <v>290</v>
      </c>
      <c r="C219" s="27" t="s">
        <v>17</v>
      </c>
      <c r="D219" s="28">
        <v>3650400</v>
      </c>
    </row>
    <row r="220" spans="1:4" ht="14.5">
      <c r="A220" s="29" t="s">
        <v>101</v>
      </c>
      <c r="B220" s="29" t="s">
        <v>291</v>
      </c>
      <c r="C220" s="29" t="s">
        <v>17</v>
      </c>
      <c r="D220" s="30">
        <v>3630000</v>
      </c>
    </row>
    <row r="221" spans="1:4" ht="14.5">
      <c r="A221" s="27" t="s">
        <v>101</v>
      </c>
      <c r="B221" s="27" t="s">
        <v>292</v>
      </c>
      <c r="C221" s="27" t="s">
        <v>17</v>
      </c>
      <c r="D221" s="28">
        <v>3609600</v>
      </c>
    </row>
    <row r="222" spans="1:4" ht="14.5">
      <c r="A222" s="29" t="s">
        <v>101</v>
      </c>
      <c r="B222" s="29" t="s">
        <v>293</v>
      </c>
      <c r="C222" s="29" t="s">
        <v>17</v>
      </c>
      <c r="D222" s="30">
        <v>3596645</v>
      </c>
    </row>
    <row r="223" spans="1:4" ht="14.5">
      <c r="A223" s="27" t="s">
        <v>101</v>
      </c>
      <c r="B223" s="27" t="s">
        <v>294</v>
      </c>
      <c r="C223" s="27" t="s">
        <v>17</v>
      </c>
      <c r="D223" s="28">
        <v>3554000</v>
      </c>
    </row>
    <row r="224" spans="1:4" ht="14.5">
      <c r="A224" s="29" t="s">
        <v>101</v>
      </c>
      <c r="B224" s="29" t="s">
        <v>295</v>
      </c>
      <c r="C224" s="29" t="s">
        <v>17</v>
      </c>
      <c r="D224" s="30">
        <v>3511255</v>
      </c>
    </row>
    <row r="225" spans="1:4" ht="14.5">
      <c r="A225" s="27" t="s">
        <v>101</v>
      </c>
      <c r="B225" s="27" t="s">
        <v>296</v>
      </c>
      <c r="C225" s="27" t="s">
        <v>17</v>
      </c>
      <c r="D225" s="28">
        <v>3405250</v>
      </c>
    </row>
    <row r="226" spans="1:4" ht="14.5">
      <c r="A226" s="29" t="s">
        <v>101</v>
      </c>
      <c r="B226" s="29" t="s">
        <v>297</v>
      </c>
      <c r="C226" s="29" t="s">
        <v>17</v>
      </c>
      <c r="D226" s="30">
        <v>3356000</v>
      </c>
    </row>
    <row r="227" spans="1:4" ht="14.5">
      <c r="A227" s="27" t="s">
        <v>101</v>
      </c>
      <c r="B227" s="27" t="s">
        <v>298</v>
      </c>
      <c r="C227" s="27" t="s">
        <v>17</v>
      </c>
      <c r="D227" s="28">
        <v>3250000</v>
      </c>
    </row>
    <row r="228" spans="1:4" ht="14.5">
      <c r="A228" s="29" t="s">
        <v>101</v>
      </c>
      <c r="B228" s="29" t="s">
        <v>299</v>
      </c>
      <c r="C228" s="29" t="s">
        <v>17</v>
      </c>
      <c r="D228" s="30">
        <v>3230450</v>
      </c>
    </row>
    <row r="229" spans="1:4" ht="14.5">
      <c r="A229" s="27" t="s">
        <v>101</v>
      </c>
      <c r="B229" s="27" t="s">
        <v>300</v>
      </c>
      <c r="C229" s="27" t="s">
        <v>17</v>
      </c>
      <c r="D229" s="28">
        <v>3200600</v>
      </c>
    </row>
    <row r="230" spans="1:4" ht="14.5">
      <c r="A230" s="29" t="s">
        <v>101</v>
      </c>
      <c r="B230" s="29" t="s">
        <v>301</v>
      </c>
      <c r="C230" s="29" t="s">
        <v>17</v>
      </c>
      <c r="D230" s="30">
        <v>3150000</v>
      </c>
    </row>
    <row r="231" spans="1:4" ht="14.5">
      <c r="A231" s="27" t="s">
        <v>101</v>
      </c>
      <c r="B231" s="27" t="s">
        <v>302</v>
      </c>
      <c r="C231" s="27" t="s">
        <v>17</v>
      </c>
      <c r="D231" s="28">
        <v>3150000</v>
      </c>
    </row>
    <row r="232" spans="1:4" ht="14.5">
      <c r="A232" s="29" t="s">
        <v>101</v>
      </c>
      <c r="B232" s="29" t="s">
        <v>303</v>
      </c>
      <c r="C232" s="29" t="s">
        <v>17</v>
      </c>
      <c r="D232" s="30">
        <v>3110680</v>
      </c>
    </row>
    <row r="233" spans="1:4" ht="14.5">
      <c r="A233" s="27" t="s">
        <v>101</v>
      </c>
      <c r="B233" s="27" t="s">
        <v>304</v>
      </c>
      <c r="C233" s="27" t="s">
        <v>17</v>
      </c>
      <c r="D233" s="28">
        <v>3087300</v>
      </c>
    </row>
    <row r="234" spans="1:4" ht="14.5">
      <c r="A234" s="29" t="s">
        <v>101</v>
      </c>
      <c r="B234" s="29" t="s">
        <v>305</v>
      </c>
      <c r="C234" s="29" t="s">
        <v>17</v>
      </c>
      <c r="D234" s="30">
        <v>3080000</v>
      </c>
    </row>
    <row r="235" spans="1:4" ht="14.5">
      <c r="A235" s="27" t="s">
        <v>101</v>
      </c>
      <c r="B235" s="27" t="s">
        <v>306</v>
      </c>
      <c r="C235" s="27" t="s">
        <v>17</v>
      </c>
      <c r="D235" s="28">
        <v>3000000</v>
      </c>
    </row>
    <row r="236" spans="1:4" ht="14.5">
      <c r="A236" s="29" t="s">
        <v>101</v>
      </c>
      <c r="B236" s="29" t="s">
        <v>307</v>
      </c>
      <c r="C236" s="29" t="s">
        <v>17</v>
      </c>
      <c r="D236" s="30">
        <v>3000000</v>
      </c>
    </row>
    <row r="237" spans="1:4" ht="14.5">
      <c r="A237" s="27" t="s">
        <v>101</v>
      </c>
      <c r="B237" s="27" t="s">
        <v>308</v>
      </c>
      <c r="C237" s="27" t="s">
        <v>17</v>
      </c>
      <c r="D237" s="28">
        <v>3000000</v>
      </c>
    </row>
    <row r="238" spans="1:4" ht="14.5">
      <c r="A238" s="29" t="s">
        <v>101</v>
      </c>
      <c r="B238" s="29" t="s">
        <v>309</v>
      </c>
      <c r="C238" s="29" t="s">
        <v>17</v>
      </c>
      <c r="D238" s="30">
        <v>2980000</v>
      </c>
    </row>
    <row r="239" spans="1:4" ht="14.5">
      <c r="A239" s="27" t="s">
        <v>101</v>
      </c>
      <c r="B239" s="27" t="s">
        <v>310</v>
      </c>
      <c r="C239" s="27" t="s">
        <v>17</v>
      </c>
      <c r="D239" s="28">
        <v>2951600</v>
      </c>
    </row>
    <row r="240" spans="1:4" ht="14.5">
      <c r="A240" s="29" t="s">
        <v>101</v>
      </c>
      <c r="B240" s="29" t="s">
        <v>311</v>
      </c>
      <c r="C240" s="29" t="s">
        <v>17</v>
      </c>
      <c r="D240" s="30">
        <v>2940000</v>
      </c>
    </row>
    <row r="241" spans="1:4" ht="14.5">
      <c r="A241" s="27" t="s">
        <v>101</v>
      </c>
      <c r="B241" s="27" t="s">
        <v>312</v>
      </c>
      <c r="C241" s="27" t="s">
        <v>17</v>
      </c>
      <c r="D241" s="28">
        <v>2884600</v>
      </c>
    </row>
    <row r="242" spans="1:4" ht="14.5">
      <c r="A242" s="29" t="s">
        <v>101</v>
      </c>
      <c r="B242" s="29" t="s">
        <v>313</v>
      </c>
      <c r="C242" s="29" t="s">
        <v>17</v>
      </c>
      <c r="D242" s="30">
        <v>2874840</v>
      </c>
    </row>
    <row r="243" spans="1:4" ht="14.5">
      <c r="A243" s="27" t="s">
        <v>101</v>
      </c>
      <c r="B243" s="27" t="s">
        <v>314</v>
      </c>
      <c r="C243" s="27" t="s">
        <v>17</v>
      </c>
      <c r="D243" s="28">
        <v>2845000</v>
      </c>
    </row>
    <row r="244" spans="1:4" ht="14.5">
      <c r="A244" s="29" t="s">
        <v>101</v>
      </c>
      <c r="B244" s="29" t="s">
        <v>315</v>
      </c>
      <c r="C244" s="29" t="s">
        <v>17</v>
      </c>
      <c r="D244" s="30">
        <v>2784468</v>
      </c>
    </row>
    <row r="245" spans="1:4" ht="14.5">
      <c r="A245" s="27" t="s">
        <v>101</v>
      </c>
      <c r="B245" s="27" t="s">
        <v>316</v>
      </c>
      <c r="C245" s="27" t="s">
        <v>17</v>
      </c>
      <c r="D245" s="28">
        <v>2768700</v>
      </c>
    </row>
    <row r="246" spans="1:4" ht="14.5">
      <c r="A246" s="29" t="s">
        <v>101</v>
      </c>
      <c r="B246" s="29" t="s">
        <v>317</v>
      </c>
      <c r="C246" s="29" t="s">
        <v>17</v>
      </c>
      <c r="D246" s="30">
        <v>2680000</v>
      </c>
    </row>
    <row r="247" spans="1:4" ht="14.5">
      <c r="A247" s="27" t="s">
        <v>101</v>
      </c>
      <c r="B247" s="27" t="s">
        <v>318</v>
      </c>
      <c r="C247" s="27" t="s">
        <v>17</v>
      </c>
      <c r="D247" s="28">
        <v>2646900</v>
      </c>
    </row>
    <row r="248" spans="1:4" ht="14.5">
      <c r="A248" s="29" t="s">
        <v>101</v>
      </c>
      <c r="B248" s="29" t="s">
        <v>319</v>
      </c>
      <c r="C248" s="29" t="s">
        <v>17</v>
      </c>
      <c r="D248" s="30">
        <v>2610000</v>
      </c>
    </row>
    <row r="249" spans="1:4" ht="14.5">
      <c r="A249" s="27" t="s">
        <v>101</v>
      </c>
      <c r="B249" s="27" t="s">
        <v>320</v>
      </c>
      <c r="C249" s="27" t="s">
        <v>17</v>
      </c>
      <c r="D249" s="28">
        <v>2565000</v>
      </c>
    </row>
    <row r="250" spans="1:4" ht="14.5">
      <c r="A250" s="29" t="s">
        <v>101</v>
      </c>
      <c r="B250" s="29" t="s">
        <v>321</v>
      </c>
      <c r="C250" s="29" t="s">
        <v>17</v>
      </c>
      <c r="D250" s="30">
        <v>2510000</v>
      </c>
    </row>
    <row r="251" spans="1:4" ht="14.5">
      <c r="A251" s="27" t="s">
        <v>101</v>
      </c>
      <c r="B251" s="27" t="s">
        <v>322</v>
      </c>
      <c r="C251" s="27" t="s">
        <v>17</v>
      </c>
      <c r="D251" s="28">
        <v>2500000</v>
      </c>
    </row>
    <row r="252" spans="1:4" ht="14.5">
      <c r="A252" s="29" t="s">
        <v>101</v>
      </c>
      <c r="B252" s="29" t="s">
        <v>323</v>
      </c>
      <c r="C252" s="29" t="s">
        <v>17</v>
      </c>
      <c r="D252" s="30">
        <v>2500000</v>
      </c>
    </row>
    <row r="253" spans="1:4" ht="14.5">
      <c r="A253" s="27" t="s">
        <v>101</v>
      </c>
      <c r="B253" s="27" t="s">
        <v>324</v>
      </c>
      <c r="C253" s="27" t="s">
        <v>17</v>
      </c>
      <c r="D253" s="28">
        <v>2500000</v>
      </c>
    </row>
    <row r="254" spans="1:4" ht="14.5">
      <c r="A254" s="29" t="s">
        <v>101</v>
      </c>
      <c r="B254" s="29" t="s">
        <v>325</v>
      </c>
      <c r="C254" s="29" t="s">
        <v>17</v>
      </c>
      <c r="D254" s="30">
        <v>2500000</v>
      </c>
    </row>
    <row r="255" spans="1:4" ht="14.5">
      <c r="A255" s="27" t="s">
        <v>101</v>
      </c>
      <c r="B255" s="27" t="s">
        <v>326</v>
      </c>
      <c r="C255" s="27" t="s">
        <v>17</v>
      </c>
      <c r="D255" s="28">
        <v>2500000</v>
      </c>
    </row>
    <row r="256" spans="1:4" ht="14.5">
      <c r="A256" s="29" t="s">
        <v>101</v>
      </c>
      <c r="B256" s="29" t="s">
        <v>327</v>
      </c>
      <c r="C256" s="29" t="s">
        <v>17</v>
      </c>
      <c r="D256" s="30">
        <v>2500000</v>
      </c>
    </row>
    <row r="257" spans="1:4" ht="14.5">
      <c r="A257" s="27" t="s">
        <v>101</v>
      </c>
      <c r="B257" s="27" t="s">
        <v>328</v>
      </c>
      <c r="C257" s="27" t="s">
        <v>17</v>
      </c>
      <c r="D257" s="28">
        <v>2500000</v>
      </c>
    </row>
    <row r="258" spans="1:4" ht="14.5">
      <c r="A258" s="29" t="s">
        <v>101</v>
      </c>
      <c r="B258" s="29" t="s">
        <v>329</v>
      </c>
      <c r="C258" s="29" t="s">
        <v>17</v>
      </c>
      <c r="D258" s="30">
        <v>2500000</v>
      </c>
    </row>
    <row r="259" spans="1:4" ht="14.5">
      <c r="A259" s="27" t="s">
        <v>101</v>
      </c>
      <c r="B259" s="27" t="s">
        <v>330</v>
      </c>
      <c r="C259" s="27" t="s">
        <v>17</v>
      </c>
      <c r="D259" s="28">
        <v>2500000</v>
      </c>
    </row>
    <row r="260" spans="1:4" ht="14.5">
      <c r="A260" s="29" t="s">
        <v>101</v>
      </c>
      <c r="B260" s="29" t="s">
        <v>331</v>
      </c>
      <c r="C260" s="29" t="s">
        <v>17</v>
      </c>
      <c r="D260" s="30">
        <v>2500000</v>
      </c>
    </row>
    <row r="261" spans="1:4" ht="14.5">
      <c r="A261" s="27" t="s">
        <v>101</v>
      </c>
      <c r="B261" s="27" t="s">
        <v>332</v>
      </c>
      <c r="C261" s="27" t="s">
        <v>17</v>
      </c>
      <c r="D261" s="28">
        <v>2500000</v>
      </c>
    </row>
    <row r="262" spans="1:4" ht="14.5">
      <c r="A262" s="29" t="s">
        <v>101</v>
      </c>
      <c r="B262" s="29" t="s">
        <v>333</v>
      </c>
      <c r="C262" s="29" t="s">
        <v>17</v>
      </c>
      <c r="D262" s="30">
        <v>2500000</v>
      </c>
    </row>
    <row r="263" spans="1:4" ht="14.5">
      <c r="A263" s="27" t="s">
        <v>101</v>
      </c>
      <c r="B263" s="27" t="s">
        <v>334</v>
      </c>
      <c r="C263" s="27" t="s">
        <v>17</v>
      </c>
      <c r="D263" s="28">
        <v>2500000</v>
      </c>
    </row>
    <row r="264" spans="1:4" ht="14.5">
      <c r="A264" s="29" t="s">
        <v>101</v>
      </c>
      <c r="B264" s="29" t="s">
        <v>335</v>
      </c>
      <c r="C264" s="29" t="s">
        <v>17</v>
      </c>
      <c r="D264" s="30">
        <v>2500000</v>
      </c>
    </row>
    <row r="265" spans="1:4" ht="14.5">
      <c r="A265" s="27" t="s">
        <v>101</v>
      </c>
      <c r="B265" s="27" t="s">
        <v>336</v>
      </c>
      <c r="C265" s="27" t="s">
        <v>17</v>
      </c>
      <c r="D265" s="28">
        <v>2500000</v>
      </c>
    </row>
    <row r="266" spans="1:4" ht="14.5">
      <c r="A266" s="29" t="s">
        <v>101</v>
      </c>
      <c r="B266" s="29" t="s">
        <v>337</v>
      </c>
      <c r="C266" s="29" t="s">
        <v>17</v>
      </c>
      <c r="D266" s="30">
        <v>2500000</v>
      </c>
    </row>
    <row r="267" spans="1:4" ht="14.5">
      <c r="A267" s="27" t="s">
        <v>101</v>
      </c>
      <c r="B267" s="27" t="s">
        <v>338</v>
      </c>
      <c r="C267" s="27" t="s">
        <v>17</v>
      </c>
      <c r="D267" s="28">
        <v>2500000</v>
      </c>
    </row>
    <row r="268" spans="1:4" ht="14.5">
      <c r="A268" s="29" t="s">
        <v>101</v>
      </c>
      <c r="B268" s="29" t="s">
        <v>339</v>
      </c>
      <c r="C268" s="29" t="s">
        <v>17</v>
      </c>
      <c r="D268" s="30">
        <v>2500000</v>
      </c>
    </row>
    <row r="269" spans="1:4" ht="14.5">
      <c r="A269" s="27" t="s">
        <v>101</v>
      </c>
      <c r="B269" s="27" t="s">
        <v>340</v>
      </c>
      <c r="C269" s="27" t="s">
        <v>17</v>
      </c>
      <c r="D269" s="28">
        <v>2500000</v>
      </c>
    </row>
    <row r="270" spans="1:4" ht="14.5">
      <c r="A270" s="29" t="s">
        <v>101</v>
      </c>
      <c r="B270" s="29" t="s">
        <v>341</v>
      </c>
      <c r="C270" s="29" t="s">
        <v>17</v>
      </c>
      <c r="D270" s="30">
        <v>2500000</v>
      </c>
    </row>
    <row r="271" spans="1:4" ht="14.5">
      <c r="A271" s="27" t="s">
        <v>101</v>
      </c>
      <c r="B271" s="27" t="s">
        <v>342</v>
      </c>
      <c r="C271" s="27" t="s">
        <v>17</v>
      </c>
      <c r="D271" s="28">
        <v>2500000</v>
      </c>
    </row>
    <row r="272" spans="1:4" ht="14.5">
      <c r="A272" s="29" t="s">
        <v>101</v>
      </c>
      <c r="B272" s="29" t="s">
        <v>343</v>
      </c>
      <c r="C272" s="29" t="s">
        <v>17</v>
      </c>
      <c r="D272" s="30">
        <v>2500000</v>
      </c>
    </row>
    <row r="273" spans="1:4" ht="14.5">
      <c r="A273" s="27" t="s">
        <v>101</v>
      </c>
      <c r="B273" s="27" t="s">
        <v>344</v>
      </c>
      <c r="C273" s="27" t="s">
        <v>17</v>
      </c>
      <c r="D273" s="28">
        <v>2500000</v>
      </c>
    </row>
    <row r="274" spans="1:4" ht="14.5">
      <c r="A274" s="29" t="s">
        <v>101</v>
      </c>
      <c r="B274" s="29" t="s">
        <v>345</v>
      </c>
      <c r="C274" s="29" t="s">
        <v>17</v>
      </c>
      <c r="D274" s="30">
        <v>2500000</v>
      </c>
    </row>
    <row r="275" spans="1:4" ht="14.5">
      <c r="A275" s="27" t="s">
        <v>101</v>
      </c>
      <c r="B275" s="27" t="s">
        <v>346</v>
      </c>
      <c r="C275" s="27" t="s">
        <v>17</v>
      </c>
      <c r="D275" s="28">
        <v>2500000</v>
      </c>
    </row>
    <row r="276" spans="1:4" ht="14.5">
      <c r="A276" s="29" t="s">
        <v>101</v>
      </c>
      <c r="B276" s="29" t="s">
        <v>347</v>
      </c>
      <c r="C276" s="29" t="s">
        <v>17</v>
      </c>
      <c r="D276" s="30">
        <v>2500000</v>
      </c>
    </row>
    <row r="277" spans="1:4" ht="14.5">
      <c r="A277" s="27" t="s">
        <v>101</v>
      </c>
      <c r="B277" s="27" t="s">
        <v>348</v>
      </c>
      <c r="C277" s="27" t="s">
        <v>17</v>
      </c>
      <c r="D277" s="28">
        <v>2500000</v>
      </c>
    </row>
    <row r="278" spans="1:4" ht="14.5">
      <c r="A278" s="29" t="s">
        <v>101</v>
      </c>
      <c r="B278" s="29" t="s">
        <v>349</v>
      </c>
      <c r="C278" s="29" t="s">
        <v>17</v>
      </c>
      <c r="D278" s="30">
        <v>2490000</v>
      </c>
    </row>
    <row r="279" spans="1:4" ht="14.5">
      <c r="A279" s="27" t="s">
        <v>101</v>
      </c>
      <c r="B279" s="27" t="s">
        <v>350</v>
      </c>
      <c r="C279" s="27" t="s">
        <v>17</v>
      </c>
      <c r="D279" s="28">
        <v>2488935</v>
      </c>
    </row>
    <row r="280" spans="1:4" ht="14.5">
      <c r="A280" s="29" t="s">
        <v>101</v>
      </c>
      <c r="B280" s="29" t="s">
        <v>351</v>
      </c>
      <c r="C280" s="29" t="s">
        <v>17</v>
      </c>
      <c r="D280" s="30">
        <v>2447800</v>
      </c>
    </row>
    <row r="281" spans="1:4" ht="14.5">
      <c r="A281" s="27" t="s">
        <v>101</v>
      </c>
      <c r="B281" s="27" t="s">
        <v>352</v>
      </c>
      <c r="C281" s="27" t="s">
        <v>17</v>
      </c>
      <c r="D281" s="28">
        <v>2435000</v>
      </c>
    </row>
    <row r="282" spans="1:4" ht="14.5">
      <c r="A282" s="29" t="s">
        <v>101</v>
      </c>
      <c r="B282" s="29" t="s">
        <v>353</v>
      </c>
      <c r="C282" s="29" t="s">
        <v>17</v>
      </c>
      <c r="D282" s="30">
        <v>2405350</v>
      </c>
    </row>
    <row r="283" spans="1:4" ht="14.5">
      <c r="A283" s="27" t="s">
        <v>101</v>
      </c>
      <c r="B283" s="27" t="s">
        <v>354</v>
      </c>
      <c r="C283" s="27" t="s">
        <v>17</v>
      </c>
      <c r="D283" s="28">
        <v>2294500</v>
      </c>
    </row>
    <row r="284" spans="1:4" ht="14.5">
      <c r="A284" s="29" t="s">
        <v>101</v>
      </c>
      <c r="B284" s="29" t="s">
        <v>355</v>
      </c>
      <c r="C284" s="29" t="s">
        <v>17</v>
      </c>
      <c r="D284" s="30">
        <v>2280000</v>
      </c>
    </row>
    <row r="285" spans="1:4" ht="14.5">
      <c r="A285" s="27" t="s">
        <v>101</v>
      </c>
      <c r="B285" s="27" t="s">
        <v>356</v>
      </c>
      <c r="C285" s="27" t="s">
        <v>17</v>
      </c>
      <c r="D285" s="28">
        <v>2250000</v>
      </c>
    </row>
    <row r="286" spans="1:4" ht="14.5">
      <c r="A286" s="29" t="s">
        <v>101</v>
      </c>
      <c r="B286" s="29" t="s">
        <v>357</v>
      </c>
      <c r="C286" s="29" t="s">
        <v>17</v>
      </c>
      <c r="D286" s="30">
        <v>2190000</v>
      </c>
    </row>
    <row r="287" spans="1:4" ht="14.5">
      <c r="A287" s="27" t="s">
        <v>101</v>
      </c>
      <c r="B287" s="27" t="s">
        <v>358</v>
      </c>
      <c r="C287" s="27" t="s">
        <v>17</v>
      </c>
      <c r="D287" s="28">
        <v>2156050</v>
      </c>
    </row>
    <row r="288" spans="1:4" ht="14.5">
      <c r="A288" s="29" t="s">
        <v>101</v>
      </c>
      <c r="B288" s="29" t="s">
        <v>359</v>
      </c>
      <c r="C288" s="29" t="s">
        <v>17</v>
      </c>
      <c r="D288" s="30">
        <v>2138640</v>
      </c>
    </row>
    <row r="289" spans="1:4" ht="14.5">
      <c r="A289" s="27" t="s">
        <v>101</v>
      </c>
      <c r="B289" s="27" t="s">
        <v>360</v>
      </c>
      <c r="C289" s="27" t="s">
        <v>17</v>
      </c>
      <c r="D289" s="28">
        <v>2055000</v>
      </c>
    </row>
    <row r="290" spans="1:4" ht="14.5">
      <c r="A290" s="29" t="s">
        <v>101</v>
      </c>
      <c r="B290" s="29" t="s">
        <v>361</v>
      </c>
      <c r="C290" s="29" t="s">
        <v>17</v>
      </c>
      <c r="D290" s="30">
        <v>2051100</v>
      </c>
    </row>
    <row r="291" spans="1:4" ht="14.5">
      <c r="A291" s="27" t="s">
        <v>101</v>
      </c>
      <c r="B291" s="27" t="s">
        <v>362</v>
      </c>
      <c r="C291" s="27" t="s">
        <v>17</v>
      </c>
      <c r="D291" s="28">
        <v>2039700</v>
      </c>
    </row>
    <row r="292" spans="1:4" ht="14.5">
      <c r="A292" s="29" t="s">
        <v>101</v>
      </c>
      <c r="B292" s="29" t="s">
        <v>363</v>
      </c>
      <c r="C292" s="29" t="s">
        <v>17</v>
      </c>
      <c r="D292" s="30">
        <v>2028700</v>
      </c>
    </row>
    <row r="293" spans="1:4" ht="14.5">
      <c r="A293" s="27" t="s">
        <v>101</v>
      </c>
      <c r="B293" s="27" t="s">
        <v>364</v>
      </c>
      <c r="C293" s="27" t="s">
        <v>17</v>
      </c>
      <c r="D293" s="28">
        <v>2011300</v>
      </c>
    </row>
    <row r="294" spans="1:4" ht="14.5">
      <c r="A294" s="29" t="s">
        <v>101</v>
      </c>
      <c r="B294" s="29" t="s">
        <v>365</v>
      </c>
      <c r="C294" s="29" t="s">
        <v>17</v>
      </c>
      <c r="D294" s="30">
        <v>2000000</v>
      </c>
    </row>
    <row r="295" spans="1:4" ht="14.5">
      <c r="A295" s="27" t="s">
        <v>101</v>
      </c>
      <c r="B295" s="27" t="s">
        <v>366</v>
      </c>
      <c r="C295" s="27" t="s">
        <v>17</v>
      </c>
      <c r="D295" s="28">
        <v>2000000</v>
      </c>
    </row>
    <row r="296" spans="1:4" ht="14.5">
      <c r="A296" s="29" t="s">
        <v>101</v>
      </c>
      <c r="B296" s="29" t="s">
        <v>367</v>
      </c>
      <c r="C296" s="29" t="s">
        <v>17</v>
      </c>
      <c r="D296" s="30">
        <v>2000000</v>
      </c>
    </row>
    <row r="297" spans="1:4" ht="14.5">
      <c r="A297" s="27" t="s">
        <v>101</v>
      </c>
      <c r="B297" s="27" t="s">
        <v>368</v>
      </c>
      <c r="C297" s="27" t="s">
        <v>17</v>
      </c>
      <c r="D297" s="28">
        <v>2000000</v>
      </c>
    </row>
    <row r="298" spans="1:4" ht="14.5">
      <c r="A298" s="29" t="s">
        <v>101</v>
      </c>
      <c r="B298" s="29" t="s">
        <v>369</v>
      </c>
      <c r="C298" s="29" t="s">
        <v>17</v>
      </c>
      <c r="D298" s="30">
        <v>2000000</v>
      </c>
    </row>
    <row r="299" spans="1:4" ht="14.5">
      <c r="A299" s="27" t="s">
        <v>101</v>
      </c>
      <c r="B299" s="27" t="s">
        <v>370</v>
      </c>
      <c r="C299" s="27" t="s">
        <v>17</v>
      </c>
      <c r="D299" s="28">
        <v>2000000</v>
      </c>
    </row>
    <row r="300" spans="1:4" ht="14.5">
      <c r="A300" s="29" t="s">
        <v>101</v>
      </c>
      <c r="B300" s="29" t="s">
        <v>371</v>
      </c>
      <c r="C300" s="29" t="s">
        <v>17</v>
      </c>
      <c r="D300" s="30">
        <v>2000000</v>
      </c>
    </row>
    <row r="301" spans="1:4" ht="14.5">
      <c r="A301" s="27" t="s">
        <v>101</v>
      </c>
      <c r="B301" s="27" t="s">
        <v>372</v>
      </c>
      <c r="C301" s="27" t="s">
        <v>17</v>
      </c>
      <c r="D301" s="28">
        <v>2000000</v>
      </c>
    </row>
    <row r="302" spans="1:4" ht="14.5">
      <c r="A302" s="29" t="s">
        <v>101</v>
      </c>
      <c r="B302" s="29" t="s">
        <v>373</v>
      </c>
      <c r="C302" s="29" t="s">
        <v>17</v>
      </c>
      <c r="D302" s="30">
        <v>2000000</v>
      </c>
    </row>
    <row r="303" spans="1:4" ht="14.5">
      <c r="A303" s="27" t="s">
        <v>101</v>
      </c>
      <c r="B303" s="27" t="s">
        <v>374</v>
      </c>
      <c r="C303" s="27" t="s">
        <v>17</v>
      </c>
      <c r="D303" s="28">
        <v>1950000</v>
      </c>
    </row>
    <row r="304" spans="1:4" ht="14.5">
      <c r="A304" s="29" t="s">
        <v>101</v>
      </c>
      <c r="B304" s="29" t="s">
        <v>375</v>
      </c>
      <c r="C304" s="29" t="s">
        <v>17</v>
      </c>
      <c r="D304" s="30">
        <v>1950000</v>
      </c>
    </row>
    <row r="305" spans="1:4" ht="14.5">
      <c r="A305" s="27" t="s">
        <v>101</v>
      </c>
      <c r="B305" s="27" t="s">
        <v>376</v>
      </c>
      <c r="C305" s="27" t="s">
        <v>17</v>
      </c>
      <c r="D305" s="28">
        <v>1950000</v>
      </c>
    </row>
    <row r="306" spans="1:4" ht="14.5">
      <c r="A306" s="29" t="s">
        <v>101</v>
      </c>
      <c r="B306" s="29" t="s">
        <v>377</v>
      </c>
      <c r="C306" s="29" t="s">
        <v>17</v>
      </c>
      <c r="D306" s="30">
        <v>1949700</v>
      </c>
    </row>
    <row r="307" spans="1:4" ht="14.5">
      <c r="A307" s="27" t="s">
        <v>101</v>
      </c>
      <c r="B307" s="27" t="s">
        <v>378</v>
      </c>
      <c r="C307" s="27" t="s">
        <v>17</v>
      </c>
      <c r="D307" s="28">
        <v>1942400</v>
      </c>
    </row>
    <row r="308" spans="1:4" ht="14.5">
      <c r="A308" s="29" t="s">
        <v>101</v>
      </c>
      <c r="B308" s="29" t="s">
        <v>379</v>
      </c>
      <c r="C308" s="29" t="s">
        <v>17</v>
      </c>
      <c r="D308" s="30">
        <v>1930000</v>
      </c>
    </row>
    <row r="309" spans="1:4" ht="14.5">
      <c r="A309" s="27" t="s">
        <v>101</v>
      </c>
      <c r="B309" s="27" t="s">
        <v>380</v>
      </c>
      <c r="C309" s="27" t="s">
        <v>17</v>
      </c>
      <c r="D309" s="28">
        <v>1890000</v>
      </c>
    </row>
    <row r="310" spans="1:4" ht="14.5">
      <c r="A310" s="29" t="s">
        <v>101</v>
      </c>
      <c r="B310" s="29" t="s">
        <v>381</v>
      </c>
      <c r="C310" s="29" t="s">
        <v>17</v>
      </c>
      <c r="D310" s="30">
        <v>1870000</v>
      </c>
    </row>
    <row r="311" spans="1:4" ht="14.5">
      <c r="A311" s="27" t="s">
        <v>101</v>
      </c>
      <c r="B311" s="27" t="s">
        <v>382</v>
      </c>
      <c r="C311" s="27" t="s">
        <v>17</v>
      </c>
      <c r="D311" s="28">
        <v>1869000</v>
      </c>
    </row>
    <row r="312" spans="1:4" ht="14.5">
      <c r="A312" s="29" t="s">
        <v>101</v>
      </c>
      <c r="B312" s="29" t="s">
        <v>383</v>
      </c>
      <c r="C312" s="29" t="s">
        <v>17</v>
      </c>
      <c r="D312" s="30">
        <v>1832400</v>
      </c>
    </row>
    <row r="313" spans="1:4" ht="14.5">
      <c r="A313" s="27" t="s">
        <v>101</v>
      </c>
      <c r="B313" s="27" t="s">
        <v>384</v>
      </c>
      <c r="C313" s="27" t="s">
        <v>17</v>
      </c>
      <c r="D313" s="28">
        <v>1800000</v>
      </c>
    </row>
    <row r="314" spans="1:4" ht="14.5">
      <c r="A314" s="29" t="s">
        <v>101</v>
      </c>
      <c r="B314" s="29" t="s">
        <v>385</v>
      </c>
      <c r="C314" s="29" t="s">
        <v>17</v>
      </c>
      <c r="D314" s="30">
        <v>1798560</v>
      </c>
    </row>
    <row r="315" spans="1:4" ht="14.5">
      <c r="A315" s="27" t="s">
        <v>101</v>
      </c>
      <c r="B315" s="27" t="s">
        <v>386</v>
      </c>
      <c r="C315" s="27" t="s">
        <v>17</v>
      </c>
      <c r="D315" s="28">
        <v>1797800</v>
      </c>
    </row>
    <row r="316" spans="1:4" ht="14.5">
      <c r="A316" s="29" t="s">
        <v>101</v>
      </c>
      <c r="B316" s="29" t="s">
        <v>387</v>
      </c>
      <c r="C316" s="29" t="s">
        <v>17</v>
      </c>
      <c r="D316" s="30">
        <v>1784700</v>
      </c>
    </row>
    <row r="317" spans="1:4" ht="14.5">
      <c r="A317" s="27" t="s">
        <v>101</v>
      </c>
      <c r="B317" s="27" t="s">
        <v>388</v>
      </c>
      <c r="C317" s="27" t="s">
        <v>17</v>
      </c>
      <c r="D317" s="28">
        <v>1750000</v>
      </c>
    </row>
    <row r="318" spans="1:4" ht="14.5">
      <c r="A318" s="29" t="s">
        <v>101</v>
      </c>
      <c r="B318" s="29" t="s">
        <v>389</v>
      </c>
      <c r="C318" s="29" t="s">
        <v>17</v>
      </c>
      <c r="D318" s="30">
        <v>1665000</v>
      </c>
    </row>
    <row r="319" spans="1:4" ht="14.5">
      <c r="A319" s="27" t="s">
        <v>101</v>
      </c>
      <c r="B319" s="27" t="s">
        <v>390</v>
      </c>
      <c r="C319" s="27" t="s">
        <v>17</v>
      </c>
      <c r="D319" s="28">
        <v>1665000</v>
      </c>
    </row>
    <row r="320" spans="1:4" ht="14.5">
      <c r="A320" s="29" t="s">
        <v>101</v>
      </c>
      <c r="B320" s="29" t="s">
        <v>391</v>
      </c>
      <c r="C320" s="29" t="s">
        <v>17</v>
      </c>
      <c r="D320" s="30">
        <v>1625000</v>
      </c>
    </row>
    <row r="321" spans="1:4" ht="14.5">
      <c r="A321" s="27" t="s">
        <v>101</v>
      </c>
      <c r="B321" s="27" t="s">
        <v>392</v>
      </c>
      <c r="C321" s="27" t="s">
        <v>17</v>
      </c>
      <c r="D321" s="28">
        <v>1600000</v>
      </c>
    </row>
    <row r="322" spans="1:4" ht="14.5">
      <c r="A322" s="29" t="s">
        <v>101</v>
      </c>
      <c r="B322" s="29" t="s">
        <v>393</v>
      </c>
      <c r="C322" s="29" t="s">
        <v>17</v>
      </c>
      <c r="D322" s="30">
        <v>1560000</v>
      </c>
    </row>
    <row r="323" spans="1:4" ht="14.5">
      <c r="A323" s="27" t="s">
        <v>101</v>
      </c>
      <c r="B323" s="27" t="s">
        <v>394</v>
      </c>
      <c r="C323" s="27" t="s">
        <v>17</v>
      </c>
      <c r="D323" s="28">
        <v>1552000</v>
      </c>
    </row>
    <row r="324" spans="1:4" ht="14.5">
      <c r="A324" s="29" t="s">
        <v>101</v>
      </c>
      <c r="B324" s="29" t="s">
        <v>395</v>
      </c>
      <c r="C324" s="29" t="s">
        <v>17</v>
      </c>
      <c r="D324" s="30">
        <v>1503000</v>
      </c>
    </row>
    <row r="325" spans="1:4" ht="14.5">
      <c r="A325" s="27" t="s">
        <v>101</v>
      </c>
      <c r="B325" s="27" t="s">
        <v>396</v>
      </c>
      <c r="C325" s="27" t="s">
        <v>17</v>
      </c>
      <c r="D325" s="28">
        <v>1500000</v>
      </c>
    </row>
    <row r="326" spans="1:4" ht="14.5">
      <c r="A326" s="29" t="s">
        <v>101</v>
      </c>
      <c r="B326" s="29" t="s">
        <v>397</v>
      </c>
      <c r="C326" s="29" t="s">
        <v>17</v>
      </c>
      <c r="D326" s="30">
        <v>1500000</v>
      </c>
    </row>
    <row r="327" spans="1:4" ht="14.5">
      <c r="A327" s="27" t="s">
        <v>101</v>
      </c>
      <c r="B327" s="27" t="s">
        <v>398</v>
      </c>
      <c r="C327" s="27" t="s">
        <v>17</v>
      </c>
      <c r="D327" s="28">
        <v>1500000</v>
      </c>
    </row>
    <row r="328" spans="1:4" ht="14.5">
      <c r="A328" s="29" t="s">
        <v>101</v>
      </c>
      <c r="B328" s="29" t="s">
        <v>399</v>
      </c>
      <c r="C328" s="29" t="s">
        <v>17</v>
      </c>
      <c r="D328" s="30">
        <v>1500000</v>
      </c>
    </row>
    <row r="329" spans="1:4" ht="14.5">
      <c r="A329" s="27" t="s">
        <v>101</v>
      </c>
      <c r="B329" s="27" t="s">
        <v>400</v>
      </c>
      <c r="C329" s="27" t="s">
        <v>17</v>
      </c>
      <c r="D329" s="28">
        <v>1500000</v>
      </c>
    </row>
    <row r="330" spans="1:4" ht="14.5">
      <c r="A330" s="29" t="s">
        <v>101</v>
      </c>
      <c r="B330" s="29" t="s">
        <v>401</v>
      </c>
      <c r="C330" s="29" t="s">
        <v>17</v>
      </c>
      <c r="D330" s="30">
        <v>1497300</v>
      </c>
    </row>
    <row r="331" spans="1:4" ht="14.5">
      <c r="A331" s="27" t="s">
        <v>101</v>
      </c>
      <c r="B331" s="27" t="s">
        <v>402</v>
      </c>
      <c r="C331" s="27" t="s">
        <v>17</v>
      </c>
      <c r="D331" s="28">
        <v>1411800</v>
      </c>
    </row>
    <row r="332" spans="1:4" ht="14.5">
      <c r="A332" s="29" t="s">
        <v>101</v>
      </c>
      <c r="B332" s="29" t="s">
        <v>403</v>
      </c>
      <c r="C332" s="29" t="s">
        <v>17</v>
      </c>
      <c r="D332" s="30">
        <v>1408000</v>
      </c>
    </row>
    <row r="333" spans="1:4" ht="14.5">
      <c r="A333" s="27" t="s">
        <v>98</v>
      </c>
      <c r="B333" s="27" t="s">
        <v>91</v>
      </c>
      <c r="C333" s="27" t="s">
        <v>85</v>
      </c>
      <c r="D333" s="28">
        <v>1400000</v>
      </c>
    </row>
    <row r="334" spans="1:4" ht="14.5">
      <c r="A334" s="29" t="s">
        <v>101</v>
      </c>
      <c r="B334" s="29" t="s">
        <v>404</v>
      </c>
      <c r="C334" s="29" t="s">
        <v>17</v>
      </c>
      <c r="D334" s="30">
        <v>1375650</v>
      </c>
    </row>
    <row r="335" spans="1:4" ht="14.5">
      <c r="A335" s="27" t="s">
        <v>101</v>
      </c>
      <c r="B335" s="27" t="s">
        <v>405</v>
      </c>
      <c r="C335" s="27" t="s">
        <v>17</v>
      </c>
      <c r="D335" s="28">
        <v>1356000</v>
      </c>
    </row>
    <row r="336" spans="1:4" ht="14.5">
      <c r="A336" s="29" t="s">
        <v>101</v>
      </c>
      <c r="B336" s="29" t="s">
        <v>406</v>
      </c>
      <c r="C336" s="29" t="s">
        <v>17</v>
      </c>
      <c r="D336" s="30">
        <v>1342500</v>
      </c>
    </row>
    <row r="337" spans="1:4" ht="14.5">
      <c r="A337" s="27" t="s">
        <v>101</v>
      </c>
      <c r="B337" s="27" t="s">
        <v>407</v>
      </c>
      <c r="C337" s="27" t="s">
        <v>17</v>
      </c>
      <c r="D337" s="28">
        <v>1302000</v>
      </c>
    </row>
    <row r="338" spans="1:4" ht="14.5">
      <c r="A338" s="29" t="s">
        <v>101</v>
      </c>
      <c r="B338" s="29" t="s">
        <v>408</v>
      </c>
      <c r="C338" s="29" t="s">
        <v>17</v>
      </c>
      <c r="D338" s="30">
        <v>1300000</v>
      </c>
    </row>
    <row r="339" spans="1:4" ht="14.5">
      <c r="A339" s="27" t="s">
        <v>101</v>
      </c>
      <c r="B339" s="27" t="s">
        <v>409</v>
      </c>
      <c r="C339" s="27" t="s">
        <v>17</v>
      </c>
      <c r="D339" s="28">
        <v>1272000</v>
      </c>
    </row>
    <row r="340" spans="1:4" ht="14.5">
      <c r="A340" s="29" t="s">
        <v>101</v>
      </c>
      <c r="B340" s="29" t="s">
        <v>410</v>
      </c>
      <c r="C340" s="29" t="s">
        <v>17</v>
      </c>
      <c r="D340" s="30">
        <v>1250000</v>
      </c>
    </row>
    <row r="341" spans="1:4" ht="14.5">
      <c r="A341" s="27" t="s">
        <v>101</v>
      </c>
      <c r="B341" s="27" t="s">
        <v>411</v>
      </c>
      <c r="C341" s="27" t="s">
        <v>17</v>
      </c>
      <c r="D341" s="28">
        <v>1235200</v>
      </c>
    </row>
    <row r="342" spans="1:4" ht="14.5">
      <c r="A342" s="29" t="s">
        <v>101</v>
      </c>
      <c r="B342" s="29" t="s">
        <v>412</v>
      </c>
      <c r="C342" s="29" t="s">
        <v>17</v>
      </c>
      <c r="D342" s="30">
        <v>1212900</v>
      </c>
    </row>
    <row r="343" spans="1:4" ht="14.5">
      <c r="A343" s="27" t="s">
        <v>101</v>
      </c>
      <c r="B343" s="27" t="s">
        <v>413</v>
      </c>
      <c r="C343" s="27" t="s">
        <v>17</v>
      </c>
      <c r="D343" s="28">
        <v>1176000</v>
      </c>
    </row>
    <row r="344" spans="1:4" ht="14.5">
      <c r="A344" s="29" t="s">
        <v>101</v>
      </c>
      <c r="B344" s="29" t="s">
        <v>414</v>
      </c>
      <c r="C344" s="29" t="s">
        <v>17</v>
      </c>
      <c r="D344" s="30">
        <v>1160000</v>
      </c>
    </row>
    <row r="345" spans="1:4" ht="14.5">
      <c r="A345" s="27" t="s">
        <v>101</v>
      </c>
      <c r="B345" s="27" t="s">
        <v>415</v>
      </c>
      <c r="C345" s="27" t="s">
        <v>17</v>
      </c>
      <c r="D345" s="28">
        <v>1112925</v>
      </c>
    </row>
    <row r="346" spans="1:4" ht="14.5">
      <c r="A346" s="29" t="s">
        <v>101</v>
      </c>
      <c r="B346" s="29" t="s">
        <v>416</v>
      </c>
      <c r="C346" s="29" t="s">
        <v>17</v>
      </c>
      <c r="D346" s="30">
        <v>1056000</v>
      </c>
    </row>
    <row r="347" spans="1:4" ht="14.5">
      <c r="A347" s="27" t="s">
        <v>101</v>
      </c>
      <c r="B347" s="27" t="s">
        <v>417</v>
      </c>
      <c r="C347" s="27" t="s">
        <v>17</v>
      </c>
      <c r="D347" s="28">
        <v>1040000</v>
      </c>
    </row>
    <row r="348" spans="1:4" ht="14.5">
      <c r="A348" s="29" t="s">
        <v>101</v>
      </c>
      <c r="B348" s="29" t="s">
        <v>418</v>
      </c>
      <c r="C348" s="29" t="s">
        <v>17</v>
      </c>
      <c r="D348" s="30">
        <v>1038000</v>
      </c>
    </row>
    <row r="349" spans="1:4" ht="14.5">
      <c r="A349" s="27" t="s">
        <v>101</v>
      </c>
      <c r="B349" s="27" t="s">
        <v>419</v>
      </c>
      <c r="C349" s="27" t="s">
        <v>17</v>
      </c>
      <c r="D349" s="28">
        <v>1035850</v>
      </c>
    </row>
    <row r="350" spans="1:4" ht="14.5">
      <c r="A350" s="29" t="s">
        <v>101</v>
      </c>
      <c r="B350" s="29" t="s">
        <v>420</v>
      </c>
      <c r="C350" s="29" t="s">
        <v>17</v>
      </c>
      <c r="D350" s="30">
        <v>1028700</v>
      </c>
    </row>
    <row r="351" spans="1:4" ht="14.5">
      <c r="A351" s="27" t="s">
        <v>101</v>
      </c>
      <c r="B351" s="27" t="s">
        <v>421</v>
      </c>
      <c r="C351" s="27" t="s">
        <v>17</v>
      </c>
      <c r="D351" s="28">
        <v>1020000</v>
      </c>
    </row>
    <row r="352" spans="1:4" ht="14.5">
      <c r="A352" s="29" t="s">
        <v>101</v>
      </c>
      <c r="B352" s="29" t="s">
        <v>422</v>
      </c>
      <c r="C352" s="29" t="s">
        <v>17</v>
      </c>
      <c r="D352" s="30">
        <v>1003500</v>
      </c>
    </row>
    <row r="353" spans="1:4" ht="14.5">
      <c r="A353" s="27" t="s">
        <v>101</v>
      </c>
      <c r="B353" s="27" t="s">
        <v>423</v>
      </c>
      <c r="C353" s="27" t="s">
        <v>17</v>
      </c>
      <c r="D353" s="28">
        <v>1000000</v>
      </c>
    </row>
    <row r="354" spans="1:4" ht="14.5">
      <c r="A354" s="29" t="s">
        <v>101</v>
      </c>
      <c r="B354" s="29" t="s">
        <v>424</v>
      </c>
      <c r="C354" s="29" t="s">
        <v>17</v>
      </c>
      <c r="D354" s="30">
        <v>1000000</v>
      </c>
    </row>
    <row r="355" spans="1:4" ht="14.5">
      <c r="A355" s="27" t="s">
        <v>101</v>
      </c>
      <c r="B355" s="27" t="s">
        <v>425</v>
      </c>
      <c r="C355" s="27" t="s">
        <v>17</v>
      </c>
      <c r="D355" s="28">
        <v>1000000</v>
      </c>
    </row>
    <row r="356" spans="1:4" ht="14.5">
      <c r="A356" s="29" t="s">
        <v>101</v>
      </c>
      <c r="B356" s="29" t="s">
        <v>426</v>
      </c>
      <c r="C356" s="29" t="s">
        <v>17</v>
      </c>
      <c r="D356" s="30">
        <v>1000000</v>
      </c>
    </row>
    <row r="357" spans="1:4" ht="14.5">
      <c r="A357" s="27" t="s">
        <v>101</v>
      </c>
      <c r="B357" s="27" t="s">
        <v>427</v>
      </c>
      <c r="C357" s="27" t="s">
        <v>17</v>
      </c>
      <c r="D357" s="28">
        <v>1000000</v>
      </c>
    </row>
    <row r="358" spans="1:4" ht="14.5">
      <c r="A358" s="29" t="s">
        <v>101</v>
      </c>
      <c r="B358" s="29" t="s">
        <v>428</v>
      </c>
      <c r="C358" s="29" t="s">
        <v>17</v>
      </c>
      <c r="D358" s="30">
        <v>1000000</v>
      </c>
    </row>
    <row r="359" spans="1:4" ht="14.5">
      <c r="A359" s="27" t="s">
        <v>101</v>
      </c>
      <c r="B359" s="27" t="s">
        <v>429</v>
      </c>
      <c r="C359" s="27" t="s">
        <v>17</v>
      </c>
      <c r="D359" s="28">
        <v>1000000</v>
      </c>
    </row>
    <row r="360" spans="1:4" ht="14.5">
      <c r="A360" s="29" t="s">
        <v>101</v>
      </c>
      <c r="B360" s="29" t="s">
        <v>430</v>
      </c>
      <c r="C360" s="29" t="s">
        <v>17</v>
      </c>
      <c r="D360" s="30">
        <v>1000000</v>
      </c>
    </row>
    <row r="361" spans="1:4" ht="14.5">
      <c r="A361" s="27" t="s">
        <v>101</v>
      </c>
      <c r="B361" s="27" t="s">
        <v>431</v>
      </c>
      <c r="C361" s="27" t="s">
        <v>17</v>
      </c>
      <c r="D361" s="28">
        <v>1000000</v>
      </c>
    </row>
    <row r="362" spans="1:4" ht="14.5">
      <c r="A362" s="29" t="s">
        <v>101</v>
      </c>
      <c r="B362" s="29" t="s">
        <v>432</v>
      </c>
      <c r="C362" s="29" t="s">
        <v>17</v>
      </c>
      <c r="D362" s="30">
        <v>1000000</v>
      </c>
    </row>
    <row r="363" spans="1:4" ht="14.5">
      <c r="A363" s="27" t="s">
        <v>101</v>
      </c>
      <c r="B363" s="27" t="s">
        <v>433</v>
      </c>
      <c r="C363" s="27" t="s">
        <v>17</v>
      </c>
      <c r="D363" s="28">
        <v>1000000</v>
      </c>
    </row>
    <row r="364" spans="1:4" ht="14.5">
      <c r="A364" s="29" t="s">
        <v>101</v>
      </c>
      <c r="B364" s="29" t="s">
        <v>434</v>
      </c>
      <c r="C364" s="29" t="s">
        <v>17</v>
      </c>
      <c r="D364" s="30">
        <v>1000000</v>
      </c>
    </row>
    <row r="365" spans="1:4" ht="14.5">
      <c r="A365" s="27" t="s">
        <v>101</v>
      </c>
      <c r="B365" s="27" t="s">
        <v>435</v>
      </c>
      <c r="C365" s="27" t="s">
        <v>17</v>
      </c>
      <c r="D365" s="28">
        <v>1000000</v>
      </c>
    </row>
    <row r="366" spans="1:4" ht="14.5">
      <c r="A366" s="29" t="s">
        <v>101</v>
      </c>
      <c r="B366" s="29" t="s">
        <v>436</v>
      </c>
      <c r="C366" s="29" t="s">
        <v>17</v>
      </c>
      <c r="D366" s="30">
        <v>1000000</v>
      </c>
    </row>
    <row r="367" spans="1:4" ht="14.5">
      <c r="A367" s="27" t="s">
        <v>101</v>
      </c>
      <c r="B367" s="27" t="s">
        <v>437</v>
      </c>
      <c r="C367" s="27" t="s">
        <v>17</v>
      </c>
      <c r="D367" s="28">
        <v>1000000</v>
      </c>
    </row>
    <row r="368" spans="1:4" ht="14.5">
      <c r="A368" s="29" t="s">
        <v>101</v>
      </c>
      <c r="B368" s="29" t="s">
        <v>438</v>
      </c>
      <c r="C368" s="29" t="s">
        <v>17</v>
      </c>
      <c r="D368" s="30">
        <v>1000000</v>
      </c>
    </row>
    <row r="369" spans="1:4" ht="14.5">
      <c r="A369" s="27" t="s">
        <v>101</v>
      </c>
      <c r="B369" s="27" t="s">
        <v>439</v>
      </c>
      <c r="C369" s="27" t="s">
        <v>17</v>
      </c>
      <c r="D369" s="28">
        <v>1000000</v>
      </c>
    </row>
    <row r="370" spans="1:4" ht="14.5">
      <c r="A370" s="29" t="s">
        <v>101</v>
      </c>
      <c r="B370" s="29" t="s">
        <v>440</v>
      </c>
      <c r="C370" s="29" t="s">
        <v>17</v>
      </c>
      <c r="D370" s="30">
        <v>1000000</v>
      </c>
    </row>
    <row r="371" spans="1:4" ht="14.5">
      <c r="A371" s="27" t="s">
        <v>101</v>
      </c>
      <c r="B371" s="27" t="s">
        <v>441</v>
      </c>
      <c r="C371" s="27" t="s">
        <v>17</v>
      </c>
      <c r="D371" s="28">
        <v>1000000</v>
      </c>
    </row>
    <row r="372" spans="1:4" ht="14.5">
      <c r="A372" s="29" t="s">
        <v>101</v>
      </c>
      <c r="B372" s="29" t="s">
        <v>442</v>
      </c>
      <c r="C372" s="29" t="s">
        <v>17</v>
      </c>
      <c r="D372" s="30">
        <v>1000000</v>
      </c>
    </row>
    <row r="373" spans="1:4" ht="14.5">
      <c r="A373" s="27" t="s">
        <v>101</v>
      </c>
      <c r="B373" s="27" t="s">
        <v>443</v>
      </c>
      <c r="C373" s="27" t="s">
        <v>17</v>
      </c>
      <c r="D373" s="28">
        <v>1000000</v>
      </c>
    </row>
    <row r="374" spans="1:4" ht="14.5">
      <c r="A374" s="29" t="s">
        <v>101</v>
      </c>
      <c r="B374" s="29" t="s">
        <v>444</v>
      </c>
      <c r="C374" s="29" t="s">
        <v>17</v>
      </c>
      <c r="D374" s="30">
        <v>1000000</v>
      </c>
    </row>
    <row r="375" spans="1:4" ht="14.5">
      <c r="A375" s="27" t="s">
        <v>101</v>
      </c>
      <c r="B375" s="27" t="s">
        <v>445</v>
      </c>
      <c r="C375" s="27" t="s">
        <v>17</v>
      </c>
      <c r="D375" s="28">
        <v>1000000</v>
      </c>
    </row>
    <row r="376" spans="1:4" ht="14.5">
      <c r="A376" s="29" t="s">
        <v>101</v>
      </c>
      <c r="B376" s="29" t="s">
        <v>446</v>
      </c>
      <c r="C376" s="29" t="s">
        <v>17</v>
      </c>
      <c r="D376" s="30">
        <v>1000000</v>
      </c>
    </row>
    <row r="377" spans="1:4" ht="14.5">
      <c r="A377" s="27" t="s">
        <v>101</v>
      </c>
      <c r="B377" s="27" t="s">
        <v>447</v>
      </c>
      <c r="C377" s="27" t="s">
        <v>17</v>
      </c>
      <c r="D377" s="28">
        <v>1000000</v>
      </c>
    </row>
    <row r="378" spans="1:4" ht="14.5">
      <c r="A378" s="29" t="s">
        <v>101</v>
      </c>
      <c r="B378" s="29" t="s">
        <v>448</v>
      </c>
      <c r="C378" s="29" t="s">
        <v>17</v>
      </c>
      <c r="D378" s="30">
        <v>1000000</v>
      </c>
    </row>
    <row r="379" spans="1:4" ht="14.5">
      <c r="A379" s="27" t="s">
        <v>101</v>
      </c>
      <c r="B379" s="27" t="s">
        <v>449</v>
      </c>
      <c r="C379" s="27" t="s">
        <v>17</v>
      </c>
      <c r="D379" s="28">
        <v>1000000</v>
      </c>
    </row>
    <row r="380" spans="1:4" ht="14.5">
      <c r="A380" s="29" t="s">
        <v>101</v>
      </c>
      <c r="B380" s="29" t="s">
        <v>450</v>
      </c>
      <c r="C380" s="29" t="s">
        <v>17</v>
      </c>
      <c r="D380" s="30">
        <v>1000000</v>
      </c>
    </row>
    <row r="381" spans="1:4" ht="14.5">
      <c r="A381" s="27" t="s">
        <v>101</v>
      </c>
      <c r="B381" s="27" t="s">
        <v>451</v>
      </c>
      <c r="C381" s="27" t="s">
        <v>17</v>
      </c>
      <c r="D381" s="28">
        <v>1000000</v>
      </c>
    </row>
    <row r="382" spans="1:4" ht="14.5">
      <c r="A382" s="29" t="s">
        <v>101</v>
      </c>
      <c r="B382" s="29" t="s">
        <v>452</v>
      </c>
      <c r="C382" s="29" t="s">
        <v>17</v>
      </c>
      <c r="D382" s="30">
        <v>1000000</v>
      </c>
    </row>
    <row r="383" spans="1:4" ht="14.5">
      <c r="A383" s="27" t="s">
        <v>101</v>
      </c>
      <c r="B383" s="27" t="s">
        <v>453</v>
      </c>
      <c r="C383" s="27" t="s">
        <v>17</v>
      </c>
      <c r="D383" s="28">
        <v>1000000</v>
      </c>
    </row>
    <row r="384" spans="1:4" ht="14.5">
      <c r="A384" s="29" t="s">
        <v>101</v>
      </c>
      <c r="B384" s="29" t="s">
        <v>454</v>
      </c>
      <c r="C384" s="29" t="s">
        <v>17</v>
      </c>
      <c r="D384" s="30">
        <v>1000000</v>
      </c>
    </row>
    <row r="385" spans="1:4" ht="14.5">
      <c r="A385" s="27" t="s">
        <v>101</v>
      </c>
      <c r="B385" s="27" t="s">
        <v>455</v>
      </c>
      <c r="C385" s="27" t="s">
        <v>17</v>
      </c>
      <c r="D385" s="28">
        <v>1000000</v>
      </c>
    </row>
    <row r="386" spans="1:4" ht="14.5">
      <c r="A386" s="29" t="s">
        <v>101</v>
      </c>
      <c r="B386" s="29" t="s">
        <v>456</v>
      </c>
      <c r="C386" s="29" t="s">
        <v>17</v>
      </c>
      <c r="D386" s="30">
        <v>1000000</v>
      </c>
    </row>
    <row r="387" spans="1:4" ht="14.5">
      <c r="A387" s="27" t="s">
        <v>101</v>
      </c>
      <c r="B387" s="27" t="s">
        <v>457</v>
      </c>
      <c r="C387" s="27" t="s">
        <v>17</v>
      </c>
      <c r="D387" s="28">
        <v>1000000</v>
      </c>
    </row>
    <row r="388" spans="1:4" ht="14.5">
      <c r="A388" s="29" t="s">
        <v>101</v>
      </c>
      <c r="B388" s="29" t="s">
        <v>458</v>
      </c>
      <c r="C388" s="29" t="s">
        <v>17</v>
      </c>
      <c r="D388" s="30">
        <v>1000000</v>
      </c>
    </row>
    <row r="389" spans="1:4" ht="14.5">
      <c r="A389" s="27" t="s">
        <v>101</v>
      </c>
      <c r="B389" s="27" t="s">
        <v>459</v>
      </c>
      <c r="C389" s="27" t="s">
        <v>17</v>
      </c>
      <c r="D389" s="28">
        <v>1000000</v>
      </c>
    </row>
    <row r="390" spans="1:4" ht="14.5">
      <c r="A390" s="29" t="s">
        <v>101</v>
      </c>
      <c r="B390" s="29" t="s">
        <v>460</v>
      </c>
      <c r="C390" s="29" t="s">
        <v>17</v>
      </c>
      <c r="D390" s="30">
        <v>1000000</v>
      </c>
    </row>
    <row r="391" spans="1:4" ht="14.5">
      <c r="A391" s="27" t="s">
        <v>101</v>
      </c>
      <c r="B391" s="27" t="s">
        <v>461</v>
      </c>
      <c r="C391" s="27" t="s">
        <v>17</v>
      </c>
      <c r="D391" s="28">
        <v>1000000</v>
      </c>
    </row>
    <row r="392" spans="1:4" ht="14.5">
      <c r="A392" s="29" t="s">
        <v>101</v>
      </c>
      <c r="B392" s="29" t="s">
        <v>462</v>
      </c>
      <c r="C392" s="29" t="s">
        <v>17</v>
      </c>
      <c r="D392" s="30">
        <v>1000000</v>
      </c>
    </row>
    <row r="393" spans="1:4" ht="14.5">
      <c r="A393" s="27" t="s">
        <v>98</v>
      </c>
      <c r="B393" s="27" t="s">
        <v>463</v>
      </c>
      <c r="C393" s="27" t="s">
        <v>17</v>
      </c>
      <c r="D393" s="28">
        <v>775055</v>
      </c>
    </row>
    <row r="395" spans="1:4">
      <c r="C395" s="31" t="s">
        <v>464</v>
      </c>
      <c r="D395" s="32">
        <f>SUM(D5:D394)</f>
        <v>435824804871.0116</v>
      </c>
    </row>
  </sheetData>
  <hyperlinks>
    <hyperlink ref="A1" location="Sommaire!A1" display="Sommaire!A1" xr:uid="{A95FBFC5-B85D-4CB2-8FB7-384057E4101E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BA38B-215C-4C04-95BC-57A6B772543D}">
  <sheetPr>
    <tabColor rgb="FF00B050"/>
  </sheetPr>
  <dimension ref="A1:G41"/>
  <sheetViews>
    <sheetView workbookViewId="0">
      <selection activeCell="B21" sqref="B21"/>
    </sheetView>
  </sheetViews>
  <sheetFormatPr baseColWidth="10" defaultColWidth="12" defaultRowHeight="13"/>
  <cols>
    <col min="1" max="1" width="7.7265625" style="22" customWidth="1"/>
    <col min="2" max="2" width="90.81640625" style="22" bestFit="1" customWidth="1"/>
    <col min="3" max="3" width="8" style="22" bestFit="1" customWidth="1"/>
    <col min="4" max="4" width="24.08984375" style="22" bestFit="1" customWidth="1"/>
    <col min="5" max="6" width="12" style="22"/>
    <col min="7" max="7" width="21.08984375" style="33" bestFit="1" customWidth="1"/>
    <col min="8" max="16384" width="12" style="22"/>
  </cols>
  <sheetData>
    <row r="1" spans="1:7" ht="14.5">
      <c r="A1" s="21" t="s">
        <v>0</v>
      </c>
    </row>
    <row r="2" spans="1:7" s="24" customFormat="1" ht="21">
      <c r="B2" s="23" t="s">
        <v>465</v>
      </c>
      <c r="G2" s="34"/>
    </row>
    <row r="4" spans="1:7" ht="34.5" customHeight="1" thickBot="1">
      <c r="B4" s="25" t="s">
        <v>466</v>
      </c>
      <c r="C4" s="25" t="s">
        <v>467</v>
      </c>
      <c r="D4" s="25" t="s">
        <v>468</v>
      </c>
    </row>
    <row r="5" spans="1:7">
      <c r="B5" s="35" t="s">
        <v>18</v>
      </c>
      <c r="C5" s="35" t="s">
        <v>19</v>
      </c>
      <c r="D5" s="36">
        <v>61217446304</v>
      </c>
    </row>
    <row r="6" spans="1:7">
      <c r="B6" s="37" t="s">
        <v>51</v>
      </c>
      <c r="C6" s="37" t="s">
        <v>19</v>
      </c>
      <c r="D6" s="38">
        <v>60913570868</v>
      </c>
    </row>
    <row r="7" spans="1:7">
      <c r="B7" s="35" t="s">
        <v>32</v>
      </c>
      <c r="C7" s="35" t="s">
        <v>19</v>
      </c>
      <c r="D7" s="36">
        <v>50512842008</v>
      </c>
    </row>
    <row r="8" spans="1:7">
      <c r="B8" s="37" t="s">
        <v>26</v>
      </c>
      <c r="C8" s="37" t="s">
        <v>27</v>
      </c>
      <c r="D8" s="38">
        <v>35048457746</v>
      </c>
    </row>
    <row r="9" spans="1:7">
      <c r="B9" s="35" t="s">
        <v>56</v>
      </c>
      <c r="C9" s="35" t="s">
        <v>37</v>
      </c>
      <c r="D9" s="36">
        <v>31440374364</v>
      </c>
    </row>
    <row r="10" spans="1:7">
      <c r="B10" s="37" t="s">
        <v>40</v>
      </c>
      <c r="C10" s="37" t="s">
        <v>37</v>
      </c>
      <c r="D10" s="38">
        <v>30620366135.291573</v>
      </c>
    </row>
    <row r="11" spans="1:7">
      <c r="B11" s="35" t="s">
        <v>36</v>
      </c>
      <c r="C11" s="35" t="s">
        <v>37</v>
      </c>
      <c r="D11" s="36">
        <v>28507711200.191364</v>
      </c>
    </row>
    <row r="12" spans="1:7">
      <c r="B12" s="37" t="s">
        <v>49</v>
      </c>
      <c r="C12" s="37" t="s">
        <v>30</v>
      </c>
      <c r="D12" s="38">
        <v>21518941010</v>
      </c>
    </row>
    <row r="13" spans="1:7">
      <c r="B13" s="35" t="s">
        <v>34</v>
      </c>
      <c r="C13" s="35" t="s">
        <v>19</v>
      </c>
      <c r="D13" s="36">
        <v>20936679954</v>
      </c>
    </row>
    <row r="14" spans="1:7">
      <c r="B14" s="37" t="s">
        <v>54</v>
      </c>
      <c r="C14" s="37" t="s">
        <v>19</v>
      </c>
      <c r="D14" s="38">
        <v>19360480908</v>
      </c>
    </row>
    <row r="15" spans="1:7">
      <c r="B15" s="35" t="s">
        <v>53</v>
      </c>
      <c r="C15" s="35" t="s">
        <v>19</v>
      </c>
      <c r="D15" s="36">
        <v>16154405662</v>
      </c>
    </row>
    <row r="16" spans="1:7">
      <c r="B16" s="37" t="s">
        <v>52</v>
      </c>
      <c r="C16" s="37" t="s">
        <v>19</v>
      </c>
      <c r="D16" s="38">
        <v>16090606460</v>
      </c>
    </row>
    <row r="17" spans="2:4">
      <c r="B17" s="35" t="s">
        <v>50</v>
      </c>
      <c r="C17" s="35" t="s">
        <v>19</v>
      </c>
      <c r="D17" s="36">
        <v>12923060931</v>
      </c>
    </row>
    <row r="18" spans="2:4">
      <c r="B18" s="37" t="s">
        <v>35</v>
      </c>
      <c r="C18" s="37" t="s">
        <v>19</v>
      </c>
      <c r="D18" s="38">
        <v>8555208488</v>
      </c>
    </row>
    <row r="19" spans="2:4">
      <c r="B19" s="35" t="s">
        <v>29</v>
      </c>
      <c r="C19" s="35" t="s">
        <v>30</v>
      </c>
      <c r="D19" s="36">
        <v>7547318704</v>
      </c>
    </row>
    <row r="20" spans="2:4">
      <c r="B20" s="37" t="s">
        <v>469</v>
      </c>
      <c r="C20" s="37" t="s">
        <v>27</v>
      </c>
      <c r="D20" s="38">
        <v>3594327572</v>
      </c>
    </row>
    <row r="21" spans="2:4">
      <c r="B21" s="35" t="s">
        <v>66</v>
      </c>
      <c r="C21" s="35" t="s">
        <v>30</v>
      </c>
      <c r="D21" s="36">
        <v>2886270378</v>
      </c>
    </row>
    <row r="22" spans="2:4">
      <c r="B22" s="37" t="s">
        <v>33</v>
      </c>
      <c r="C22" s="37" t="s">
        <v>19</v>
      </c>
      <c r="D22" s="38">
        <v>1956145798</v>
      </c>
    </row>
    <row r="23" spans="2:4">
      <c r="B23" s="35" t="s">
        <v>44</v>
      </c>
      <c r="C23" s="35" t="s">
        <v>45</v>
      </c>
      <c r="D23" s="36">
        <v>1534772384</v>
      </c>
    </row>
    <row r="24" spans="2:4">
      <c r="B24" s="37" t="s">
        <v>28</v>
      </c>
      <c r="C24" s="37" t="s">
        <v>27</v>
      </c>
      <c r="D24" s="38">
        <v>1334165328</v>
      </c>
    </row>
    <row r="25" spans="2:4">
      <c r="B25" s="35" t="s">
        <v>43</v>
      </c>
      <c r="C25" s="35" t="s">
        <v>37</v>
      </c>
      <c r="D25" s="36">
        <v>1012222721.5286903</v>
      </c>
    </row>
    <row r="26" spans="2:4">
      <c r="B26" s="37" t="s">
        <v>20</v>
      </c>
      <c r="C26" s="37" t="s">
        <v>19</v>
      </c>
      <c r="D26" s="38">
        <v>758279307</v>
      </c>
    </row>
    <row r="27" spans="2:4">
      <c r="B27" s="35" t="s">
        <v>81</v>
      </c>
      <c r="C27" s="35" t="s">
        <v>19</v>
      </c>
      <c r="D27" s="36">
        <v>627868367</v>
      </c>
    </row>
    <row r="28" spans="2:4">
      <c r="B28" s="37" t="s">
        <v>48</v>
      </c>
      <c r="C28" s="37" t="s">
        <v>27</v>
      </c>
      <c r="D28" s="38">
        <v>383238345</v>
      </c>
    </row>
    <row r="29" spans="2:4">
      <c r="B29" s="35" t="s">
        <v>55</v>
      </c>
      <c r="C29" s="35" t="s">
        <v>37</v>
      </c>
      <c r="D29" s="36">
        <v>142042530</v>
      </c>
    </row>
    <row r="30" spans="2:4">
      <c r="B30" s="37" t="s">
        <v>470</v>
      </c>
      <c r="C30" s="37" t="s">
        <v>19</v>
      </c>
      <c r="D30" s="38">
        <v>100323282</v>
      </c>
    </row>
    <row r="31" spans="2:4">
      <c r="B31" s="35" t="s">
        <v>470</v>
      </c>
      <c r="C31" s="35" t="s">
        <v>37</v>
      </c>
      <c r="D31" s="36">
        <v>83547232</v>
      </c>
    </row>
    <row r="32" spans="2:4">
      <c r="B32" s="37" t="s">
        <v>64</v>
      </c>
      <c r="C32" s="37" t="s">
        <v>19</v>
      </c>
      <c r="D32" s="38">
        <v>34053586</v>
      </c>
    </row>
    <row r="33" spans="2:4">
      <c r="B33" s="35" t="s">
        <v>74</v>
      </c>
      <c r="C33" s="35" t="s">
        <v>58</v>
      </c>
      <c r="D33" s="36">
        <v>15000000</v>
      </c>
    </row>
    <row r="34" spans="2:4">
      <c r="B34" s="37" t="s">
        <v>76</v>
      </c>
      <c r="C34" s="37" t="s">
        <v>19</v>
      </c>
      <c r="D34" s="38">
        <v>6166667</v>
      </c>
    </row>
    <row r="35" spans="2:4">
      <c r="B35" s="35" t="s">
        <v>70</v>
      </c>
      <c r="C35" s="35" t="s">
        <v>45</v>
      </c>
      <c r="D35" s="36">
        <v>4128000</v>
      </c>
    </row>
    <row r="36" spans="2:4">
      <c r="B36" s="37" t="s">
        <v>471</v>
      </c>
      <c r="C36" s="37" t="s">
        <v>19</v>
      </c>
      <c r="D36" s="38">
        <v>2967786</v>
      </c>
    </row>
    <row r="37" spans="2:4">
      <c r="B37" s="35" t="s">
        <v>470</v>
      </c>
      <c r="C37" s="35" t="s">
        <v>30</v>
      </c>
      <c r="D37" s="36">
        <v>1500000</v>
      </c>
    </row>
    <row r="38" spans="2:4">
      <c r="B38" s="37" t="s">
        <v>472</v>
      </c>
      <c r="C38" s="37" t="s">
        <v>19</v>
      </c>
      <c r="D38" s="38">
        <v>314845</v>
      </c>
    </row>
    <row r="39" spans="2:4" ht="13.5" thickBot="1"/>
    <row r="40" spans="2:4" ht="14" thickTop="1" thickBot="1">
      <c r="B40" s="39" t="s">
        <v>464</v>
      </c>
      <c r="C40" s="39"/>
      <c r="D40" s="40">
        <f>SUM(D5:D39)</f>
        <v>435824804871.0116</v>
      </c>
    </row>
    <row r="41" spans="2:4" ht="13.5" thickTop="1"/>
  </sheetData>
  <mergeCells count="1">
    <mergeCell ref="B40:C40"/>
  </mergeCells>
  <hyperlinks>
    <hyperlink ref="A1" location="Sommaire!A1" display="Sommaire!A1" xr:uid="{C58E891D-99FD-4863-83F4-FA629AD63393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FDB24-F670-4451-938D-18757E5EF800}">
  <sheetPr>
    <tabColor rgb="FF00B050"/>
  </sheetPr>
  <dimension ref="A1:D418"/>
  <sheetViews>
    <sheetView zoomScale="65" workbookViewId="0">
      <selection activeCell="B21" sqref="B21"/>
    </sheetView>
  </sheetViews>
  <sheetFormatPr baseColWidth="10" defaultColWidth="12.36328125" defaultRowHeight="13"/>
  <cols>
    <col min="1" max="1" width="19.36328125" style="41" customWidth="1"/>
    <col min="2" max="2" width="82.08984375" style="41" bestFit="1" customWidth="1"/>
    <col min="3" max="3" width="22.1796875" style="41" bestFit="1" customWidth="1"/>
    <col min="4" max="4" width="20.81640625" style="41" bestFit="1" customWidth="1"/>
    <col min="5" max="16384" width="12.36328125" style="41"/>
  </cols>
  <sheetData>
    <row r="1" spans="1:4" ht="14.5">
      <c r="A1" s="21" t="s">
        <v>0</v>
      </c>
    </row>
    <row r="2" spans="1:4" s="42" customFormat="1" ht="23.5">
      <c r="A2" s="23" t="s">
        <v>473</v>
      </c>
    </row>
    <row r="4" spans="1:4" ht="28.5" customHeight="1" thickBot="1">
      <c r="A4" s="25" t="s">
        <v>98</v>
      </c>
      <c r="B4" s="25" t="s">
        <v>99</v>
      </c>
      <c r="C4" s="25" t="s">
        <v>6</v>
      </c>
      <c r="D4" s="25" t="s">
        <v>100</v>
      </c>
    </row>
    <row r="5" spans="1:4">
      <c r="A5" s="43" t="s">
        <v>98</v>
      </c>
      <c r="B5" s="43" t="s">
        <v>46</v>
      </c>
      <c r="C5" s="43" t="s">
        <v>17</v>
      </c>
      <c r="D5" s="44">
        <v>121339352816.22394</v>
      </c>
    </row>
    <row r="6" spans="1:4">
      <c r="A6" s="45" t="s">
        <v>98</v>
      </c>
      <c r="B6" s="45" t="s">
        <v>67</v>
      </c>
      <c r="C6" s="45" t="s">
        <v>17</v>
      </c>
      <c r="D6" s="46">
        <v>47530207664</v>
      </c>
    </row>
    <row r="7" spans="1:4">
      <c r="A7" s="43" t="s">
        <v>98</v>
      </c>
      <c r="B7" s="43" t="s">
        <v>25</v>
      </c>
      <c r="C7" s="43" t="s">
        <v>17</v>
      </c>
      <c r="D7" s="44">
        <v>45739020113</v>
      </c>
    </row>
    <row r="8" spans="1:4">
      <c r="A8" s="45" t="s">
        <v>98</v>
      </c>
      <c r="B8" s="45" t="s">
        <v>59</v>
      </c>
      <c r="C8" s="45" t="s">
        <v>17</v>
      </c>
      <c r="D8" s="46">
        <v>40784377520</v>
      </c>
    </row>
    <row r="9" spans="1:4">
      <c r="A9" s="43" t="s">
        <v>98</v>
      </c>
      <c r="B9" s="43" t="s">
        <v>94</v>
      </c>
      <c r="C9" s="43" t="s">
        <v>85</v>
      </c>
      <c r="D9" s="44">
        <v>38917919371</v>
      </c>
    </row>
    <row r="10" spans="1:4">
      <c r="A10" s="45" t="s">
        <v>98</v>
      </c>
      <c r="B10" s="45" t="s">
        <v>63</v>
      </c>
      <c r="C10" s="45" t="s">
        <v>17</v>
      </c>
      <c r="D10" s="46">
        <v>34751623305</v>
      </c>
    </row>
    <row r="11" spans="1:4">
      <c r="A11" s="43" t="s">
        <v>98</v>
      </c>
      <c r="B11" s="43" t="s">
        <v>60</v>
      </c>
      <c r="C11" s="43" t="s">
        <v>17</v>
      </c>
      <c r="D11" s="44">
        <v>28205357548.5</v>
      </c>
    </row>
    <row r="12" spans="1:4">
      <c r="A12" s="45" t="s">
        <v>98</v>
      </c>
      <c r="B12" s="45" t="s">
        <v>93</v>
      </c>
      <c r="C12" s="45" t="s">
        <v>85</v>
      </c>
      <c r="D12" s="46">
        <v>20563230499.096001</v>
      </c>
    </row>
    <row r="13" spans="1:4">
      <c r="A13" s="43" t="s">
        <v>98</v>
      </c>
      <c r="B13" s="43" t="s">
        <v>65</v>
      </c>
      <c r="C13" s="43" t="s">
        <v>17</v>
      </c>
      <c r="D13" s="44">
        <v>20301873573</v>
      </c>
    </row>
    <row r="14" spans="1:4">
      <c r="A14" s="45" t="s">
        <v>101</v>
      </c>
      <c r="B14" s="45" t="s">
        <v>102</v>
      </c>
      <c r="C14" s="45" t="s">
        <v>85</v>
      </c>
      <c r="D14" s="46">
        <v>18788459724</v>
      </c>
    </row>
    <row r="15" spans="1:4">
      <c r="A15" s="43" t="s">
        <v>98</v>
      </c>
      <c r="B15" s="43" t="s">
        <v>103</v>
      </c>
      <c r="C15" s="43" t="s">
        <v>17</v>
      </c>
      <c r="D15" s="44">
        <v>8793188734</v>
      </c>
    </row>
    <row r="16" spans="1:4">
      <c r="A16" s="45" t="s">
        <v>98</v>
      </c>
      <c r="B16" s="45" t="s">
        <v>69</v>
      </c>
      <c r="C16" s="45" t="s">
        <v>17</v>
      </c>
      <c r="D16" s="46">
        <v>5926455660</v>
      </c>
    </row>
    <row r="17" spans="1:4">
      <c r="A17" s="43" t="s">
        <v>98</v>
      </c>
      <c r="B17" s="43" t="s">
        <v>71</v>
      </c>
      <c r="C17" s="43" t="s">
        <v>17</v>
      </c>
      <c r="D17" s="44">
        <v>3762070059</v>
      </c>
    </row>
    <row r="18" spans="1:4">
      <c r="A18" s="45" t="s">
        <v>98</v>
      </c>
      <c r="B18" s="45" t="s">
        <v>82</v>
      </c>
      <c r="C18" s="45" t="s">
        <v>17</v>
      </c>
      <c r="D18" s="46">
        <v>3585324022</v>
      </c>
    </row>
    <row r="19" spans="1:4">
      <c r="A19" s="43" t="s">
        <v>98</v>
      </c>
      <c r="B19" s="43" t="s">
        <v>95</v>
      </c>
      <c r="C19" s="43" t="s">
        <v>17</v>
      </c>
      <c r="D19" s="44">
        <v>3374956981</v>
      </c>
    </row>
    <row r="20" spans="1:4">
      <c r="A20" s="45" t="s">
        <v>98</v>
      </c>
      <c r="B20" s="45" t="s">
        <v>80</v>
      </c>
      <c r="C20" s="45" t="s">
        <v>17</v>
      </c>
      <c r="D20" s="46">
        <v>2655756311</v>
      </c>
    </row>
    <row r="21" spans="1:4">
      <c r="A21" s="43" t="s">
        <v>98</v>
      </c>
      <c r="B21" s="43" t="s">
        <v>73</v>
      </c>
      <c r="C21" s="43" t="s">
        <v>17</v>
      </c>
      <c r="D21" s="44">
        <v>1449174342</v>
      </c>
    </row>
    <row r="22" spans="1:4">
      <c r="A22" s="45" t="s">
        <v>98</v>
      </c>
      <c r="B22" s="45" t="s">
        <v>79</v>
      </c>
      <c r="C22" s="45" t="s">
        <v>17</v>
      </c>
      <c r="D22" s="46">
        <v>1369837444</v>
      </c>
    </row>
    <row r="23" spans="1:4">
      <c r="A23" s="43" t="s">
        <v>98</v>
      </c>
      <c r="B23" s="43" t="s">
        <v>84</v>
      </c>
      <c r="C23" s="43" t="s">
        <v>85</v>
      </c>
      <c r="D23" s="44">
        <v>822330439</v>
      </c>
    </row>
    <row r="24" spans="1:4">
      <c r="A24" s="45" t="s">
        <v>98</v>
      </c>
      <c r="B24" s="45" t="s">
        <v>77</v>
      </c>
      <c r="C24" s="45" t="s">
        <v>17</v>
      </c>
      <c r="D24" s="46">
        <v>604727501.64999998</v>
      </c>
    </row>
    <row r="25" spans="1:4">
      <c r="A25" s="43" t="s">
        <v>98</v>
      </c>
      <c r="B25" s="43" t="s">
        <v>61</v>
      </c>
      <c r="C25" s="43" t="s">
        <v>17</v>
      </c>
      <c r="D25" s="44">
        <v>583563623</v>
      </c>
    </row>
    <row r="26" spans="1:4">
      <c r="A26" s="45" t="s">
        <v>98</v>
      </c>
      <c r="B26" s="45" t="s">
        <v>90</v>
      </c>
      <c r="C26" s="45" t="s">
        <v>17</v>
      </c>
      <c r="D26" s="46">
        <v>461350611</v>
      </c>
    </row>
    <row r="27" spans="1:4">
      <c r="A27" s="43" t="s">
        <v>98</v>
      </c>
      <c r="B27" s="43" t="s">
        <v>72</v>
      </c>
      <c r="C27" s="43" t="s">
        <v>17</v>
      </c>
      <c r="D27" s="44">
        <v>425697475</v>
      </c>
    </row>
    <row r="28" spans="1:4">
      <c r="A28" s="45" t="s">
        <v>98</v>
      </c>
      <c r="B28" s="45" t="s">
        <v>91</v>
      </c>
      <c r="C28" s="45" t="s">
        <v>85</v>
      </c>
      <c r="D28" s="46">
        <v>363950000</v>
      </c>
    </row>
    <row r="29" spans="1:4">
      <c r="A29" s="43" t="s">
        <v>98</v>
      </c>
      <c r="B29" s="43" t="s">
        <v>104</v>
      </c>
      <c r="C29" s="43" t="s">
        <v>17</v>
      </c>
      <c r="D29" s="44">
        <v>254856625</v>
      </c>
    </row>
    <row r="30" spans="1:4">
      <c r="A30" s="45" t="s">
        <v>98</v>
      </c>
      <c r="B30" s="45" t="s">
        <v>83</v>
      </c>
      <c r="C30" s="45" t="s">
        <v>17</v>
      </c>
      <c r="D30" s="46">
        <v>245174125</v>
      </c>
    </row>
    <row r="31" spans="1:4">
      <c r="A31" s="43" t="s">
        <v>98</v>
      </c>
      <c r="B31" s="43" t="s">
        <v>87</v>
      </c>
      <c r="C31" s="43" t="s">
        <v>85</v>
      </c>
      <c r="D31" s="44">
        <v>189610661</v>
      </c>
    </row>
    <row r="32" spans="1:4">
      <c r="A32" s="45" t="s">
        <v>101</v>
      </c>
      <c r="B32" s="45" t="s">
        <v>105</v>
      </c>
      <c r="C32" s="45" t="s">
        <v>17</v>
      </c>
      <c r="D32" s="46">
        <v>170831557</v>
      </c>
    </row>
    <row r="33" spans="1:4">
      <c r="A33" s="43" t="s">
        <v>98</v>
      </c>
      <c r="B33" s="43" t="s">
        <v>75</v>
      </c>
      <c r="C33" s="43" t="s">
        <v>17</v>
      </c>
      <c r="D33" s="44">
        <v>150109516</v>
      </c>
    </row>
    <row r="34" spans="1:4">
      <c r="A34" s="45" t="s">
        <v>101</v>
      </c>
      <c r="B34" s="45" t="s">
        <v>106</v>
      </c>
      <c r="C34" s="45" t="s">
        <v>85</v>
      </c>
      <c r="D34" s="46">
        <v>125840252</v>
      </c>
    </row>
    <row r="35" spans="1:4">
      <c r="A35" s="43" t="s">
        <v>101</v>
      </c>
      <c r="B35" s="43" t="s">
        <v>474</v>
      </c>
      <c r="C35" s="43" t="s">
        <v>17</v>
      </c>
      <c r="D35" s="44">
        <v>125452800</v>
      </c>
    </row>
    <row r="36" spans="1:4">
      <c r="A36" s="45" t="s">
        <v>98</v>
      </c>
      <c r="B36" s="45" t="s">
        <v>78</v>
      </c>
      <c r="C36" s="45" t="s">
        <v>17</v>
      </c>
      <c r="D36" s="46">
        <v>118607594</v>
      </c>
    </row>
    <row r="37" spans="1:4">
      <c r="A37" s="43" t="s">
        <v>101</v>
      </c>
      <c r="B37" s="43" t="s">
        <v>107</v>
      </c>
      <c r="C37" s="43" t="s">
        <v>17</v>
      </c>
      <c r="D37" s="44">
        <v>112199224</v>
      </c>
    </row>
    <row r="38" spans="1:4">
      <c r="A38" s="45" t="s">
        <v>101</v>
      </c>
      <c r="B38" s="45" t="s">
        <v>108</v>
      </c>
      <c r="C38" s="45" t="s">
        <v>17</v>
      </c>
      <c r="D38" s="46">
        <v>105529550</v>
      </c>
    </row>
    <row r="39" spans="1:4">
      <c r="A39" s="43" t="s">
        <v>101</v>
      </c>
      <c r="B39" s="43" t="s">
        <v>109</v>
      </c>
      <c r="C39" s="43" t="s">
        <v>17</v>
      </c>
      <c r="D39" s="44">
        <v>84605710</v>
      </c>
    </row>
    <row r="40" spans="1:4">
      <c r="A40" s="45" t="s">
        <v>98</v>
      </c>
      <c r="B40" s="45" t="s">
        <v>86</v>
      </c>
      <c r="C40" s="45" t="s">
        <v>85</v>
      </c>
      <c r="D40" s="46">
        <v>81142420</v>
      </c>
    </row>
    <row r="41" spans="1:4">
      <c r="A41" s="43" t="s">
        <v>101</v>
      </c>
      <c r="B41" s="43" t="s">
        <v>110</v>
      </c>
      <c r="C41" s="43" t="s">
        <v>17</v>
      </c>
      <c r="D41" s="44">
        <v>74027375</v>
      </c>
    </row>
    <row r="42" spans="1:4">
      <c r="A42" s="45" t="s">
        <v>101</v>
      </c>
      <c r="B42" s="45" t="s">
        <v>111</v>
      </c>
      <c r="C42" s="45" t="s">
        <v>17</v>
      </c>
      <c r="D42" s="46">
        <v>72622839</v>
      </c>
    </row>
    <row r="43" spans="1:4">
      <c r="A43" s="43" t="s">
        <v>101</v>
      </c>
      <c r="B43" s="43" t="s">
        <v>475</v>
      </c>
      <c r="C43" s="43" t="s">
        <v>17</v>
      </c>
      <c r="D43" s="44">
        <v>70575400</v>
      </c>
    </row>
    <row r="44" spans="1:4">
      <c r="A44" s="45" t="s">
        <v>101</v>
      </c>
      <c r="B44" s="45" t="s">
        <v>112</v>
      </c>
      <c r="C44" s="45" t="s">
        <v>17</v>
      </c>
      <c r="D44" s="46">
        <v>70196461</v>
      </c>
    </row>
    <row r="45" spans="1:4">
      <c r="A45" s="43" t="s">
        <v>98</v>
      </c>
      <c r="B45" s="43" t="s">
        <v>16</v>
      </c>
      <c r="C45" s="43" t="s">
        <v>17</v>
      </c>
      <c r="D45" s="44">
        <v>70053467</v>
      </c>
    </row>
    <row r="46" spans="1:4">
      <c r="A46" s="45" t="s">
        <v>101</v>
      </c>
      <c r="B46" s="45" t="s">
        <v>113</v>
      </c>
      <c r="C46" s="45" t="s">
        <v>17</v>
      </c>
      <c r="D46" s="46">
        <v>67032143</v>
      </c>
    </row>
    <row r="47" spans="1:4">
      <c r="A47" s="43" t="s">
        <v>101</v>
      </c>
      <c r="B47" s="43" t="s">
        <v>114</v>
      </c>
      <c r="C47" s="43" t="s">
        <v>17</v>
      </c>
      <c r="D47" s="44">
        <v>59113450</v>
      </c>
    </row>
    <row r="48" spans="1:4">
      <c r="A48" s="45" t="s">
        <v>101</v>
      </c>
      <c r="B48" s="45" t="s">
        <v>115</v>
      </c>
      <c r="C48" s="45" t="s">
        <v>17</v>
      </c>
      <c r="D48" s="46">
        <v>56487006</v>
      </c>
    </row>
    <row r="49" spans="1:4">
      <c r="A49" s="43" t="s">
        <v>101</v>
      </c>
      <c r="B49" s="43" t="s">
        <v>116</v>
      </c>
      <c r="C49" s="43" t="s">
        <v>17</v>
      </c>
      <c r="D49" s="44">
        <v>52500000</v>
      </c>
    </row>
    <row r="50" spans="1:4">
      <c r="A50" s="45" t="s">
        <v>101</v>
      </c>
      <c r="B50" s="45" t="s">
        <v>117</v>
      </c>
      <c r="C50" s="45" t="s">
        <v>17</v>
      </c>
      <c r="D50" s="46">
        <v>52500000</v>
      </c>
    </row>
    <row r="51" spans="1:4">
      <c r="A51" s="43" t="s">
        <v>101</v>
      </c>
      <c r="B51" s="43" t="s">
        <v>118</v>
      </c>
      <c r="C51" s="43" t="s">
        <v>17</v>
      </c>
      <c r="D51" s="44">
        <v>51403762</v>
      </c>
    </row>
    <row r="52" spans="1:4">
      <c r="A52" s="45" t="s">
        <v>101</v>
      </c>
      <c r="B52" s="45" t="s">
        <v>119</v>
      </c>
      <c r="C52" s="45" t="s">
        <v>17</v>
      </c>
      <c r="D52" s="46">
        <v>47718000</v>
      </c>
    </row>
    <row r="53" spans="1:4">
      <c r="A53" s="43" t="s">
        <v>101</v>
      </c>
      <c r="B53" s="43" t="s">
        <v>120</v>
      </c>
      <c r="C53" s="43" t="s">
        <v>17</v>
      </c>
      <c r="D53" s="44">
        <v>47550462</v>
      </c>
    </row>
    <row r="54" spans="1:4">
      <c r="A54" s="45" t="s">
        <v>101</v>
      </c>
      <c r="B54" s="45" t="s">
        <v>121</v>
      </c>
      <c r="C54" s="45" t="s">
        <v>17</v>
      </c>
      <c r="D54" s="46">
        <v>45656600</v>
      </c>
    </row>
    <row r="55" spans="1:4">
      <c r="A55" s="43" t="s">
        <v>101</v>
      </c>
      <c r="B55" s="43" t="s">
        <v>122</v>
      </c>
      <c r="C55" s="43" t="s">
        <v>17</v>
      </c>
      <c r="D55" s="44">
        <v>41402333</v>
      </c>
    </row>
    <row r="56" spans="1:4">
      <c r="A56" s="45" t="s">
        <v>101</v>
      </c>
      <c r="B56" s="45" t="s">
        <v>123</v>
      </c>
      <c r="C56" s="45" t="s">
        <v>17</v>
      </c>
      <c r="D56" s="46">
        <v>40713918</v>
      </c>
    </row>
    <row r="57" spans="1:4">
      <c r="A57" s="43" t="s">
        <v>101</v>
      </c>
      <c r="B57" s="43" t="s">
        <v>124</v>
      </c>
      <c r="C57" s="43" t="s">
        <v>17</v>
      </c>
      <c r="D57" s="44">
        <v>39500000</v>
      </c>
    </row>
    <row r="58" spans="1:4">
      <c r="A58" s="45" t="s">
        <v>101</v>
      </c>
      <c r="B58" s="45" t="s">
        <v>125</v>
      </c>
      <c r="C58" s="45" t="s">
        <v>17</v>
      </c>
      <c r="D58" s="46">
        <v>38570000</v>
      </c>
    </row>
    <row r="59" spans="1:4">
      <c r="A59" s="43" t="s">
        <v>101</v>
      </c>
      <c r="B59" s="43" t="s">
        <v>126</v>
      </c>
      <c r="C59" s="43" t="s">
        <v>17</v>
      </c>
      <c r="D59" s="44">
        <v>37500000</v>
      </c>
    </row>
    <row r="60" spans="1:4">
      <c r="A60" s="45" t="s">
        <v>101</v>
      </c>
      <c r="B60" s="45" t="s">
        <v>476</v>
      </c>
      <c r="C60" s="45" t="s">
        <v>17</v>
      </c>
      <c r="D60" s="46">
        <v>35585929</v>
      </c>
    </row>
    <row r="61" spans="1:4">
      <c r="A61" s="43" t="s">
        <v>101</v>
      </c>
      <c r="B61" s="43" t="s">
        <v>127</v>
      </c>
      <c r="C61" s="43" t="s">
        <v>17</v>
      </c>
      <c r="D61" s="44">
        <v>35108049</v>
      </c>
    </row>
    <row r="62" spans="1:4">
      <c r="A62" s="45" t="s">
        <v>101</v>
      </c>
      <c r="B62" s="45" t="s">
        <v>128</v>
      </c>
      <c r="C62" s="45" t="s">
        <v>17</v>
      </c>
      <c r="D62" s="46">
        <v>34568373</v>
      </c>
    </row>
    <row r="63" spans="1:4">
      <c r="A63" s="43" t="s">
        <v>101</v>
      </c>
      <c r="B63" s="43" t="s">
        <v>129</v>
      </c>
      <c r="C63" s="43" t="s">
        <v>17</v>
      </c>
      <c r="D63" s="44">
        <v>33874908</v>
      </c>
    </row>
    <row r="64" spans="1:4">
      <c r="A64" s="45" t="s">
        <v>101</v>
      </c>
      <c r="B64" s="45" t="s">
        <v>130</v>
      </c>
      <c r="C64" s="45" t="s">
        <v>17</v>
      </c>
      <c r="D64" s="46">
        <v>30669315</v>
      </c>
    </row>
    <row r="65" spans="1:4">
      <c r="A65" s="43" t="s">
        <v>101</v>
      </c>
      <c r="B65" s="43" t="s">
        <v>131</v>
      </c>
      <c r="C65" s="43" t="s">
        <v>17</v>
      </c>
      <c r="D65" s="44">
        <v>29772500</v>
      </c>
    </row>
    <row r="66" spans="1:4">
      <c r="A66" s="45" t="s">
        <v>101</v>
      </c>
      <c r="B66" s="45" t="s">
        <v>132</v>
      </c>
      <c r="C66" s="45" t="s">
        <v>17</v>
      </c>
      <c r="D66" s="46">
        <v>28604600</v>
      </c>
    </row>
    <row r="67" spans="1:4">
      <c r="A67" s="43" t="s">
        <v>101</v>
      </c>
      <c r="B67" s="43" t="s">
        <v>133</v>
      </c>
      <c r="C67" s="43" t="s">
        <v>17</v>
      </c>
      <c r="D67" s="44">
        <v>28144000</v>
      </c>
    </row>
    <row r="68" spans="1:4">
      <c r="A68" s="45" t="s">
        <v>101</v>
      </c>
      <c r="B68" s="45" t="s">
        <v>134</v>
      </c>
      <c r="C68" s="45" t="s">
        <v>17</v>
      </c>
      <c r="D68" s="46">
        <v>27500000</v>
      </c>
    </row>
    <row r="69" spans="1:4">
      <c r="A69" s="43" t="s">
        <v>101</v>
      </c>
      <c r="B69" s="43" t="s">
        <v>135</v>
      </c>
      <c r="C69" s="43" t="s">
        <v>17</v>
      </c>
      <c r="D69" s="44">
        <v>27450000</v>
      </c>
    </row>
    <row r="70" spans="1:4">
      <c r="A70" s="45" t="s">
        <v>101</v>
      </c>
      <c r="B70" s="45" t="s">
        <v>136</v>
      </c>
      <c r="C70" s="45" t="s">
        <v>17</v>
      </c>
      <c r="D70" s="46">
        <v>27450000</v>
      </c>
    </row>
    <row r="71" spans="1:4">
      <c r="A71" s="43" t="s">
        <v>101</v>
      </c>
      <c r="B71" s="43" t="s">
        <v>137</v>
      </c>
      <c r="C71" s="43" t="s">
        <v>17</v>
      </c>
      <c r="D71" s="44">
        <v>27439500</v>
      </c>
    </row>
    <row r="72" spans="1:4">
      <c r="A72" s="45" t="s">
        <v>101</v>
      </c>
      <c r="B72" s="45" t="s">
        <v>477</v>
      </c>
      <c r="C72" s="45" t="s">
        <v>17</v>
      </c>
      <c r="D72" s="46">
        <v>26320148</v>
      </c>
    </row>
    <row r="73" spans="1:4">
      <c r="A73" s="43" t="s">
        <v>101</v>
      </c>
      <c r="B73" s="43" t="s">
        <v>138</v>
      </c>
      <c r="C73" s="43" t="s">
        <v>17</v>
      </c>
      <c r="D73" s="44">
        <v>26060484</v>
      </c>
    </row>
    <row r="74" spans="1:4">
      <c r="A74" s="45" t="s">
        <v>101</v>
      </c>
      <c r="B74" s="45" t="s">
        <v>139</v>
      </c>
      <c r="C74" s="45" t="s">
        <v>17</v>
      </c>
      <c r="D74" s="46">
        <v>25000000</v>
      </c>
    </row>
    <row r="75" spans="1:4">
      <c r="A75" s="43" t="s">
        <v>101</v>
      </c>
      <c r="B75" s="43" t="s">
        <v>140</v>
      </c>
      <c r="C75" s="43" t="s">
        <v>17</v>
      </c>
      <c r="D75" s="44">
        <v>24512500</v>
      </c>
    </row>
    <row r="76" spans="1:4">
      <c r="A76" s="45" t="s">
        <v>101</v>
      </c>
      <c r="B76" s="45" t="s">
        <v>141</v>
      </c>
      <c r="C76" s="45" t="s">
        <v>17</v>
      </c>
      <c r="D76" s="46">
        <v>24095500</v>
      </c>
    </row>
    <row r="77" spans="1:4">
      <c r="A77" s="43" t="s">
        <v>101</v>
      </c>
      <c r="B77" s="43" t="s">
        <v>142</v>
      </c>
      <c r="C77" s="43" t="s">
        <v>17</v>
      </c>
      <c r="D77" s="44">
        <v>23833500</v>
      </c>
    </row>
    <row r="78" spans="1:4">
      <c r="A78" s="45" t="s">
        <v>101</v>
      </c>
      <c r="B78" s="45" t="s">
        <v>478</v>
      </c>
      <c r="C78" s="45" t="s">
        <v>17</v>
      </c>
      <c r="D78" s="46">
        <v>23543163</v>
      </c>
    </row>
    <row r="79" spans="1:4">
      <c r="A79" s="43" t="s">
        <v>101</v>
      </c>
      <c r="B79" s="43" t="s">
        <v>143</v>
      </c>
      <c r="C79" s="43" t="s">
        <v>17</v>
      </c>
      <c r="D79" s="44">
        <v>23015175</v>
      </c>
    </row>
    <row r="80" spans="1:4">
      <c r="A80" s="45" t="s">
        <v>101</v>
      </c>
      <c r="B80" s="45" t="s">
        <v>144</v>
      </c>
      <c r="C80" s="45" t="s">
        <v>17</v>
      </c>
      <c r="D80" s="46">
        <v>22925000</v>
      </c>
    </row>
    <row r="81" spans="1:4">
      <c r="A81" s="43" t="s">
        <v>101</v>
      </c>
      <c r="B81" s="43" t="s">
        <v>145</v>
      </c>
      <c r="C81" s="43" t="s">
        <v>17</v>
      </c>
      <c r="D81" s="44">
        <v>20828000</v>
      </c>
    </row>
    <row r="82" spans="1:4">
      <c r="A82" s="45" t="s">
        <v>101</v>
      </c>
      <c r="B82" s="45" t="s">
        <v>146</v>
      </c>
      <c r="C82" s="45" t="s">
        <v>17</v>
      </c>
      <c r="D82" s="46">
        <v>20290000</v>
      </c>
    </row>
    <row r="83" spans="1:4">
      <c r="A83" s="43" t="s">
        <v>101</v>
      </c>
      <c r="B83" s="43" t="s">
        <v>147</v>
      </c>
      <c r="C83" s="43" t="s">
        <v>17</v>
      </c>
      <c r="D83" s="44">
        <v>19765000</v>
      </c>
    </row>
    <row r="84" spans="1:4">
      <c r="A84" s="45" t="s">
        <v>101</v>
      </c>
      <c r="B84" s="45" t="s">
        <v>148</v>
      </c>
      <c r="C84" s="45" t="s">
        <v>17</v>
      </c>
      <c r="D84" s="46">
        <v>19283815</v>
      </c>
    </row>
    <row r="85" spans="1:4">
      <c r="A85" s="43" t="s">
        <v>101</v>
      </c>
      <c r="B85" s="43" t="s">
        <v>149</v>
      </c>
      <c r="C85" s="43" t="s">
        <v>17</v>
      </c>
      <c r="D85" s="44">
        <v>19049845</v>
      </c>
    </row>
    <row r="86" spans="1:4">
      <c r="A86" s="45" t="s">
        <v>101</v>
      </c>
      <c r="B86" s="45" t="s">
        <v>150</v>
      </c>
      <c r="C86" s="45" t="s">
        <v>17</v>
      </c>
      <c r="D86" s="46">
        <v>17603617</v>
      </c>
    </row>
    <row r="87" spans="1:4">
      <c r="A87" s="43" t="s">
        <v>101</v>
      </c>
      <c r="B87" s="43" t="s">
        <v>151</v>
      </c>
      <c r="C87" s="43" t="s">
        <v>17</v>
      </c>
      <c r="D87" s="44">
        <v>17399880</v>
      </c>
    </row>
    <row r="88" spans="1:4">
      <c r="A88" s="45" t="s">
        <v>101</v>
      </c>
      <c r="B88" s="45" t="s">
        <v>152</v>
      </c>
      <c r="C88" s="45" t="s">
        <v>17</v>
      </c>
      <c r="D88" s="46">
        <v>17041712</v>
      </c>
    </row>
    <row r="89" spans="1:4">
      <c r="A89" s="43" t="s">
        <v>101</v>
      </c>
      <c r="B89" s="43" t="s">
        <v>153</v>
      </c>
      <c r="C89" s="43" t="s">
        <v>17</v>
      </c>
      <c r="D89" s="44">
        <v>16640000</v>
      </c>
    </row>
    <row r="90" spans="1:4">
      <c r="A90" s="45" t="s">
        <v>101</v>
      </c>
      <c r="B90" s="45" t="s">
        <v>154</v>
      </c>
      <c r="C90" s="45" t="s">
        <v>17</v>
      </c>
      <c r="D90" s="46">
        <v>15650000</v>
      </c>
    </row>
    <row r="91" spans="1:4">
      <c r="A91" s="43" t="s">
        <v>101</v>
      </c>
      <c r="B91" s="43" t="s">
        <v>155</v>
      </c>
      <c r="C91" s="43" t="s">
        <v>17</v>
      </c>
      <c r="D91" s="44">
        <v>15456480</v>
      </c>
    </row>
    <row r="92" spans="1:4">
      <c r="A92" s="45" t="s">
        <v>101</v>
      </c>
      <c r="B92" s="45" t="s">
        <v>156</v>
      </c>
      <c r="C92" s="45" t="s">
        <v>17</v>
      </c>
      <c r="D92" s="46">
        <v>15042407</v>
      </c>
    </row>
    <row r="93" spans="1:4">
      <c r="A93" s="43" t="s">
        <v>101</v>
      </c>
      <c r="B93" s="43" t="s">
        <v>157</v>
      </c>
      <c r="C93" s="43" t="s">
        <v>17</v>
      </c>
      <c r="D93" s="44">
        <v>14756523</v>
      </c>
    </row>
    <row r="94" spans="1:4">
      <c r="A94" s="45" t="s">
        <v>101</v>
      </c>
      <c r="B94" s="45" t="s">
        <v>158</v>
      </c>
      <c r="C94" s="45" t="s">
        <v>17</v>
      </c>
      <c r="D94" s="46">
        <v>13934658</v>
      </c>
    </row>
    <row r="95" spans="1:4">
      <c r="A95" s="43" t="s">
        <v>101</v>
      </c>
      <c r="B95" s="43" t="s">
        <v>159</v>
      </c>
      <c r="C95" s="43" t="s">
        <v>17</v>
      </c>
      <c r="D95" s="44">
        <v>13820210</v>
      </c>
    </row>
    <row r="96" spans="1:4">
      <c r="A96" s="45" t="s">
        <v>101</v>
      </c>
      <c r="B96" s="45" t="s">
        <v>160</v>
      </c>
      <c r="C96" s="45" t="s">
        <v>17</v>
      </c>
      <c r="D96" s="46">
        <v>13495012</v>
      </c>
    </row>
    <row r="97" spans="1:4">
      <c r="A97" s="43" t="s">
        <v>101</v>
      </c>
      <c r="B97" s="43" t="s">
        <v>161</v>
      </c>
      <c r="C97" s="43" t="s">
        <v>17</v>
      </c>
      <c r="D97" s="44">
        <v>13390078</v>
      </c>
    </row>
    <row r="98" spans="1:4">
      <c r="A98" s="45" t="s">
        <v>101</v>
      </c>
      <c r="B98" s="45" t="s">
        <v>162</v>
      </c>
      <c r="C98" s="45" t="s">
        <v>17</v>
      </c>
      <c r="D98" s="46">
        <v>13050432</v>
      </c>
    </row>
    <row r="99" spans="1:4">
      <c r="A99" s="43" t="s">
        <v>101</v>
      </c>
      <c r="B99" s="43" t="s">
        <v>163</v>
      </c>
      <c r="C99" s="43" t="s">
        <v>17</v>
      </c>
      <c r="D99" s="44">
        <v>12981380</v>
      </c>
    </row>
    <row r="100" spans="1:4">
      <c r="A100" s="45" t="s">
        <v>101</v>
      </c>
      <c r="B100" s="45" t="s">
        <v>164</v>
      </c>
      <c r="C100" s="45" t="s">
        <v>17</v>
      </c>
      <c r="D100" s="46">
        <v>12820000</v>
      </c>
    </row>
    <row r="101" spans="1:4">
      <c r="A101" s="43" t="s">
        <v>101</v>
      </c>
      <c r="B101" s="43" t="s">
        <v>165</v>
      </c>
      <c r="C101" s="43" t="s">
        <v>17</v>
      </c>
      <c r="D101" s="44">
        <v>12295139</v>
      </c>
    </row>
    <row r="102" spans="1:4">
      <c r="A102" s="45" t="s">
        <v>101</v>
      </c>
      <c r="B102" s="45" t="s">
        <v>166</v>
      </c>
      <c r="C102" s="45" t="s">
        <v>17</v>
      </c>
      <c r="D102" s="46">
        <v>12290000</v>
      </c>
    </row>
    <row r="103" spans="1:4">
      <c r="A103" s="43" t="s">
        <v>101</v>
      </c>
      <c r="B103" s="43" t="s">
        <v>479</v>
      </c>
      <c r="C103" s="43" t="s">
        <v>17</v>
      </c>
      <c r="D103" s="44">
        <v>12286667</v>
      </c>
    </row>
    <row r="104" spans="1:4">
      <c r="A104" s="45" t="s">
        <v>101</v>
      </c>
      <c r="B104" s="45" t="s">
        <v>167</v>
      </c>
      <c r="C104" s="45" t="s">
        <v>17</v>
      </c>
      <c r="D104" s="46">
        <v>12079167</v>
      </c>
    </row>
    <row r="105" spans="1:4">
      <c r="A105" s="43" t="s">
        <v>101</v>
      </c>
      <c r="B105" s="43" t="s">
        <v>168</v>
      </c>
      <c r="C105" s="43" t="s">
        <v>17</v>
      </c>
      <c r="D105" s="44">
        <v>12076235</v>
      </c>
    </row>
    <row r="106" spans="1:4">
      <c r="A106" s="45" t="s">
        <v>101</v>
      </c>
      <c r="B106" s="45" t="s">
        <v>169</v>
      </c>
      <c r="C106" s="45" t="s">
        <v>17</v>
      </c>
      <c r="D106" s="46">
        <v>11922000</v>
      </c>
    </row>
    <row r="107" spans="1:4">
      <c r="A107" s="43" t="s">
        <v>101</v>
      </c>
      <c r="B107" s="43" t="s">
        <v>170</v>
      </c>
      <c r="C107" s="43" t="s">
        <v>17</v>
      </c>
      <c r="D107" s="44">
        <v>11566012</v>
      </c>
    </row>
    <row r="108" spans="1:4">
      <c r="A108" s="45" t="s">
        <v>101</v>
      </c>
      <c r="B108" s="45" t="s">
        <v>171</v>
      </c>
      <c r="C108" s="45" t="s">
        <v>17</v>
      </c>
      <c r="D108" s="46">
        <v>11250000</v>
      </c>
    </row>
    <row r="109" spans="1:4">
      <c r="A109" s="43" t="s">
        <v>101</v>
      </c>
      <c r="B109" s="43" t="s">
        <v>172</v>
      </c>
      <c r="C109" s="43" t="s">
        <v>17</v>
      </c>
      <c r="D109" s="44">
        <v>11063900</v>
      </c>
    </row>
    <row r="110" spans="1:4">
      <c r="A110" s="45" t="s">
        <v>101</v>
      </c>
      <c r="B110" s="45" t="s">
        <v>173</v>
      </c>
      <c r="C110" s="45" t="s">
        <v>17</v>
      </c>
      <c r="D110" s="46">
        <v>11000000</v>
      </c>
    </row>
    <row r="111" spans="1:4">
      <c r="A111" s="43" t="s">
        <v>101</v>
      </c>
      <c r="B111" s="43" t="s">
        <v>174</v>
      </c>
      <c r="C111" s="43" t="s">
        <v>17</v>
      </c>
      <c r="D111" s="44">
        <v>10713235</v>
      </c>
    </row>
    <row r="112" spans="1:4">
      <c r="A112" s="45" t="s">
        <v>101</v>
      </c>
      <c r="B112" s="45" t="s">
        <v>175</v>
      </c>
      <c r="C112" s="45" t="s">
        <v>17</v>
      </c>
      <c r="D112" s="46">
        <v>10679040</v>
      </c>
    </row>
    <row r="113" spans="1:4">
      <c r="A113" s="43" t="s">
        <v>101</v>
      </c>
      <c r="B113" s="43" t="s">
        <v>176</v>
      </c>
      <c r="C113" s="43" t="s">
        <v>17</v>
      </c>
      <c r="D113" s="44">
        <v>10440000</v>
      </c>
    </row>
    <row r="114" spans="1:4">
      <c r="A114" s="45" t="s">
        <v>101</v>
      </c>
      <c r="B114" s="45" t="s">
        <v>177</v>
      </c>
      <c r="C114" s="45" t="s">
        <v>17</v>
      </c>
      <c r="D114" s="46">
        <v>10322000</v>
      </c>
    </row>
    <row r="115" spans="1:4">
      <c r="A115" s="43" t="s">
        <v>101</v>
      </c>
      <c r="B115" s="43" t="s">
        <v>178</v>
      </c>
      <c r="C115" s="43" t="s">
        <v>17</v>
      </c>
      <c r="D115" s="44">
        <v>10228300</v>
      </c>
    </row>
    <row r="116" spans="1:4">
      <c r="A116" s="45" t="s">
        <v>101</v>
      </c>
      <c r="B116" s="45" t="s">
        <v>179</v>
      </c>
      <c r="C116" s="45" t="s">
        <v>17</v>
      </c>
      <c r="D116" s="46">
        <v>10061500</v>
      </c>
    </row>
    <row r="117" spans="1:4">
      <c r="A117" s="43" t="s">
        <v>101</v>
      </c>
      <c r="B117" s="43" t="s">
        <v>180</v>
      </c>
      <c r="C117" s="43" t="s">
        <v>17</v>
      </c>
      <c r="D117" s="44">
        <v>9925000</v>
      </c>
    </row>
    <row r="118" spans="1:4">
      <c r="A118" s="45" t="s">
        <v>101</v>
      </c>
      <c r="B118" s="45" t="s">
        <v>181</v>
      </c>
      <c r="C118" s="45" t="s">
        <v>17</v>
      </c>
      <c r="D118" s="46">
        <v>9838160</v>
      </c>
    </row>
    <row r="119" spans="1:4">
      <c r="A119" s="43" t="s">
        <v>101</v>
      </c>
      <c r="B119" s="43" t="s">
        <v>182</v>
      </c>
      <c r="C119" s="43" t="s">
        <v>17</v>
      </c>
      <c r="D119" s="44">
        <v>9777500</v>
      </c>
    </row>
    <row r="120" spans="1:4">
      <c r="A120" s="45" t="s">
        <v>101</v>
      </c>
      <c r="B120" s="45" t="s">
        <v>183</v>
      </c>
      <c r="C120" s="45" t="s">
        <v>17</v>
      </c>
      <c r="D120" s="46">
        <v>9400000</v>
      </c>
    </row>
    <row r="121" spans="1:4">
      <c r="A121" s="43" t="s">
        <v>101</v>
      </c>
      <c r="B121" s="43" t="s">
        <v>184</v>
      </c>
      <c r="C121" s="43" t="s">
        <v>17</v>
      </c>
      <c r="D121" s="44">
        <v>9390000</v>
      </c>
    </row>
    <row r="122" spans="1:4">
      <c r="A122" s="45" t="s">
        <v>101</v>
      </c>
      <c r="B122" s="45" t="s">
        <v>185</v>
      </c>
      <c r="C122" s="45" t="s">
        <v>17</v>
      </c>
      <c r="D122" s="46">
        <v>9387840</v>
      </c>
    </row>
    <row r="123" spans="1:4">
      <c r="A123" s="43" t="s">
        <v>101</v>
      </c>
      <c r="B123" s="43" t="s">
        <v>186</v>
      </c>
      <c r="C123" s="43" t="s">
        <v>17</v>
      </c>
      <c r="D123" s="44">
        <v>9260000</v>
      </c>
    </row>
    <row r="124" spans="1:4">
      <c r="A124" s="45" t="s">
        <v>101</v>
      </c>
      <c r="B124" s="45" t="s">
        <v>480</v>
      </c>
      <c r="C124" s="45" t="s">
        <v>17</v>
      </c>
      <c r="D124" s="46">
        <v>9122890</v>
      </c>
    </row>
    <row r="125" spans="1:4">
      <c r="A125" s="43" t="s">
        <v>101</v>
      </c>
      <c r="B125" s="43" t="s">
        <v>187</v>
      </c>
      <c r="C125" s="43" t="s">
        <v>17</v>
      </c>
      <c r="D125" s="44">
        <v>9118900</v>
      </c>
    </row>
    <row r="126" spans="1:4">
      <c r="A126" s="45" t="s">
        <v>101</v>
      </c>
      <c r="B126" s="45" t="s">
        <v>481</v>
      </c>
      <c r="C126" s="45" t="s">
        <v>17</v>
      </c>
      <c r="D126" s="46">
        <v>9067620</v>
      </c>
    </row>
    <row r="127" spans="1:4">
      <c r="A127" s="43" t="s">
        <v>101</v>
      </c>
      <c r="B127" s="43" t="s">
        <v>188</v>
      </c>
      <c r="C127" s="43" t="s">
        <v>17</v>
      </c>
      <c r="D127" s="44">
        <v>8636175</v>
      </c>
    </row>
    <row r="128" spans="1:4">
      <c r="A128" s="45" t="s">
        <v>101</v>
      </c>
      <c r="B128" s="45" t="s">
        <v>189</v>
      </c>
      <c r="C128" s="45" t="s">
        <v>17</v>
      </c>
      <c r="D128" s="46">
        <v>8410000</v>
      </c>
    </row>
    <row r="129" spans="1:4">
      <c r="A129" s="43" t="s">
        <v>101</v>
      </c>
      <c r="B129" s="43" t="s">
        <v>190</v>
      </c>
      <c r="C129" s="43" t="s">
        <v>17</v>
      </c>
      <c r="D129" s="44">
        <v>8347901</v>
      </c>
    </row>
    <row r="130" spans="1:4">
      <c r="A130" s="45" t="s">
        <v>101</v>
      </c>
      <c r="B130" s="45" t="s">
        <v>191</v>
      </c>
      <c r="C130" s="45" t="s">
        <v>17</v>
      </c>
      <c r="D130" s="46">
        <v>8178500</v>
      </c>
    </row>
    <row r="131" spans="1:4">
      <c r="A131" s="43" t="s">
        <v>101</v>
      </c>
      <c r="B131" s="43" t="s">
        <v>192</v>
      </c>
      <c r="C131" s="43" t="s">
        <v>17</v>
      </c>
      <c r="D131" s="44">
        <v>8167500</v>
      </c>
    </row>
    <row r="132" spans="1:4">
      <c r="A132" s="45" t="s">
        <v>101</v>
      </c>
      <c r="B132" s="45" t="s">
        <v>193</v>
      </c>
      <c r="C132" s="45" t="s">
        <v>17</v>
      </c>
      <c r="D132" s="46">
        <v>8108500</v>
      </c>
    </row>
    <row r="133" spans="1:4">
      <c r="A133" s="43" t="s">
        <v>101</v>
      </c>
      <c r="B133" s="43" t="s">
        <v>194</v>
      </c>
      <c r="C133" s="43" t="s">
        <v>17</v>
      </c>
      <c r="D133" s="44">
        <v>8002900</v>
      </c>
    </row>
    <row r="134" spans="1:4">
      <c r="A134" s="45" t="s">
        <v>101</v>
      </c>
      <c r="B134" s="45" t="s">
        <v>195</v>
      </c>
      <c r="C134" s="45" t="s">
        <v>17</v>
      </c>
      <c r="D134" s="46">
        <v>7999425</v>
      </c>
    </row>
    <row r="135" spans="1:4">
      <c r="A135" s="43" t="s">
        <v>101</v>
      </c>
      <c r="B135" s="43" t="s">
        <v>196</v>
      </c>
      <c r="C135" s="43" t="s">
        <v>17</v>
      </c>
      <c r="D135" s="44">
        <v>7983920</v>
      </c>
    </row>
    <row r="136" spans="1:4">
      <c r="A136" s="45" t="s">
        <v>101</v>
      </c>
      <c r="B136" s="45" t="s">
        <v>197</v>
      </c>
      <c r="C136" s="45" t="s">
        <v>17</v>
      </c>
      <c r="D136" s="46">
        <v>7754745</v>
      </c>
    </row>
    <row r="137" spans="1:4">
      <c r="A137" s="43" t="s">
        <v>101</v>
      </c>
      <c r="B137" s="43" t="s">
        <v>198</v>
      </c>
      <c r="C137" s="43" t="s">
        <v>17</v>
      </c>
      <c r="D137" s="44">
        <v>7386100</v>
      </c>
    </row>
    <row r="138" spans="1:4">
      <c r="A138" s="45" t="s">
        <v>101</v>
      </c>
      <c r="B138" s="45" t="s">
        <v>482</v>
      </c>
      <c r="C138" s="45" t="s">
        <v>17</v>
      </c>
      <c r="D138" s="46">
        <v>7137408</v>
      </c>
    </row>
    <row r="139" spans="1:4">
      <c r="A139" s="43" t="s">
        <v>101</v>
      </c>
      <c r="B139" s="43" t="s">
        <v>199</v>
      </c>
      <c r="C139" s="43" t="s">
        <v>17</v>
      </c>
      <c r="D139" s="44">
        <v>7127100</v>
      </c>
    </row>
    <row r="140" spans="1:4">
      <c r="A140" s="45" t="s">
        <v>101</v>
      </c>
      <c r="B140" s="45" t="s">
        <v>200</v>
      </c>
      <c r="C140" s="45" t="s">
        <v>17</v>
      </c>
      <c r="D140" s="46">
        <v>7038100</v>
      </c>
    </row>
    <row r="141" spans="1:4">
      <c r="A141" s="43" t="s">
        <v>101</v>
      </c>
      <c r="B141" s="43" t="s">
        <v>201</v>
      </c>
      <c r="C141" s="43" t="s">
        <v>17</v>
      </c>
      <c r="D141" s="44">
        <v>7027000</v>
      </c>
    </row>
    <row r="142" spans="1:4">
      <c r="A142" s="45" t="s">
        <v>101</v>
      </c>
      <c r="B142" s="45" t="s">
        <v>202</v>
      </c>
      <c r="C142" s="45" t="s">
        <v>17</v>
      </c>
      <c r="D142" s="46">
        <v>6937056</v>
      </c>
    </row>
    <row r="143" spans="1:4">
      <c r="A143" s="43" t="s">
        <v>101</v>
      </c>
      <c r="B143" s="43" t="s">
        <v>203</v>
      </c>
      <c r="C143" s="43" t="s">
        <v>17</v>
      </c>
      <c r="D143" s="44">
        <v>6930000</v>
      </c>
    </row>
    <row r="144" spans="1:4">
      <c r="A144" s="45" t="s">
        <v>101</v>
      </c>
      <c r="B144" s="45" t="s">
        <v>204</v>
      </c>
      <c r="C144" s="45" t="s">
        <v>17</v>
      </c>
      <c r="D144" s="46">
        <v>6916900</v>
      </c>
    </row>
    <row r="145" spans="1:4">
      <c r="A145" s="43" t="s">
        <v>101</v>
      </c>
      <c r="B145" s="43" t="s">
        <v>205</v>
      </c>
      <c r="C145" s="43" t="s">
        <v>17</v>
      </c>
      <c r="D145" s="44">
        <v>6901000</v>
      </c>
    </row>
    <row r="146" spans="1:4">
      <c r="A146" s="45" t="s">
        <v>101</v>
      </c>
      <c r="B146" s="45" t="s">
        <v>206</v>
      </c>
      <c r="C146" s="45" t="s">
        <v>17</v>
      </c>
      <c r="D146" s="46">
        <v>6856000</v>
      </c>
    </row>
    <row r="147" spans="1:4">
      <c r="A147" s="43" t="s">
        <v>101</v>
      </c>
      <c r="B147" s="43" t="s">
        <v>207</v>
      </c>
      <c r="C147" s="43" t="s">
        <v>17</v>
      </c>
      <c r="D147" s="44">
        <v>6835040</v>
      </c>
    </row>
    <row r="148" spans="1:4">
      <c r="A148" s="45" t="s">
        <v>101</v>
      </c>
      <c r="B148" s="45" t="s">
        <v>208</v>
      </c>
      <c r="C148" s="45" t="s">
        <v>17</v>
      </c>
      <c r="D148" s="46">
        <v>6641500</v>
      </c>
    </row>
    <row r="149" spans="1:4">
      <c r="A149" s="43" t="s">
        <v>101</v>
      </c>
      <c r="B149" s="43" t="s">
        <v>209</v>
      </c>
      <c r="C149" s="43" t="s">
        <v>17</v>
      </c>
      <c r="D149" s="44">
        <v>6500000</v>
      </c>
    </row>
    <row r="150" spans="1:4">
      <c r="A150" s="45" t="s">
        <v>101</v>
      </c>
      <c r="B150" s="45" t="s">
        <v>483</v>
      </c>
      <c r="C150" s="45" t="s">
        <v>17</v>
      </c>
      <c r="D150" s="46">
        <v>6487013</v>
      </c>
    </row>
    <row r="151" spans="1:4">
      <c r="A151" s="43" t="s">
        <v>101</v>
      </c>
      <c r="B151" s="43" t="s">
        <v>210</v>
      </c>
      <c r="C151" s="43" t="s">
        <v>17</v>
      </c>
      <c r="D151" s="44">
        <v>6443850</v>
      </c>
    </row>
    <row r="152" spans="1:4">
      <c r="A152" s="45" t="s">
        <v>101</v>
      </c>
      <c r="B152" s="45" t="s">
        <v>211</v>
      </c>
      <c r="C152" s="45" t="s">
        <v>17</v>
      </c>
      <c r="D152" s="46">
        <v>6400000</v>
      </c>
    </row>
    <row r="153" spans="1:4">
      <c r="A153" s="43" t="s">
        <v>101</v>
      </c>
      <c r="B153" s="43" t="s">
        <v>212</v>
      </c>
      <c r="C153" s="43" t="s">
        <v>17</v>
      </c>
      <c r="D153" s="44">
        <v>6153875</v>
      </c>
    </row>
    <row r="154" spans="1:4">
      <c r="A154" s="45" t="s">
        <v>101</v>
      </c>
      <c r="B154" s="45" t="s">
        <v>484</v>
      </c>
      <c r="C154" s="45" t="s">
        <v>17</v>
      </c>
      <c r="D154" s="46">
        <v>6103050</v>
      </c>
    </row>
    <row r="155" spans="1:4">
      <c r="A155" s="43" t="s">
        <v>101</v>
      </c>
      <c r="B155" s="43" t="s">
        <v>213</v>
      </c>
      <c r="C155" s="43" t="s">
        <v>17</v>
      </c>
      <c r="D155" s="44">
        <v>6022360</v>
      </c>
    </row>
    <row r="156" spans="1:4">
      <c r="A156" s="45" t="s">
        <v>101</v>
      </c>
      <c r="B156" s="45" t="s">
        <v>214</v>
      </c>
      <c r="C156" s="45" t="s">
        <v>17</v>
      </c>
      <c r="D156" s="46">
        <v>6017000</v>
      </c>
    </row>
    <row r="157" spans="1:4">
      <c r="A157" s="43" t="s">
        <v>101</v>
      </c>
      <c r="B157" s="43" t="s">
        <v>215</v>
      </c>
      <c r="C157" s="43" t="s">
        <v>17</v>
      </c>
      <c r="D157" s="44">
        <v>6000000</v>
      </c>
    </row>
    <row r="158" spans="1:4">
      <c r="A158" s="45" t="s">
        <v>101</v>
      </c>
      <c r="B158" s="45" t="s">
        <v>216</v>
      </c>
      <c r="C158" s="45" t="s">
        <v>17</v>
      </c>
      <c r="D158" s="46">
        <v>5890000</v>
      </c>
    </row>
    <row r="159" spans="1:4">
      <c r="A159" s="43" t="s">
        <v>101</v>
      </c>
      <c r="B159" s="43" t="s">
        <v>217</v>
      </c>
      <c r="C159" s="43" t="s">
        <v>17</v>
      </c>
      <c r="D159" s="44">
        <v>5834750</v>
      </c>
    </row>
    <row r="160" spans="1:4">
      <c r="A160" s="45" t="s">
        <v>101</v>
      </c>
      <c r="B160" s="45" t="s">
        <v>218</v>
      </c>
      <c r="C160" s="45" t="s">
        <v>17</v>
      </c>
      <c r="D160" s="46">
        <v>5678500</v>
      </c>
    </row>
    <row r="161" spans="1:4">
      <c r="A161" s="43" t="s">
        <v>101</v>
      </c>
      <c r="B161" s="43" t="s">
        <v>219</v>
      </c>
      <c r="C161" s="43" t="s">
        <v>17</v>
      </c>
      <c r="D161" s="44">
        <v>5606000</v>
      </c>
    </row>
    <row r="162" spans="1:4">
      <c r="A162" s="45" t="s">
        <v>101</v>
      </c>
      <c r="B162" s="45" t="s">
        <v>220</v>
      </c>
      <c r="C162" s="45" t="s">
        <v>17</v>
      </c>
      <c r="D162" s="46">
        <v>5581648</v>
      </c>
    </row>
    <row r="163" spans="1:4">
      <c r="A163" s="43" t="s">
        <v>98</v>
      </c>
      <c r="B163" s="43" t="s">
        <v>463</v>
      </c>
      <c r="C163" s="43" t="s">
        <v>17</v>
      </c>
      <c r="D163" s="44">
        <v>5526378</v>
      </c>
    </row>
    <row r="164" spans="1:4">
      <c r="A164" s="45" t="s">
        <v>101</v>
      </c>
      <c r="B164" s="45" t="s">
        <v>221</v>
      </c>
      <c r="C164" s="45" t="s">
        <v>17</v>
      </c>
      <c r="D164" s="46">
        <v>5416000</v>
      </c>
    </row>
    <row r="165" spans="1:4">
      <c r="A165" s="43" t="s">
        <v>101</v>
      </c>
      <c r="B165" s="43" t="s">
        <v>485</v>
      </c>
      <c r="C165" s="43" t="s">
        <v>17</v>
      </c>
      <c r="D165" s="44">
        <v>5383645</v>
      </c>
    </row>
    <row r="166" spans="1:4">
      <c r="A166" s="45" t="s">
        <v>101</v>
      </c>
      <c r="B166" s="45" t="s">
        <v>222</v>
      </c>
      <c r="C166" s="45" t="s">
        <v>17</v>
      </c>
      <c r="D166" s="46">
        <v>5355000</v>
      </c>
    </row>
    <row r="167" spans="1:4">
      <c r="A167" s="43" t="s">
        <v>101</v>
      </c>
      <c r="B167" s="43" t="s">
        <v>223</v>
      </c>
      <c r="C167" s="43" t="s">
        <v>17</v>
      </c>
      <c r="D167" s="44">
        <v>5295000</v>
      </c>
    </row>
    <row r="168" spans="1:4">
      <c r="A168" s="45" t="s">
        <v>101</v>
      </c>
      <c r="B168" s="45" t="s">
        <v>224</v>
      </c>
      <c r="C168" s="45" t="s">
        <v>17</v>
      </c>
      <c r="D168" s="46">
        <v>5235000</v>
      </c>
    </row>
    <row r="169" spans="1:4">
      <c r="A169" s="43" t="s">
        <v>101</v>
      </c>
      <c r="B169" s="43" t="s">
        <v>225</v>
      </c>
      <c r="C169" s="43" t="s">
        <v>17</v>
      </c>
      <c r="D169" s="44">
        <v>5230000</v>
      </c>
    </row>
    <row r="170" spans="1:4">
      <c r="A170" s="45" t="s">
        <v>101</v>
      </c>
      <c r="B170" s="45" t="s">
        <v>226</v>
      </c>
      <c r="C170" s="45" t="s">
        <v>17</v>
      </c>
      <c r="D170" s="46">
        <v>5180000</v>
      </c>
    </row>
    <row r="171" spans="1:4">
      <c r="A171" s="43" t="s">
        <v>101</v>
      </c>
      <c r="B171" s="43" t="s">
        <v>227</v>
      </c>
      <c r="C171" s="43" t="s">
        <v>17</v>
      </c>
      <c r="D171" s="44">
        <v>5099840</v>
      </c>
    </row>
    <row r="172" spans="1:4">
      <c r="A172" s="45" t="s">
        <v>101</v>
      </c>
      <c r="B172" s="45" t="s">
        <v>228</v>
      </c>
      <c r="C172" s="45" t="s">
        <v>17</v>
      </c>
      <c r="D172" s="46">
        <v>5071000</v>
      </c>
    </row>
    <row r="173" spans="1:4">
      <c r="A173" s="43" t="s">
        <v>101</v>
      </c>
      <c r="B173" s="43" t="s">
        <v>229</v>
      </c>
      <c r="C173" s="43" t="s">
        <v>17</v>
      </c>
      <c r="D173" s="44">
        <v>5057700</v>
      </c>
    </row>
    <row r="174" spans="1:4">
      <c r="A174" s="45" t="s">
        <v>101</v>
      </c>
      <c r="B174" s="45" t="s">
        <v>230</v>
      </c>
      <c r="C174" s="45" t="s">
        <v>17</v>
      </c>
      <c r="D174" s="46">
        <v>5000000</v>
      </c>
    </row>
    <row r="175" spans="1:4">
      <c r="A175" s="43" t="s">
        <v>101</v>
      </c>
      <c r="B175" s="43" t="s">
        <v>231</v>
      </c>
      <c r="C175" s="43" t="s">
        <v>17</v>
      </c>
      <c r="D175" s="44">
        <v>5000000</v>
      </c>
    </row>
    <row r="176" spans="1:4">
      <c r="A176" s="45" t="s">
        <v>101</v>
      </c>
      <c r="B176" s="45" t="s">
        <v>232</v>
      </c>
      <c r="C176" s="45" t="s">
        <v>17</v>
      </c>
      <c r="D176" s="46">
        <v>5000000</v>
      </c>
    </row>
    <row r="177" spans="1:4">
      <c r="A177" s="43" t="s">
        <v>101</v>
      </c>
      <c r="B177" s="43" t="s">
        <v>233</v>
      </c>
      <c r="C177" s="43" t="s">
        <v>17</v>
      </c>
      <c r="D177" s="44">
        <v>5000000</v>
      </c>
    </row>
    <row r="178" spans="1:4">
      <c r="A178" s="45" t="s">
        <v>101</v>
      </c>
      <c r="B178" s="45" t="s">
        <v>234</v>
      </c>
      <c r="C178" s="45" t="s">
        <v>17</v>
      </c>
      <c r="D178" s="46">
        <v>5000000</v>
      </c>
    </row>
    <row r="179" spans="1:4">
      <c r="A179" s="43" t="s">
        <v>101</v>
      </c>
      <c r="B179" s="43" t="s">
        <v>235</v>
      </c>
      <c r="C179" s="43" t="s">
        <v>17</v>
      </c>
      <c r="D179" s="44">
        <v>5000000</v>
      </c>
    </row>
    <row r="180" spans="1:4">
      <c r="A180" s="45" t="s">
        <v>101</v>
      </c>
      <c r="B180" s="45" t="s">
        <v>236</v>
      </c>
      <c r="C180" s="45" t="s">
        <v>17</v>
      </c>
      <c r="D180" s="46">
        <v>4970250</v>
      </c>
    </row>
    <row r="181" spans="1:4">
      <c r="A181" s="43" t="s">
        <v>101</v>
      </c>
      <c r="B181" s="43" t="s">
        <v>237</v>
      </c>
      <c r="C181" s="43" t="s">
        <v>17</v>
      </c>
      <c r="D181" s="44">
        <v>4952500</v>
      </c>
    </row>
    <row r="182" spans="1:4">
      <c r="A182" s="45" t="s">
        <v>101</v>
      </c>
      <c r="B182" s="45" t="s">
        <v>238</v>
      </c>
      <c r="C182" s="45" t="s">
        <v>17</v>
      </c>
      <c r="D182" s="46">
        <v>4952300</v>
      </c>
    </row>
    <row r="183" spans="1:4">
      <c r="A183" s="43" t="s">
        <v>101</v>
      </c>
      <c r="B183" s="43" t="s">
        <v>239</v>
      </c>
      <c r="C183" s="43" t="s">
        <v>17</v>
      </c>
      <c r="D183" s="44">
        <v>4804250</v>
      </c>
    </row>
    <row r="184" spans="1:4">
      <c r="A184" s="45" t="s">
        <v>101</v>
      </c>
      <c r="B184" s="45" t="s">
        <v>240</v>
      </c>
      <c r="C184" s="45" t="s">
        <v>17</v>
      </c>
      <c r="D184" s="46">
        <v>4800000</v>
      </c>
    </row>
    <row r="185" spans="1:4">
      <c r="A185" s="43" t="s">
        <v>101</v>
      </c>
      <c r="B185" s="43" t="s">
        <v>241</v>
      </c>
      <c r="C185" s="43" t="s">
        <v>17</v>
      </c>
      <c r="D185" s="44">
        <v>4765000</v>
      </c>
    </row>
    <row r="186" spans="1:4">
      <c r="A186" s="45" t="s">
        <v>101</v>
      </c>
      <c r="B186" s="45" t="s">
        <v>242</v>
      </c>
      <c r="C186" s="45" t="s">
        <v>17</v>
      </c>
      <c r="D186" s="46">
        <v>4744400</v>
      </c>
    </row>
    <row r="187" spans="1:4">
      <c r="A187" s="43" t="s">
        <v>101</v>
      </c>
      <c r="B187" s="43" t="s">
        <v>243</v>
      </c>
      <c r="C187" s="43" t="s">
        <v>17</v>
      </c>
      <c r="D187" s="44">
        <v>4512750</v>
      </c>
    </row>
    <row r="188" spans="1:4">
      <c r="A188" s="45" t="s">
        <v>101</v>
      </c>
      <c r="B188" s="45" t="s">
        <v>244</v>
      </c>
      <c r="C188" s="45" t="s">
        <v>17</v>
      </c>
      <c r="D188" s="46">
        <v>4500000</v>
      </c>
    </row>
    <row r="189" spans="1:4">
      <c r="A189" s="43" t="s">
        <v>101</v>
      </c>
      <c r="B189" s="43" t="s">
        <v>245</v>
      </c>
      <c r="C189" s="43" t="s">
        <v>17</v>
      </c>
      <c r="D189" s="44">
        <v>4427200</v>
      </c>
    </row>
    <row r="190" spans="1:4">
      <c r="A190" s="45" t="s">
        <v>101</v>
      </c>
      <c r="B190" s="45" t="s">
        <v>246</v>
      </c>
      <c r="C190" s="45" t="s">
        <v>17</v>
      </c>
      <c r="D190" s="46">
        <v>4410500</v>
      </c>
    </row>
    <row r="191" spans="1:4">
      <c r="A191" s="43" t="s">
        <v>101</v>
      </c>
      <c r="B191" s="43" t="s">
        <v>247</v>
      </c>
      <c r="C191" s="43" t="s">
        <v>17</v>
      </c>
      <c r="D191" s="44">
        <v>4408666</v>
      </c>
    </row>
    <row r="192" spans="1:4">
      <c r="A192" s="45" t="s">
        <v>101</v>
      </c>
      <c r="B192" s="45" t="s">
        <v>248</v>
      </c>
      <c r="C192" s="45" t="s">
        <v>17</v>
      </c>
      <c r="D192" s="46">
        <v>4376100</v>
      </c>
    </row>
    <row r="193" spans="1:4">
      <c r="A193" s="43" t="s">
        <v>98</v>
      </c>
      <c r="B193" s="43" t="s">
        <v>148</v>
      </c>
      <c r="C193" s="43" t="s">
        <v>17</v>
      </c>
      <c r="D193" s="44">
        <v>4305000</v>
      </c>
    </row>
    <row r="194" spans="1:4">
      <c r="A194" s="45" t="s">
        <v>101</v>
      </c>
      <c r="B194" s="45" t="s">
        <v>249</v>
      </c>
      <c r="C194" s="45" t="s">
        <v>17</v>
      </c>
      <c r="D194" s="46">
        <v>4300000</v>
      </c>
    </row>
    <row r="195" spans="1:4">
      <c r="A195" s="43" t="s">
        <v>101</v>
      </c>
      <c r="B195" s="43" t="s">
        <v>250</v>
      </c>
      <c r="C195" s="43" t="s">
        <v>17</v>
      </c>
      <c r="D195" s="44">
        <v>4275000</v>
      </c>
    </row>
    <row r="196" spans="1:4">
      <c r="A196" s="45" t="s">
        <v>101</v>
      </c>
      <c r="B196" s="45" t="s">
        <v>251</v>
      </c>
      <c r="C196" s="45" t="s">
        <v>17</v>
      </c>
      <c r="D196" s="46">
        <v>4246031</v>
      </c>
    </row>
    <row r="197" spans="1:4">
      <c r="A197" s="43" t="s">
        <v>101</v>
      </c>
      <c r="B197" s="43" t="s">
        <v>252</v>
      </c>
      <c r="C197" s="43" t="s">
        <v>17</v>
      </c>
      <c r="D197" s="44">
        <v>4176900</v>
      </c>
    </row>
    <row r="198" spans="1:4">
      <c r="A198" s="45" t="s">
        <v>101</v>
      </c>
      <c r="B198" s="45" t="s">
        <v>253</v>
      </c>
      <c r="C198" s="45" t="s">
        <v>17</v>
      </c>
      <c r="D198" s="46">
        <v>4171200</v>
      </c>
    </row>
    <row r="199" spans="1:4">
      <c r="A199" s="43" t="s">
        <v>101</v>
      </c>
      <c r="B199" s="43" t="s">
        <v>254</v>
      </c>
      <c r="C199" s="43" t="s">
        <v>17</v>
      </c>
      <c r="D199" s="44">
        <v>4144300</v>
      </c>
    </row>
    <row r="200" spans="1:4">
      <c r="A200" s="45" t="s">
        <v>101</v>
      </c>
      <c r="B200" s="45" t="s">
        <v>255</v>
      </c>
      <c r="C200" s="45" t="s">
        <v>17</v>
      </c>
      <c r="D200" s="46">
        <v>4070000</v>
      </c>
    </row>
    <row r="201" spans="1:4">
      <c r="A201" s="43" t="s">
        <v>101</v>
      </c>
      <c r="B201" s="43" t="s">
        <v>256</v>
      </c>
      <c r="C201" s="43" t="s">
        <v>17</v>
      </c>
      <c r="D201" s="44">
        <v>4014300</v>
      </c>
    </row>
    <row r="202" spans="1:4">
      <c r="A202" s="45" t="s">
        <v>101</v>
      </c>
      <c r="B202" s="45" t="s">
        <v>257</v>
      </c>
      <c r="C202" s="45" t="s">
        <v>17</v>
      </c>
      <c r="D202" s="46">
        <v>4006500</v>
      </c>
    </row>
    <row r="203" spans="1:4">
      <c r="A203" s="43" t="s">
        <v>101</v>
      </c>
      <c r="B203" s="43" t="s">
        <v>258</v>
      </c>
      <c r="C203" s="43" t="s">
        <v>17</v>
      </c>
      <c r="D203" s="44">
        <v>4006500</v>
      </c>
    </row>
    <row r="204" spans="1:4">
      <c r="A204" s="45" t="s">
        <v>101</v>
      </c>
      <c r="B204" s="45" t="s">
        <v>259</v>
      </c>
      <c r="C204" s="45" t="s">
        <v>17</v>
      </c>
      <c r="D204" s="46">
        <v>4000000</v>
      </c>
    </row>
    <row r="205" spans="1:4">
      <c r="A205" s="43" t="s">
        <v>101</v>
      </c>
      <c r="B205" s="43" t="s">
        <v>260</v>
      </c>
      <c r="C205" s="43" t="s">
        <v>17</v>
      </c>
      <c r="D205" s="44">
        <v>4000000</v>
      </c>
    </row>
    <row r="206" spans="1:4">
      <c r="A206" s="45" t="s">
        <v>101</v>
      </c>
      <c r="B206" s="45" t="s">
        <v>261</v>
      </c>
      <c r="C206" s="45" t="s">
        <v>17</v>
      </c>
      <c r="D206" s="46">
        <v>4000000</v>
      </c>
    </row>
    <row r="207" spans="1:4">
      <c r="A207" s="43" t="s">
        <v>101</v>
      </c>
      <c r="B207" s="43" t="s">
        <v>262</v>
      </c>
      <c r="C207" s="43" t="s">
        <v>17</v>
      </c>
      <c r="D207" s="44">
        <v>4000000</v>
      </c>
    </row>
    <row r="208" spans="1:4">
      <c r="A208" s="45" t="s">
        <v>101</v>
      </c>
      <c r="B208" s="45" t="s">
        <v>263</v>
      </c>
      <c r="C208" s="45" t="s">
        <v>17</v>
      </c>
      <c r="D208" s="46">
        <v>4000000</v>
      </c>
    </row>
    <row r="209" spans="1:4">
      <c r="A209" s="43" t="s">
        <v>101</v>
      </c>
      <c r="B209" s="43" t="s">
        <v>264</v>
      </c>
      <c r="C209" s="43" t="s">
        <v>17</v>
      </c>
      <c r="D209" s="44">
        <v>4000000</v>
      </c>
    </row>
    <row r="210" spans="1:4">
      <c r="A210" s="45" t="s">
        <v>101</v>
      </c>
      <c r="B210" s="45" t="s">
        <v>265</v>
      </c>
      <c r="C210" s="45" t="s">
        <v>17</v>
      </c>
      <c r="D210" s="46">
        <v>3999430</v>
      </c>
    </row>
    <row r="211" spans="1:4">
      <c r="A211" s="43" t="s">
        <v>101</v>
      </c>
      <c r="B211" s="43" t="s">
        <v>266</v>
      </c>
      <c r="C211" s="43" t="s">
        <v>17</v>
      </c>
      <c r="D211" s="44">
        <v>3998750</v>
      </c>
    </row>
    <row r="212" spans="1:4">
      <c r="A212" s="45" t="s">
        <v>101</v>
      </c>
      <c r="B212" s="45" t="s">
        <v>267</v>
      </c>
      <c r="C212" s="45" t="s">
        <v>17</v>
      </c>
      <c r="D212" s="46">
        <v>3996165</v>
      </c>
    </row>
    <row r="213" spans="1:4">
      <c r="A213" s="43" t="s">
        <v>101</v>
      </c>
      <c r="B213" s="43" t="s">
        <v>268</v>
      </c>
      <c r="C213" s="43" t="s">
        <v>17</v>
      </c>
      <c r="D213" s="44">
        <v>3996000</v>
      </c>
    </row>
    <row r="214" spans="1:4">
      <c r="A214" s="45" t="s">
        <v>101</v>
      </c>
      <c r="B214" s="45" t="s">
        <v>269</v>
      </c>
      <c r="C214" s="45" t="s">
        <v>17</v>
      </c>
      <c r="D214" s="46">
        <v>3995435</v>
      </c>
    </row>
    <row r="215" spans="1:4">
      <c r="A215" s="43" t="s">
        <v>101</v>
      </c>
      <c r="B215" s="43" t="s">
        <v>270</v>
      </c>
      <c r="C215" s="43" t="s">
        <v>17</v>
      </c>
      <c r="D215" s="44">
        <v>3993000</v>
      </c>
    </row>
    <row r="216" spans="1:4">
      <c r="A216" s="45" t="s">
        <v>101</v>
      </c>
      <c r="B216" s="45" t="s">
        <v>271</v>
      </c>
      <c r="C216" s="45" t="s">
        <v>17</v>
      </c>
      <c r="D216" s="46">
        <v>3992730</v>
      </c>
    </row>
    <row r="217" spans="1:4">
      <c r="A217" s="43" t="s">
        <v>101</v>
      </c>
      <c r="B217" s="43" t="s">
        <v>272</v>
      </c>
      <c r="C217" s="43" t="s">
        <v>17</v>
      </c>
      <c r="D217" s="44">
        <v>3992625</v>
      </c>
    </row>
    <row r="218" spans="1:4">
      <c r="A218" s="45" t="s">
        <v>101</v>
      </c>
      <c r="B218" s="45" t="s">
        <v>273</v>
      </c>
      <c r="C218" s="45" t="s">
        <v>17</v>
      </c>
      <c r="D218" s="46">
        <v>3986530</v>
      </c>
    </row>
    <row r="219" spans="1:4">
      <c r="A219" s="43" t="s">
        <v>101</v>
      </c>
      <c r="B219" s="43" t="s">
        <v>274</v>
      </c>
      <c r="C219" s="43" t="s">
        <v>17</v>
      </c>
      <c r="D219" s="44">
        <v>3985000</v>
      </c>
    </row>
    <row r="220" spans="1:4">
      <c r="A220" s="45" t="s">
        <v>101</v>
      </c>
      <c r="B220" s="45" t="s">
        <v>275</v>
      </c>
      <c r="C220" s="45" t="s">
        <v>17</v>
      </c>
      <c r="D220" s="46">
        <v>3985000</v>
      </c>
    </row>
    <row r="221" spans="1:4">
      <c r="A221" s="43" t="s">
        <v>101</v>
      </c>
      <c r="B221" s="43" t="s">
        <v>276</v>
      </c>
      <c r="C221" s="43" t="s">
        <v>17</v>
      </c>
      <c r="D221" s="44">
        <v>3980340</v>
      </c>
    </row>
    <row r="222" spans="1:4">
      <c r="A222" s="45" t="s">
        <v>101</v>
      </c>
      <c r="B222" s="45" t="s">
        <v>277</v>
      </c>
      <c r="C222" s="45" t="s">
        <v>17</v>
      </c>
      <c r="D222" s="46">
        <v>3975865</v>
      </c>
    </row>
    <row r="223" spans="1:4">
      <c r="A223" s="43" t="s">
        <v>101</v>
      </c>
      <c r="B223" s="43" t="s">
        <v>278</v>
      </c>
      <c r="C223" s="43" t="s">
        <v>17</v>
      </c>
      <c r="D223" s="44">
        <v>3955900</v>
      </c>
    </row>
    <row r="224" spans="1:4">
      <c r="A224" s="45" t="s">
        <v>101</v>
      </c>
      <c r="B224" s="45" t="s">
        <v>486</v>
      </c>
      <c r="C224" s="45" t="s">
        <v>17</v>
      </c>
      <c r="D224" s="46">
        <v>3954614</v>
      </c>
    </row>
    <row r="225" spans="1:4">
      <c r="A225" s="43" t="s">
        <v>101</v>
      </c>
      <c r="B225" s="43" t="s">
        <v>279</v>
      </c>
      <c r="C225" s="43" t="s">
        <v>17</v>
      </c>
      <c r="D225" s="44">
        <v>3954115</v>
      </c>
    </row>
    <row r="226" spans="1:4">
      <c r="A226" s="45" t="s">
        <v>101</v>
      </c>
      <c r="B226" s="45" t="s">
        <v>280</v>
      </c>
      <c r="C226" s="45" t="s">
        <v>17</v>
      </c>
      <c r="D226" s="46">
        <v>3938625</v>
      </c>
    </row>
    <row r="227" spans="1:4">
      <c r="A227" s="43" t="s">
        <v>101</v>
      </c>
      <c r="B227" s="43" t="s">
        <v>281</v>
      </c>
      <c r="C227" s="43" t="s">
        <v>17</v>
      </c>
      <c r="D227" s="44">
        <v>3906900</v>
      </c>
    </row>
    <row r="228" spans="1:4">
      <c r="A228" s="45" t="s">
        <v>101</v>
      </c>
      <c r="B228" s="45" t="s">
        <v>282</v>
      </c>
      <c r="C228" s="45" t="s">
        <v>17</v>
      </c>
      <c r="D228" s="46">
        <v>3905000</v>
      </c>
    </row>
    <row r="229" spans="1:4">
      <c r="A229" s="43" t="s">
        <v>101</v>
      </c>
      <c r="B229" s="43" t="s">
        <v>283</v>
      </c>
      <c r="C229" s="43" t="s">
        <v>17</v>
      </c>
      <c r="D229" s="44">
        <v>3878000</v>
      </c>
    </row>
    <row r="230" spans="1:4">
      <c r="A230" s="45" t="s">
        <v>101</v>
      </c>
      <c r="B230" s="45" t="s">
        <v>284</v>
      </c>
      <c r="C230" s="45" t="s">
        <v>17</v>
      </c>
      <c r="D230" s="46">
        <v>3875875</v>
      </c>
    </row>
    <row r="231" spans="1:4">
      <c r="A231" s="43" t="s">
        <v>101</v>
      </c>
      <c r="B231" s="43" t="s">
        <v>285</v>
      </c>
      <c r="C231" s="43" t="s">
        <v>17</v>
      </c>
      <c r="D231" s="44">
        <v>3873600</v>
      </c>
    </row>
    <row r="232" spans="1:4">
      <c r="A232" s="45" t="s">
        <v>101</v>
      </c>
      <c r="B232" s="45" t="s">
        <v>286</v>
      </c>
      <c r="C232" s="45" t="s">
        <v>17</v>
      </c>
      <c r="D232" s="46">
        <v>3861640</v>
      </c>
    </row>
    <row r="233" spans="1:4">
      <c r="A233" s="43" t="s">
        <v>101</v>
      </c>
      <c r="B233" s="43" t="s">
        <v>287</v>
      </c>
      <c r="C233" s="43" t="s">
        <v>17</v>
      </c>
      <c r="D233" s="44">
        <v>3849645</v>
      </c>
    </row>
    <row r="234" spans="1:4">
      <c r="A234" s="45" t="s">
        <v>101</v>
      </c>
      <c r="B234" s="45" t="s">
        <v>288</v>
      </c>
      <c r="C234" s="45" t="s">
        <v>17</v>
      </c>
      <c r="D234" s="46">
        <v>3835000</v>
      </c>
    </row>
    <row r="235" spans="1:4">
      <c r="A235" s="43" t="s">
        <v>101</v>
      </c>
      <c r="B235" s="43" t="s">
        <v>289</v>
      </c>
      <c r="C235" s="43" t="s">
        <v>17</v>
      </c>
      <c r="D235" s="44">
        <v>3800000</v>
      </c>
    </row>
    <row r="236" spans="1:4">
      <c r="A236" s="45" t="s">
        <v>101</v>
      </c>
      <c r="B236" s="45" t="s">
        <v>290</v>
      </c>
      <c r="C236" s="45" t="s">
        <v>17</v>
      </c>
      <c r="D236" s="46">
        <v>3650400</v>
      </c>
    </row>
    <row r="237" spans="1:4">
      <c r="A237" s="43" t="s">
        <v>101</v>
      </c>
      <c r="B237" s="43" t="s">
        <v>291</v>
      </c>
      <c r="C237" s="43" t="s">
        <v>17</v>
      </c>
      <c r="D237" s="44">
        <v>3630000</v>
      </c>
    </row>
    <row r="238" spans="1:4">
      <c r="A238" s="45" t="s">
        <v>101</v>
      </c>
      <c r="B238" s="45" t="s">
        <v>292</v>
      </c>
      <c r="C238" s="45" t="s">
        <v>17</v>
      </c>
      <c r="D238" s="46">
        <v>3609600</v>
      </c>
    </row>
    <row r="239" spans="1:4">
      <c r="A239" s="43" t="s">
        <v>101</v>
      </c>
      <c r="B239" s="43" t="s">
        <v>293</v>
      </c>
      <c r="C239" s="43" t="s">
        <v>17</v>
      </c>
      <c r="D239" s="44">
        <v>3596645</v>
      </c>
    </row>
    <row r="240" spans="1:4">
      <c r="A240" s="45" t="s">
        <v>101</v>
      </c>
      <c r="B240" s="45" t="s">
        <v>294</v>
      </c>
      <c r="C240" s="45" t="s">
        <v>17</v>
      </c>
      <c r="D240" s="46">
        <v>3554000</v>
      </c>
    </row>
    <row r="241" spans="1:4">
      <c r="A241" s="43" t="s">
        <v>101</v>
      </c>
      <c r="B241" s="43" t="s">
        <v>295</v>
      </c>
      <c r="C241" s="43" t="s">
        <v>17</v>
      </c>
      <c r="D241" s="44">
        <v>3511255</v>
      </c>
    </row>
    <row r="242" spans="1:4">
      <c r="A242" s="45" t="s">
        <v>101</v>
      </c>
      <c r="B242" s="45" t="s">
        <v>296</v>
      </c>
      <c r="C242" s="45" t="s">
        <v>17</v>
      </c>
      <c r="D242" s="46">
        <v>3405250</v>
      </c>
    </row>
    <row r="243" spans="1:4">
      <c r="A243" s="43" t="s">
        <v>101</v>
      </c>
      <c r="B243" s="43" t="s">
        <v>297</v>
      </c>
      <c r="C243" s="43" t="s">
        <v>17</v>
      </c>
      <c r="D243" s="44">
        <v>3356000</v>
      </c>
    </row>
    <row r="244" spans="1:4">
      <c r="A244" s="45" t="s">
        <v>101</v>
      </c>
      <c r="B244" s="45" t="s">
        <v>298</v>
      </c>
      <c r="C244" s="45" t="s">
        <v>17</v>
      </c>
      <c r="D244" s="46">
        <v>3250000</v>
      </c>
    </row>
    <row r="245" spans="1:4">
      <c r="A245" s="43" t="s">
        <v>101</v>
      </c>
      <c r="B245" s="43" t="s">
        <v>299</v>
      </c>
      <c r="C245" s="43" t="s">
        <v>17</v>
      </c>
      <c r="D245" s="44">
        <v>3230450</v>
      </c>
    </row>
    <row r="246" spans="1:4">
      <c r="A246" s="45" t="s">
        <v>101</v>
      </c>
      <c r="B246" s="45" t="s">
        <v>300</v>
      </c>
      <c r="C246" s="45" t="s">
        <v>17</v>
      </c>
      <c r="D246" s="46">
        <v>3200600</v>
      </c>
    </row>
    <row r="247" spans="1:4">
      <c r="A247" s="43" t="s">
        <v>101</v>
      </c>
      <c r="B247" s="43" t="s">
        <v>301</v>
      </c>
      <c r="C247" s="43" t="s">
        <v>17</v>
      </c>
      <c r="D247" s="44">
        <v>3150000</v>
      </c>
    </row>
    <row r="248" spans="1:4">
      <c r="A248" s="45" t="s">
        <v>101</v>
      </c>
      <c r="B248" s="45" t="s">
        <v>302</v>
      </c>
      <c r="C248" s="45" t="s">
        <v>17</v>
      </c>
      <c r="D248" s="46">
        <v>3150000</v>
      </c>
    </row>
    <row r="249" spans="1:4">
      <c r="A249" s="43" t="s">
        <v>101</v>
      </c>
      <c r="B249" s="43" t="s">
        <v>303</v>
      </c>
      <c r="C249" s="43" t="s">
        <v>17</v>
      </c>
      <c r="D249" s="44">
        <v>3110680</v>
      </c>
    </row>
    <row r="250" spans="1:4">
      <c r="A250" s="45" t="s">
        <v>101</v>
      </c>
      <c r="B250" s="45" t="s">
        <v>304</v>
      </c>
      <c r="C250" s="45" t="s">
        <v>17</v>
      </c>
      <c r="D250" s="46">
        <v>3087300</v>
      </c>
    </row>
    <row r="251" spans="1:4">
      <c r="A251" s="43" t="s">
        <v>101</v>
      </c>
      <c r="B251" s="43" t="s">
        <v>305</v>
      </c>
      <c r="C251" s="43" t="s">
        <v>17</v>
      </c>
      <c r="D251" s="44">
        <v>3080000</v>
      </c>
    </row>
    <row r="252" spans="1:4">
      <c r="A252" s="45" t="s">
        <v>101</v>
      </c>
      <c r="B252" s="45" t="s">
        <v>487</v>
      </c>
      <c r="C252" s="45" t="s">
        <v>17</v>
      </c>
      <c r="D252" s="46">
        <v>3006106</v>
      </c>
    </row>
    <row r="253" spans="1:4">
      <c r="A253" s="43" t="s">
        <v>101</v>
      </c>
      <c r="B253" s="43" t="s">
        <v>306</v>
      </c>
      <c r="C253" s="43" t="s">
        <v>17</v>
      </c>
      <c r="D253" s="44">
        <v>3000000</v>
      </c>
    </row>
    <row r="254" spans="1:4">
      <c r="A254" s="45" t="s">
        <v>101</v>
      </c>
      <c r="B254" s="45" t="s">
        <v>307</v>
      </c>
      <c r="C254" s="45" t="s">
        <v>17</v>
      </c>
      <c r="D254" s="46">
        <v>3000000</v>
      </c>
    </row>
    <row r="255" spans="1:4">
      <c r="A255" s="43" t="s">
        <v>101</v>
      </c>
      <c r="B255" s="43" t="s">
        <v>308</v>
      </c>
      <c r="C255" s="43" t="s">
        <v>17</v>
      </c>
      <c r="D255" s="44">
        <v>3000000</v>
      </c>
    </row>
    <row r="256" spans="1:4">
      <c r="A256" s="45" t="s">
        <v>101</v>
      </c>
      <c r="B256" s="45" t="s">
        <v>309</v>
      </c>
      <c r="C256" s="45" t="s">
        <v>17</v>
      </c>
      <c r="D256" s="46">
        <v>2980000</v>
      </c>
    </row>
    <row r="257" spans="1:4">
      <c r="A257" s="43" t="s">
        <v>101</v>
      </c>
      <c r="B257" s="43" t="s">
        <v>310</v>
      </c>
      <c r="C257" s="43" t="s">
        <v>17</v>
      </c>
      <c r="D257" s="44">
        <v>2951600</v>
      </c>
    </row>
    <row r="258" spans="1:4">
      <c r="A258" s="45" t="s">
        <v>101</v>
      </c>
      <c r="B258" s="45" t="s">
        <v>311</v>
      </c>
      <c r="C258" s="45" t="s">
        <v>17</v>
      </c>
      <c r="D258" s="46">
        <v>2940000</v>
      </c>
    </row>
    <row r="259" spans="1:4">
      <c r="A259" s="43" t="s">
        <v>101</v>
      </c>
      <c r="B259" s="43" t="s">
        <v>312</v>
      </c>
      <c r="C259" s="43" t="s">
        <v>17</v>
      </c>
      <c r="D259" s="44">
        <v>2884600</v>
      </c>
    </row>
    <row r="260" spans="1:4">
      <c r="A260" s="45" t="s">
        <v>101</v>
      </c>
      <c r="B260" s="45" t="s">
        <v>313</v>
      </c>
      <c r="C260" s="45" t="s">
        <v>17</v>
      </c>
      <c r="D260" s="46">
        <v>2874840</v>
      </c>
    </row>
    <row r="261" spans="1:4">
      <c r="A261" s="43" t="s">
        <v>101</v>
      </c>
      <c r="B261" s="43" t="s">
        <v>314</v>
      </c>
      <c r="C261" s="43" t="s">
        <v>17</v>
      </c>
      <c r="D261" s="44">
        <v>2845000</v>
      </c>
    </row>
    <row r="262" spans="1:4">
      <c r="A262" s="45" t="s">
        <v>101</v>
      </c>
      <c r="B262" s="45" t="s">
        <v>315</v>
      </c>
      <c r="C262" s="45" t="s">
        <v>17</v>
      </c>
      <c r="D262" s="46">
        <v>2784468</v>
      </c>
    </row>
    <row r="263" spans="1:4">
      <c r="A263" s="43" t="s">
        <v>101</v>
      </c>
      <c r="B263" s="43" t="s">
        <v>316</v>
      </c>
      <c r="C263" s="43" t="s">
        <v>17</v>
      </c>
      <c r="D263" s="44">
        <v>2768700</v>
      </c>
    </row>
    <row r="264" spans="1:4">
      <c r="A264" s="45" t="s">
        <v>101</v>
      </c>
      <c r="B264" s="45" t="s">
        <v>317</v>
      </c>
      <c r="C264" s="45" t="s">
        <v>17</v>
      </c>
      <c r="D264" s="46">
        <v>2680000</v>
      </c>
    </row>
    <row r="265" spans="1:4">
      <c r="A265" s="43" t="s">
        <v>101</v>
      </c>
      <c r="B265" s="43" t="s">
        <v>318</v>
      </c>
      <c r="C265" s="43" t="s">
        <v>17</v>
      </c>
      <c r="D265" s="44">
        <v>2646900</v>
      </c>
    </row>
    <row r="266" spans="1:4">
      <c r="A266" s="45" t="s">
        <v>101</v>
      </c>
      <c r="B266" s="45" t="s">
        <v>319</v>
      </c>
      <c r="C266" s="45" t="s">
        <v>17</v>
      </c>
      <c r="D266" s="46">
        <v>2610000</v>
      </c>
    </row>
    <row r="267" spans="1:4">
      <c r="A267" s="43" t="s">
        <v>101</v>
      </c>
      <c r="B267" s="43" t="s">
        <v>320</v>
      </c>
      <c r="C267" s="43" t="s">
        <v>17</v>
      </c>
      <c r="D267" s="44">
        <v>2565000</v>
      </c>
    </row>
    <row r="268" spans="1:4">
      <c r="A268" s="45" t="s">
        <v>101</v>
      </c>
      <c r="B268" s="45" t="s">
        <v>321</v>
      </c>
      <c r="C268" s="45" t="s">
        <v>17</v>
      </c>
      <c r="D268" s="46">
        <v>2510000</v>
      </c>
    </row>
    <row r="269" spans="1:4">
      <c r="A269" s="43" t="s">
        <v>101</v>
      </c>
      <c r="B269" s="43" t="s">
        <v>322</v>
      </c>
      <c r="C269" s="43" t="s">
        <v>17</v>
      </c>
      <c r="D269" s="44">
        <v>2500000</v>
      </c>
    </row>
    <row r="270" spans="1:4">
      <c r="A270" s="45" t="s">
        <v>101</v>
      </c>
      <c r="B270" s="45" t="s">
        <v>323</v>
      </c>
      <c r="C270" s="45" t="s">
        <v>17</v>
      </c>
      <c r="D270" s="46">
        <v>2500000</v>
      </c>
    </row>
    <row r="271" spans="1:4">
      <c r="A271" s="43" t="s">
        <v>101</v>
      </c>
      <c r="B271" s="43" t="s">
        <v>324</v>
      </c>
      <c r="C271" s="43" t="s">
        <v>17</v>
      </c>
      <c r="D271" s="44">
        <v>2500000</v>
      </c>
    </row>
    <row r="272" spans="1:4">
      <c r="A272" s="45" t="s">
        <v>101</v>
      </c>
      <c r="B272" s="45" t="s">
        <v>325</v>
      </c>
      <c r="C272" s="45" t="s">
        <v>17</v>
      </c>
      <c r="D272" s="46">
        <v>2500000</v>
      </c>
    </row>
    <row r="273" spans="1:4">
      <c r="A273" s="43" t="s">
        <v>101</v>
      </c>
      <c r="B273" s="43" t="s">
        <v>326</v>
      </c>
      <c r="C273" s="43" t="s">
        <v>17</v>
      </c>
      <c r="D273" s="44">
        <v>2500000</v>
      </c>
    </row>
    <row r="274" spans="1:4">
      <c r="A274" s="45" t="s">
        <v>101</v>
      </c>
      <c r="B274" s="45" t="s">
        <v>327</v>
      </c>
      <c r="C274" s="45" t="s">
        <v>17</v>
      </c>
      <c r="D274" s="46">
        <v>2500000</v>
      </c>
    </row>
    <row r="275" spans="1:4">
      <c r="A275" s="43" t="s">
        <v>101</v>
      </c>
      <c r="B275" s="43" t="s">
        <v>328</v>
      </c>
      <c r="C275" s="43" t="s">
        <v>17</v>
      </c>
      <c r="D275" s="44">
        <v>2500000</v>
      </c>
    </row>
    <row r="276" spans="1:4">
      <c r="A276" s="45" t="s">
        <v>101</v>
      </c>
      <c r="B276" s="45" t="s">
        <v>329</v>
      </c>
      <c r="C276" s="45" t="s">
        <v>17</v>
      </c>
      <c r="D276" s="46">
        <v>2500000</v>
      </c>
    </row>
    <row r="277" spans="1:4">
      <c r="A277" s="43" t="s">
        <v>101</v>
      </c>
      <c r="B277" s="43" t="s">
        <v>330</v>
      </c>
      <c r="C277" s="43" t="s">
        <v>17</v>
      </c>
      <c r="D277" s="44">
        <v>2500000</v>
      </c>
    </row>
    <row r="278" spans="1:4">
      <c r="A278" s="45" t="s">
        <v>101</v>
      </c>
      <c r="B278" s="45" t="s">
        <v>331</v>
      </c>
      <c r="C278" s="45" t="s">
        <v>17</v>
      </c>
      <c r="D278" s="46">
        <v>2500000</v>
      </c>
    </row>
    <row r="279" spans="1:4">
      <c r="A279" s="43" t="s">
        <v>101</v>
      </c>
      <c r="B279" s="43" t="s">
        <v>332</v>
      </c>
      <c r="C279" s="43" t="s">
        <v>17</v>
      </c>
      <c r="D279" s="44">
        <v>2500000</v>
      </c>
    </row>
    <row r="280" spans="1:4">
      <c r="A280" s="45" t="s">
        <v>101</v>
      </c>
      <c r="B280" s="45" t="s">
        <v>333</v>
      </c>
      <c r="C280" s="45" t="s">
        <v>17</v>
      </c>
      <c r="D280" s="46">
        <v>2500000</v>
      </c>
    </row>
    <row r="281" spans="1:4">
      <c r="A281" s="43" t="s">
        <v>101</v>
      </c>
      <c r="B281" s="43" t="s">
        <v>334</v>
      </c>
      <c r="C281" s="43" t="s">
        <v>17</v>
      </c>
      <c r="D281" s="44">
        <v>2500000</v>
      </c>
    </row>
    <row r="282" spans="1:4">
      <c r="A282" s="45" t="s">
        <v>101</v>
      </c>
      <c r="B282" s="45" t="s">
        <v>335</v>
      </c>
      <c r="C282" s="45" t="s">
        <v>17</v>
      </c>
      <c r="D282" s="46">
        <v>2500000</v>
      </c>
    </row>
    <row r="283" spans="1:4">
      <c r="A283" s="43" t="s">
        <v>101</v>
      </c>
      <c r="B283" s="43" t="s">
        <v>336</v>
      </c>
      <c r="C283" s="43" t="s">
        <v>17</v>
      </c>
      <c r="D283" s="44">
        <v>2500000</v>
      </c>
    </row>
    <row r="284" spans="1:4">
      <c r="A284" s="45" t="s">
        <v>101</v>
      </c>
      <c r="B284" s="45" t="s">
        <v>337</v>
      </c>
      <c r="C284" s="45" t="s">
        <v>17</v>
      </c>
      <c r="D284" s="46">
        <v>2500000</v>
      </c>
    </row>
    <row r="285" spans="1:4">
      <c r="A285" s="43" t="s">
        <v>101</v>
      </c>
      <c r="B285" s="43" t="s">
        <v>338</v>
      </c>
      <c r="C285" s="43" t="s">
        <v>17</v>
      </c>
      <c r="D285" s="44">
        <v>2500000</v>
      </c>
    </row>
    <row r="286" spans="1:4">
      <c r="A286" s="45" t="s">
        <v>101</v>
      </c>
      <c r="B286" s="45" t="s">
        <v>339</v>
      </c>
      <c r="C286" s="45" t="s">
        <v>17</v>
      </c>
      <c r="D286" s="46">
        <v>2500000</v>
      </c>
    </row>
    <row r="287" spans="1:4">
      <c r="A287" s="43" t="s">
        <v>101</v>
      </c>
      <c r="B287" s="43" t="s">
        <v>340</v>
      </c>
      <c r="C287" s="43" t="s">
        <v>17</v>
      </c>
      <c r="D287" s="44">
        <v>2500000</v>
      </c>
    </row>
    <row r="288" spans="1:4">
      <c r="A288" s="45" t="s">
        <v>101</v>
      </c>
      <c r="B288" s="45" t="s">
        <v>341</v>
      </c>
      <c r="C288" s="45" t="s">
        <v>17</v>
      </c>
      <c r="D288" s="46">
        <v>2500000</v>
      </c>
    </row>
    <row r="289" spans="1:4">
      <c r="A289" s="43" t="s">
        <v>101</v>
      </c>
      <c r="B289" s="43" t="s">
        <v>342</v>
      </c>
      <c r="C289" s="43" t="s">
        <v>17</v>
      </c>
      <c r="D289" s="44">
        <v>2500000</v>
      </c>
    </row>
    <row r="290" spans="1:4">
      <c r="A290" s="45" t="s">
        <v>101</v>
      </c>
      <c r="B290" s="45" t="s">
        <v>343</v>
      </c>
      <c r="C290" s="45" t="s">
        <v>17</v>
      </c>
      <c r="D290" s="46">
        <v>2500000</v>
      </c>
    </row>
    <row r="291" spans="1:4">
      <c r="A291" s="43" t="s">
        <v>101</v>
      </c>
      <c r="B291" s="43" t="s">
        <v>344</v>
      </c>
      <c r="C291" s="43" t="s">
        <v>17</v>
      </c>
      <c r="D291" s="44">
        <v>2500000</v>
      </c>
    </row>
    <row r="292" spans="1:4">
      <c r="A292" s="45" t="s">
        <v>101</v>
      </c>
      <c r="B292" s="45" t="s">
        <v>345</v>
      </c>
      <c r="C292" s="45" t="s">
        <v>17</v>
      </c>
      <c r="D292" s="46">
        <v>2500000</v>
      </c>
    </row>
    <row r="293" spans="1:4">
      <c r="A293" s="43" t="s">
        <v>101</v>
      </c>
      <c r="B293" s="43" t="s">
        <v>346</v>
      </c>
      <c r="C293" s="43" t="s">
        <v>17</v>
      </c>
      <c r="D293" s="44">
        <v>2500000</v>
      </c>
    </row>
    <row r="294" spans="1:4">
      <c r="A294" s="45" t="s">
        <v>101</v>
      </c>
      <c r="B294" s="45" t="s">
        <v>347</v>
      </c>
      <c r="C294" s="45" t="s">
        <v>17</v>
      </c>
      <c r="D294" s="46">
        <v>2500000</v>
      </c>
    </row>
    <row r="295" spans="1:4">
      <c r="A295" s="43" t="s">
        <v>101</v>
      </c>
      <c r="B295" s="43" t="s">
        <v>348</v>
      </c>
      <c r="C295" s="43" t="s">
        <v>17</v>
      </c>
      <c r="D295" s="44">
        <v>2500000</v>
      </c>
    </row>
    <row r="296" spans="1:4">
      <c r="A296" s="45" t="s">
        <v>101</v>
      </c>
      <c r="B296" s="45" t="s">
        <v>349</v>
      </c>
      <c r="C296" s="45" t="s">
        <v>17</v>
      </c>
      <c r="D296" s="46">
        <v>2490000</v>
      </c>
    </row>
    <row r="297" spans="1:4">
      <c r="A297" s="43" t="s">
        <v>101</v>
      </c>
      <c r="B297" s="43" t="s">
        <v>350</v>
      </c>
      <c r="C297" s="43" t="s">
        <v>17</v>
      </c>
      <c r="D297" s="44">
        <v>2488935</v>
      </c>
    </row>
    <row r="298" spans="1:4">
      <c r="A298" s="45" t="s">
        <v>101</v>
      </c>
      <c r="B298" s="45" t="s">
        <v>351</v>
      </c>
      <c r="C298" s="45" t="s">
        <v>17</v>
      </c>
      <c r="D298" s="46">
        <v>2447800</v>
      </c>
    </row>
    <row r="299" spans="1:4">
      <c r="A299" s="43" t="s">
        <v>101</v>
      </c>
      <c r="B299" s="43" t="s">
        <v>352</v>
      </c>
      <c r="C299" s="43" t="s">
        <v>17</v>
      </c>
      <c r="D299" s="44">
        <v>2435000</v>
      </c>
    </row>
    <row r="300" spans="1:4">
      <c r="A300" s="45" t="s">
        <v>101</v>
      </c>
      <c r="B300" s="45" t="s">
        <v>353</v>
      </c>
      <c r="C300" s="45" t="s">
        <v>17</v>
      </c>
      <c r="D300" s="46">
        <v>2405350</v>
      </c>
    </row>
    <row r="301" spans="1:4">
      <c r="A301" s="43" t="s">
        <v>101</v>
      </c>
      <c r="B301" s="43" t="s">
        <v>488</v>
      </c>
      <c r="C301" s="43" t="s">
        <v>17</v>
      </c>
      <c r="D301" s="44">
        <v>2352189</v>
      </c>
    </row>
    <row r="302" spans="1:4">
      <c r="A302" s="45" t="s">
        <v>101</v>
      </c>
      <c r="B302" s="45" t="s">
        <v>354</v>
      </c>
      <c r="C302" s="45" t="s">
        <v>17</v>
      </c>
      <c r="D302" s="46">
        <v>2294500</v>
      </c>
    </row>
    <row r="303" spans="1:4">
      <c r="A303" s="43" t="s">
        <v>101</v>
      </c>
      <c r="B303" s="43" t="s">
        <v>355</v>
      </c>
      <c r="C303" s="43" t="s">
        <v>17</v>
      </c>
      <c r="D303" s="44">
        <v>2280000</v>
      </c>
    </row>
    <row r="304" spans="1:4">
      <c r="A304" s="45" t="s">
        <v>101</v>
      </c>
      <c r="B304" s="45" t="s">
        <v>356</v>
      </c>
      <c r="C304" s="45" t="s">
        <v>17</v>
      </c>
      <c r="D304" s="46">
        <v>2250000</v>
      </c>
    </row>
    <row r="305" spans="1:4">
      <c r="A305" s="43" t="s">
        <v>101</v>
      </c>
      <c r="B305" s="43" t="s">
        <v>357</v>
      </c>
      <c r="C305" s="43" t="s">
        <v>17</v>
      </c>
      <c r="D305" s="44">
        <v>2190000</v>
      </c>
    </row>
    <row r="306" spans="1:4">
      <c r="A306" s="45" t="s">
        <v>101</v>
      </c>
      <c r="B306" s="45" t="s">
        <v>358</v>
      </c>
      <c r="C306" s="45" t="s">
        <v>17</v>
      </c>
      <c r="D306" s="46">
        <v>2156050</v>
      </c>
    </row>
    <row r="307" spans="1:4">
      <c r="A307" s="43" t="s">
        <v>101</v>
      </c>
      <c r="B307" s="43" t="s">
        <v>359</v>
      </c>
      <c r="C307" s="43" t="s">
        <v>17</v>
      </c>
      <c r="D307" s="44">
        <v>2138640</v>
      </c>
    </row>
    <row r="308" spans="1:4">
      <c r="A308" s="45" t="s">
        <v>101</v>
      </c>
      <c r="B308" s="45" t="s">
        <v>360</v>
      </c>
      <c r="C308" s="45" t="s">
        <v>17</v>
      </c>
      <c r="D308" s="46">
        <v>2055000</v>
      </c>
    </row>
    <row r="309" spans="1:4">
      <c r="A309" s="43" t="s">
        <v>101</v>
      </c>
      <c r="B309" s="43" t="s">
        <v>361</v>
      </c>
      <c r="C309" s="43" t="s">
        <v>17</v>
      </c>
      <c r="D309" s="44">
        <v>2051100</v>
      </c>
    </row>
    <row r="310" spans="1:4">
      <c r="A310" s="45" t="s">
        <v>101</v>
      </c>
      <c r="B310" s="45" t="s">
        <v>362</v>
      </c>
      <c r="C310" s="45" t="s">
        <v>17</v>
      </c>
      <c r="D310" s="46">
        <v>2039700</v>
      </c>
    </row>
    <row r="311" spans="1:4">
      <c r="A311" s="43" t="s">
        <v>101</v>
      </c>
      <c r="B311" s="43" t="s">
        <v>363</v>
      </c>
      <c r="C311" s="43" t="s">
        <v>17</v>
      </c>
      <c r="D311" s="44">
        <v>2028700</v>
      </c>
    </row>
    <row r="312" spans="1:4">
      <c r="A312" s="45" t="s">
        <v>101</v>
      </c>
      <c r="B312" s="45" t="s">
        <v>364</v>
      </c>
      <c r="C312" s="45" t="s">
        <v>17</v>
      </c>
      <c r="D312" s="46">
        <v>2011300</v>
      </c>
    </row>
    <row r="313" spans="1:4">
      <c r="A313" s="43" t="s">
        <v>101</v>
      </c>
      <c r="B313" s="43" t="s">
        <v>365</v>
      </c>
      <c r="C313" s="43" t="s">
        <v>17</v>
      </c>
      <c r="D313" s="44">
        <v>2000000</v>
      </c>
    </row>
    <row r="314" spans="1:4">
      <c r="A314" s="45" t="s">
        <v>101</v>
      </c>
      <c r="B314" s="45" t="s">
        <v>366</v>
      </c>
      <c r="C314" s="45" t="s">
        <v>17</v>
      </c>
      <c r="D314" s="46">
        <v>2000000</v>
      </c>
    </row>
    <row r="315" spans="1:4">
      <c r="A315" s="43" t="s">
        <v>101</v>
      </c>
      <c r="B315" s="43" t="s">
        <v>367</v>
      </c>
      <c r="C315" s="43" t="s">
        <v>17</v>
      </c>
      <c r="D315" s="44">
        <v>2000000</v>
      </c>
    </row>
    <row r="316" spans="1:4">
      <c r="A316" s="45" t="s">
        <v>101</v>
      </c>
      <c r="B316" s="45" t="s">
        <v>368</v>
      </c>
      <c r="C316" s="45" t="s">
        <v>17</v>
      </c>
      <c r="D316" s="46">
        <v>2000000</v>
      </c>
    </row>
    <row r="317" spans="1:4">
      <c r="A317" s="43" t="s">
        <v>101</v>
      </c>
      <c r="B317" s="43" t="s">
        <v>369</v>
      </c>
      <c r="C317" s="43" t="s">
        <v>17</v>
      </c>
      <c r="D317" s="44">
        <v>2000000</v>
      </c>
    </row>
    <row r="318" spans="1:4">
      <c r="A318" s="45" t="s">
        <v>101</v>
      </c>
      <c r="B318" s="45" t="s">
        <v>370</v>
      </c>
      <c r="C318" s="45" t="s">
        <v>17</v>
      </c>
      <c r="D318" s="46">
        <v>2000000</v>
      </c>
    </row>
    <row r="319" spans="1:4">
      <c r="A319" s="43" t="s">
        <v>101</v>
      </c>
      <c r="B319" s="43" t="s">
        <v>371</v>
      </c>
      <c r="C319" s="43" t="s">
        <v>17</v>
      </c>
      <c r="D319" s="44">
        <v>2000000</v>
      </c>
    </row>
    <row r="320" spans="1:4">
      <c r="A320" s="45" t="s">
        <v>101</v>
      </c>
      <c r="B320" s="45" t="s">
        <v>372</v>
      </c>
      <c r="C320" s="45" t="s">
        <v>17</v>
      </c>
      <c r="D320" s="46">
        <v>2000000</v>
      </c>
    </row>
    <row r="321" spans="1:4">
      <c r="A321" s="43" t="s">
        <v>101</v>
      </c>
      <c r="B321" s="43" t="s">
        <v>373</v>
      </c>
      <c r="C321" s="43" t="s">
        <v>17</v>
      </c>
      <c r="D321" s="44">
        <v>2000000</v>
      </c>
    </row>
    <row r="322" spans="1:4">
      <c r="A322" s="45" t="s">
        <v>101</v>
      </c>
      <c r="B322" s="45" t="s">
        <v>374</v>
      </c>
      <c r="C322" s="45" t="s">
        <v>17</v>
      </c>
      <c r="D322" s="46">
        <v>1950000</v>
      </c>
    </row>
    <row r="323" spans="1:4">
      <c r="A323" s="43" t="s">
        <v>101</v>
      </c>
      <c r="B323" s="43" t="s">
        <v>375</v>
      </c>
      <c r="C323" s="43" t="s">
        <v>17</v>
      </c>
      <c r="D323" s="44">
        <v>1950000</v>
      </c>
    </row>
    <row r="324" spans="1:4">
      <c r="A324" s="45" t="s">
        <v>101</v>
      </c>
      <c r="B324" s="45" t="s">
        <v>376</v>
      </c>
      <c r="C324" s="45" t="s">
        <v>17</v>
      </c>
      <c r="D324" s="46">
        <v>1950000</v>
      </c>
    </row>
    <row r="325" spans="1:4">
      <c r="A325" s="43" t="s">
        <v>101</v>
      </c>
      <c r="B325" s="43" t="s">
        <v>377</v>
      </c>
      <c r="C325" s="43" t="s">
        <v>17</v>
      </c>
      <c r="D325" s="44">
        <v>1949700</v>
      </c>
    </row>
    <row r="326" spans="1:4">
      <c r="A326" s="45" t="s">
        <v>101</v>
      </c>
      <c r="B326" s="45" t="s">
        <v>378</v>
      </c>
      <c r="C326" s="45" t="s">
        <v>17</v>
      </c>
      <c r="D326" s="46">
        <v>1942400</v>
      </c>
    </row>
    <row r="327" spans="1:4">
      <c r="A327" s="43" t="s">
        <v>101</v>
      </c>
      <c r="B327" s="43" t="s">
        <v>379</v>
      </c>
      <c r="C327" s="43" t="s">
        <v>17</v>
      </c>
      <c r="D327" s="44">
        <v>1930000</v>
      </c>
    </row>
    <row r="328" spans="1:4">
      <c r="A328" s="45" t="s">
        <v>101</v>
      </c>
      <c r="B328" s="45" t="s">
        <v>380</v>
      </c>
      <c r="C328" s="45" t="s">
        <v>17</v>
      </c>
      <c r="D328" s="46">
        <v>1890000</v>
      </c>
    </row>
    <row r="329" spans="1:4">
      <c r="A329" s="43" t="s">
        <v>101</v>
      </c>
      <c r="B329" s="43" t="s">
        <v>381</v>
      </c>
      <c r="C329" s="43" t="s">
        <v>17</v>
      </c>
      <c r="D329" s="44">
        <v>1870000</v>
      </c>
    </row>
    <row r="330" spans="1:4">
      <c r="A330" s="45" t="s">
        <v>101</v>
      </c>
      <c r="B330" s="45" t="s">
        <v>382</v>
      </c>
      <c r="C330" s="45" t="s">
        <v>17</v>
      </c>
      <c r="D330" s="46">
        <v>1869000</v>
      </c>
    </row>
    <row r="331" spans="1:4">
      <c r="A331" s="43" t="s">
        <v>101</v>
      </c>
      <c r="B331" s="43" t="s">
        <v>383</v>
      </c>
      <c r="C331" s="43" t="s">
        <v>17</v>
      </c>
      <c r="D331" s="44">
        <v>1832400</v>
      </c>
    </row>
    <row r="332" spans="1:4">
      <c r="A332" s="45" t="s">
        <v>101</v>
      </c>
      <c r="B332" s="45" t="s">
        <v>384</v>
      </c>
      <c r="C332" s="45" t="s">
        <v>17</v>
      </c>
      <c r="D332" s="46">
        <v>1800000</v>
      </c>
    </row>
    <row r="333" spans="1:4">
      <c r="A333" s="43" t="s">
        <v>101</v>
      </c>
      <c r="B333" s="43" t="s">
        <v>385</v>
      </c>
      <c r="C333" s="43" t="s">
        <v>17</v>
      </c>
      <c r="D333" s="44">
        <v>1798560</v>
      </c>
    </row>
    <row r="334" spans="1:4">
      <c r="A334" s="45" t="s">
        <v>101</v>
      </c>
      <c r="B334" s="45" t="s">
        <v>386</v>
      </c>
      <c r="C334" s="45" t="s">
        <v>17</v>
      </c>
      <c r="D334" s="46">
        <v>1797800</v>
      </c>
    </row>
    <row r="335" spans="1:4">
      <c r="A335" s="43" t="s">
        <v>101</v>
      </c>
      <c r="B335" s="43" t="s">
        <v>387</v>
      </c>
      <c r="C335" s="43" t="s">
        <v>17</v>
      </c>
      <c r="D335" s="44">
        <v>1784700</v>
      </c>
    </row>
    <row r="336" spans="1:4">
      <c r="A336" s="45" t="s">
        <v>101</v>
      </c>
      <c r="B336" s="45" t="s">
        <v>388</v>
      </c>
      <c r="C336" s="45" t="s">
        <v>17</v>
      </c>
      <c r="D336" s="46">
        <v>1750000</v>
      </c>
    </row>
    <row r="337" spans="1:4">
      <c r="A337" s="43" t="s">
        <v>101</v>
      </c>
      <c r="B337" s="43" t="s">
        <v>389</v>
      </c>
      <c r="C337" s="43" t="s">
        <v>17</v>
      </c>
      <c r="D337" s="44">
        <v>1665000</v>
      </c>
    </row>
    <row r="338" spans="1:4">
      <c r="A338" s="45" t="s">
        <v>101</v>
      </c>
      <c r="B338" s="45" t="s">
        <v>390</v>
      </c>
      <c r="C338" s="45" t="s">
        <v>17</v>
      </c>
      <c r="D338" s="46">
        <v>1665000</v>
      </c>
    </row>
    <row r="339" spans="1:4">
      <c r="A339" s="43" t="s">
        <v>101</v>
      </c>
      <c r="B339" s="43" t="s">
        <v>391</v>
      </c>
      <c r="C339" s="43" t="s">
        <v>17</v>
      </c>
      <c r="D339" s="44">
        <v>1625000</v>
      </c>
    </row>
    <row r="340" spans="1:4">
      <c r="A340" s="45" t="s">
        <v>101</v>
      </c>
      <c r="B340" s="45" t="s">
        <v>392</v>
      </c>
      <c r="C340" s="45" t="s">
        <v>17</v>
      </c>
      <c r="D340" s="46">
        <v>1600000</v>
      </c>
    </row>
    <row r="341" spans="1:4">
      <c r="A341" s="43" t="s">
        <v>101</v>
      </c>
      <c r="B341" s="43" t="s">
        <v>393</v>
      </c>
      <c r="C341" s="43" t="s">
        <v>17</v>
      </c>
      <c r="D341" s="44">
        <v>1560000</v>
      </c>
    </row>
    <row r="342" spans="1:4">
      <c r="A342" s="45" t="s">
        <v>101</v>
      </c>
      <c r="B342" s="45" t="s">
        <v>394</v>
      </c>
      <c r="C342" s="45" t="s">
        <v>17</v>
      </c>
      <c r="D342" s="46">
        <v>1552000</v>
      </c>
    </row>
    <row r="343" spans="1:4">
      <c r="A343" s="43" t="s">
        <v>101</v>
      </c>
      <c r="B343" s="43" t="s">
        <v>395</v>
      </c>
      <c r="C343" s="43" t="s">
        <v>17</v>
      </c>
      <c r="D343" s="44">
        <v>1503000</v>
      </c>
    </row>
    <row r="344" spans="1:4">
      <c r="A344" s="45" t="s">
        <v>101</v>
      </c>
      <c r="B344" s="45" t="s">
        <v>396</v>
      </c>
      <c r="C344" s="45" t="s">
        <v>17</v>
      </c>
      <c r="D344" s="46">
        <v>1500000</v>
      </c>
    </row>
    <row r="345" spans="1:4">
      <c r="A345" s="43" t="s">
        <v>101</v>
      </c>
      <c r="B345" s="43" t="s">
        <v>397</v>
      </c>
      <c r="C345" s="43" t="s">
        <v>17</v>
      </c>
      <c r="D345" s="44">
        <v>1500000</v>
      </c>
    </row>
    <row r="346" spans="1:4">
      <c r="A346" s="45" t="s">
        <v>101</v>
      </c>
      <c r="B346" s="45" t="s">
        <v>398</v>
      </c>
      <c r="C346" s="45" t="s">
        <v>17</v>
      </c>
      <c r="D346" s="46">
        <v>1500000</v>
      </c>
    </row>
    <row r="347" spans="1:4">
      <c r="A347" s="43" t="s">
        <v>101</v>
      </c>
      <c r="B347" s="43" t="s">
        <v>399</v>
      </c>
      <c r="C347" s="43" t="s">
        <v>17</v>
      </c>
      <c r="D347" s="44">
        <v>1500000</v>
      </c>
    </row>
    <row r="348" spans="1:4">
      <c r="A348" s="45" t="s">
        <v>101</v>
      </c>
      <c r="B348" s="45" t="s">
        <v>400</v>
      </c>
      <c r="C348" s="45" t="s">
        <v>17</v>
      </c>
      <c r="D348" s="46">
        <v>1500000</v>
      </c>
    </row>
    <row r="349" spans="1:4">
      <c r="A349" s="43" t="s">
        <v>101</v>
      </c>
      <c r="B349" s="43" t="s">
        <v>401</v>
      </c>
      <c r="C349" s="43" t="s">
        <v>17</v>
      </c>
      <c r="D349" s="44">
        <v>1497300</v>
      </c>
    </row>
    <row r="350" spans="1:4">
      <c r="A350" s="45" t="s">
        <v>101</v>
      </c>
      <c r="B350" s="45" t="s">
        <v>402</v>
      </c>
      <c r="C350" s="45" t="s">
        <v>17</v>
      </c>
      <c r="D350" s="46">
        <v>1411800</v>
      </c>
    </row>
    <row r="351" spans="1:4">
      <c r="A351" s="43" t="s">
        <v>101</v>
      </c>
      <c r="B351" s="43" t="s">
        <v>403</v>
      </c>
      <c r="C351" s="43" t="s">
        <v>17</v>
      </c>
      <c r="D351" s="44">
        <v>1408000</v>
      </c>
    </row>
    <row r="352" spans="1:4">
      <c r="A352" s="45" t="s">
        <v>101</v>
      </c>
      <c r="B352" s="45" t="s">
        <v>404</v>
      </c>
      <c r="C352" s="45" t="s">
        <v>17</v>
      </c>
      <c r="D352" s="46">
        <v>1375650</v>
      </c>
    </row>
    <row r="353" spans="1:4">
      <c r="A353" s="43" t="s">
        <v>101</v>
      </c>
      <c r="B353" s="43" t="s">
        <v>405</v>
      </c>
      <c r="C353" s="43" t="s">
        <v>17</v>
      </c>
      <c r="D353" s="44">
        <v>1356000</v>
      </c>
    </row>
    <row r="354" spans="1:4">
      <c r="A354" s="45" t="s">
        <v>101</v>
      </c>
      <c r="B354" s="45" t="s">
        <v>406</v>
      </c>
      <c r="C354" s="45" t="s">
        <v>17</v>
      </c>
      <c r="D354" s="46">
        <v>1342500</v>
      </c>
    </row>
    <row r="355" spans="1:4">
      <c r="A355" s="43" t="s">
        <v>101</v>
      </c>
      <c r="B355" s="43" t="s">
        <v>407</v>
      </c>
      <c r="C355" s="43" t="s">
        <v>17</v>
      </c>
      <c r="D355" s="44">
        <v>1302000</v>
      </c>
    </row>
    <row r="356" spans="1:4">
      <c r="A356" s="45" t="s">
        <v>101</v>
      </c>
      <c r="B356" s="45" t="s">
        <v>408</v>
      </c>
      <c r="C356" s="45" t="s">
        <v>17</v>
      </c>
      <c r="D356" s="46">
        <v>1300000</v>
      </c>
    </row>
    <row r="357" spans="1:4">
      <c r="A357" s="43" t="s">
        <v>101</v>
      </c>
      <c r="B357" s="43" t="s">
        <v>409</v>
      </c>
      <c r="C357" s="43" t="s">
        <v>17</v>
      </c>
      <c r="D357" s="44">
        <v>1272000</v>
      </c>
    </row>
    <row r="358" spans="1:4">
      <c r="A358" s="45" t="s">
        <v>101</v>
      </c>
      <c r="B358" s="45" t="s">
        <v>410</v>
      </c>
      <c r="C358" s="45" t="s">
        <v>17</v>
      </c>
      <c r="D358" s="46">
        <v>1250000</v>
      </c>
    </row>
    <row r="359" spans="1:4">
      <c r="A359" s="43" t="s">
        <v>101</v>
      </c>
      <c r="B359" s="43" t="s">
        <v>411</v>
      </c>
      <c r="C359" s="43" t="s">
        <v>17</v>
      </c>
      <c r="D359" s="44">
        <v>1235200</v>
      </c>
    </row>
    <row r="360" spans="1:4">
      <c r="A360" s="45" t="s">
        <v>101</v>
      </c>
      <c r="B360" s="45" t="s">
        <v>412</v>
      </c>
      <c r="C360" s="45" t="s">
        <v>17</v>
      </c>
      <c r="D360" s="46">
        <v>1212900</v>
      </c>
    </row>
    <row r="361" spans="1:4">
      <c r="A361" s="43" t="s">
        <v>101</v>
      </c>
      <c r="B361" s="43" t="s">
        <v>413</v>
      </c>
      <c r="C361" s="43" t="s">
        <v>17</v>
      </c>
      <c r="D361" s="44">
        <v>1176000</v>
      </c>
    </row>
    <row r="362" spans="1:4">
      <c r="A362" s="45" t="s">
        <v>101</v>
      </c>
      <c r="B362" s="45" t="s">
        <v>414</v>
      </c>
      <c r="C362" s="45" t="s">
        <v>17</v>
      </c>
      <c r="D362" s="46">
        <v>1160000</v>
      </c>
    </row>
    <row r="363" spans="1:4">
      <c r="A363" s="43" t="s">
        <v>101</v>
      </c>
      <c r="B363" s="43" t="s">
        <v>489</v>
      </c>
      <c r="C363" s="43" t="s">
        <v>17</v>
      </c>
      <c r="D363" s="44">
        <v>1124509</v>
      </c>
    </row>
    <row r="364" spans="1:4">
      <c r="A364" s="45" t="s">
        <v>101</v>
      </c>
      <c r="B364" s="45" t="s">
        <v>415</v>
      </c>
      <c r="C364" s="45" t="s">
        <v>17</v>
      </c>
      <c r="D364" s="46">
        <v>1112925</v>
      </c>
    </row>
    <row r="365" spans="1:4">
      <c r="A365" s="43" t="s">
        <v>101</v>
      </c>
      <c r="B365" s="43" t="s">
        <v>416</v>
      </c>
      <c r="C365" s="43" t="s">
        <v>17</v>
      </c>
      <c r="D365" s="44">
        <v>1056000</v>
      </c>
    </row>
    <row r="366" spans="1:4">
      <c r="A366" s="45" t="s">
        <v>101</v>
      </c>
      <c r="B366" s="45" t="s">
        <v>417</v>
      </c>
      <c r="C366" s="45" t="s">
        <v>17</v>
      </c>
      <c r="D366" s="46">
        <v>1040000</v>
      </c>
    </row>
    <row r="367" spans="1:4">
      <c r="A367" s="43" t="s">
        <v>101</v>
      </c>
      <c r="B367" s="43" t="s">
        <v>418</v>
      </c>
      <c r="C367" s="43" t="s">
        <v>17</v>
      </c>
      <c r="D367" s="44">
        <v>1038000</v>
      </c>
    </row>
    <row r="368" spans="1:4">
      <c r="A368" s="45" t="s">
        <v>101</v>
      </c>
      <c r="B368" s="45" t="s">
        <v>419</v>
      </c>
      <c r="C368" s="45" t="s">
        <v>17</v>
      </c>
      <c r="D368" s="46">
        <v>1035850</v>
      </c>
    </row>
    <row r="369" spans="1:4">
      <c r="A369" s="43" t="s">
        <v>101</v>
      </c>
      <c r="B369" s="43" t="s">
        <v>490</v>
      </c>
      <c r="C369" s="43" t="s">
        <v>17</v>
      </c>
      <c r="D369" s="44">
        <v>1032851</v>
      </c>
    </row>
    <row r="370" spans="1:4">
      <c r="A370" s="45" t="s">
        <v>101</v>
      </c>
      <c r="B370" s="45" t="s">
        <v>420</v>
      </c>
      <c r="C370" s="45" t="s">
        <v>17</v>
      </c>
      <c r="D370" s="46">
        <v>1028700</v>
      </c>
    </row>
    <row r="371" spans="1:4">
      <c r="A371" s="43" t="s">
        <v>101</v>
      </c>
      <c r="B371" s="43" t="s">
        <v>421</v>
      </c>
      <c r="C371" s="43" t="s">
        <v>17</v>
      </c>
      <c r="D371" s="44">
        <v>1020000</v>
      </c>
    </row>
    <row r="372" spans="1:4">
      <c r="A372" s="45" t="s">
        <v>101</v>
      </c>
      <c r="B372" s="45" t="s">
        <v>422</v>
      </c>
      <c r="C372" s="45" t="s">
        <v>17</v>
      </c>
      <c r="D372" s="46">
        <v>1003500</v>
      </c>
    </row>
    <row r="373" spans="1:4">
      <c r="A373" s="43" t="s">
        <v>101</v>
      </c>
      <c r="B373" s="43" t="s">
        <v>423</v>
      </c>
      <c r="C373" s="43" t="s">
        <v>17</v>
      </c>
      <c r="D373" s="44">
        <v>1000000</v>
      </c>
    </row>
    <row r="374" spans="1:4">
      <c r="A374" s="45" t="s">
        <v>101</v>
      </c>
      <c r="B374" s="45" t="s">
        <v>424</v>
      </c>
      <c r="C374" s="45" t="s">
        <v>17</v>
      </c>
      <c r="D374" s="46">
        <v>1000000</v>
      </c>
    </row>
    <row r="375" spans="1:4">
      <c r="A375" s="43" t="s">
        <v>101</v>
      </c>
      <c r="B375" s="43" t="s">
        <v>425</v>
      </c>
      <c r="C375" s="43" t="s">
        <v>17</v>
      </c>
      <c r="D375" s="44">
        <v>1000000</v>
      </c>
    </row>
    <row r="376" spans="1:4">
      <c r="A376" s="45" t="s">
        <v>101</v>
      </c>
      <c r="B376" s="45" t="s">
        <v>426</v>
      </c>
      <c r="C376" s="45" t="s">
        <v>17</v>
      </c>
      <c r="D376" s="46">
        <v>1000000</v>
      </c>
    </row>
    <row r="377" spans="1:4">
      <c r="A377" s="43" t="s">
        <v>101</v>
      </c>
      <c r="B377" s="43" t="s">
        <v>427</v>
      </c>
      <c r="C377" s="43" t="s">
        <v>17</v>
      </c>
      <c r="D377" s="44">
        <v>1000000</v>
      </c>
    </row>
    <row r="378" spans="1:4">
      <c r="A378" s="45" t="s">
        <v>101</v>
      </c>
      <c r="B378" s="45" t="s">
        <v>428</v>
      </c>
      <c r="C378" s="45" t="s">
        <v>17</v>
      </c>
      <c r="D378" s="46">
        <v>1000000</v>
      </c>
    </row>
    <row r="379" spans="1:4">
      <c r="A379" s="43" t="s">
        <v>101</v>
      </c>
      <c r="B379" s="43" t="s">
        <v>429</v>
      </c>
      <c r="C379" s="43" t="s">
        <v>17</v>
      </c>
      <c r="D379" s="44">
        <v>1000000</v>
      </c>
    </row>
    <row r="380" spans="1:4">
      <c r="A380" s="45" t="s">
        <v>101</v>
      </c>
      <c r="B380" s="45" t="s">
        <v>430</v>
      </c>
      <c r="C380" s="45" t="s">
        <v>17</v>
      </c>
      <c r="D380" s="46">
        <v>1000000</v>
      </c>
    </row>
    <row r="381" spans="1:4">
      <c r="A381" s="43" t="s">
        <v>101</v>
      </c>
      <c r="B381" s="43" t="s">
        <v>431</v>
      </c>
      <c r="C381" s="43" t="s">
        <v>17</v>
      </c>
      <c r="D381" s="44">
        <v>1000000</v>
      </c>
    </row>
    <row r="382" spans="1:4">
      <c r="A382" s="45" t="s">
        <v>101</v>
      </c>
      <c r="B382" s="45" t="s">
        <v>432</v>
      </c>
      <c r="C382" s="45" t="s">
        <v>17</v>
      </c>
      <c r="D382" s="46">
        <v>1000000</v>
      </c>
    </row>
    <row r="383" spans="1:4">
      <c r="A383" s="43" t="s">
        <v>101</v>
      </c>
      <c r="B383" s="43" t="s">
        <v>433</v>
      </c>
      <c r="C383" s="43" t="s">
        <v>17</v>
      </c>
      <c r="D383" s="44">
        <v>1000000</v>
      </c>
    </row>
    <row r="384" spans="1:4">
      <c r="A384" s="45" t="s">
        <v>101</v>
      </c>
      <c r="B384" s="45" t="s">
        <v>434</v>
      </c>
      <c r="C384" s="45" t="s">
        <v>17</v>
      </c>
      <c r="D384" s="46">
        <v>1000000</v>
      </c>
    </row>
    <row r="385" spans="1:4">
      <c r="A385" s="43" t="s">
        <v>101</v>
      </c>
      <c r="B385" s="43" t="s">
        <v>435</v>
      </c>
      <c r="C385" s="43" t="s">
        <v>17</v>
      </c>
      <c r="D385" s="44">
        <v>1000000</v>
      </c>
    </row>
    <row r="386" spans="1:4">
      <c r="A386" s="45" t="s">
        <v>101</v>
      </c>
      <c r="B386" s="45" t="s">
        <v>436</v>
      </c>
      <c r="C386" s="45" t="s">
        <v>17</v>
      </c>
      <c r="D386" s="46">
        <v>1000000</v>
      </c>
    </row>
    <row r="387" spans="1:4">
      <c r="A387" s="43" t="s">
        <v>101</v>
      </c>
      <c r="B387" s="43" t="s">
        <v>437</v>
      </c>
      <c r="C387" s="43" t="s">
        <v>17</v>
      </c>
      <c r="D387" s="44">
        <v>1000000</v>
      </c>
    </row>
    <row r="388" spans="1:4">
      <c r="A388" s="45" t="s">
        <v>101</v>
      </c>
      <c r="B388" s="45" t="s">
        <v>438</v>
      </c>
      <c r="C388" s="45" t="s">
        <v>17</v>
      </c>
      <c r="D388" s="46">
        <v>1000000</v>
      </c>
    </row>
    <row r="389" spans="1:4">
      <c r="A389" s="43" t="s">
        <v>101</v>
      </c>
      <c r="B389" s="43" t="s">
        <v>439</v>
      </c>
      <c r="C389" s="43" t="s">
        <v>17</v>
      </c>
      <c r="D389" s="44">
        <v>1000000</v>
      </c>
    </row>
    <row r="390" spans="1:4">
      <c r="A390" s="45" t="s">
        <v>101</v>
      </c>
      <c r="B390" s="45" t="s">
        <v>440</v>
      </c>
      <c r="C390" s="45" t="s">
        <v>17</v>
      </c>
      <c r="D390" s="46">
        <v>1000000</v>
      </c>
    </row>
    <row r="391" spans="1:4">
      <c r="A391" s="43" t="s">
        <v>101</v>
      </c>
      <c r="B391" s="43" t="s">
        <v>441</v>
      </c>
      <c r="C391" s="43" t="s">
        <v>17</v>
      </c>
      <c r="D391" s="44">
        <v>1000000</v>
      </c>
    </row>
    <row r="392" spans="1:4">
      <c r="A392" s="45" t="s">
        <v>101</v>
      </c>
      <c r="B392" s="45" t="s">
        <v>442</v>
      </c>
      <c r="C392" s="45" t="s">
        <v>17</v>
      </c>
      <c r="D392" s="46">
        <v>1000000</v>
      </c>
    </row>
    <row r="393" spans="1:4">
      <c r="A393" s="43" t="s">
        <v>101</v>
      </c>
      <c r="B393" s="43" t="s">
        <v>443</v>
      </c>
      <c r="C393" s="43" t="s">
        <v>17</v>
      </c>
      <c r="D393" s="44">
        <v>1000000</v>
      </c>
    </row>
    <row r="394" spans="1:4">
      <c r="A394" s="45" t="s">
        <v>101</v>
      </c>
      <c r="B394" s="45" t="s">
        <v>444</v>
      </c>
      <c r="C394" s="45" t="s">
        <v>17</v>
      </c>
      <c r="D394" s="46">
        <v>1000000</v>
      </c>
    </row>
    <row r="395" spans="1:4">
      <c r="A395" s="43" t="s">
        <v>101</v>
      </c>
      <c r="B395" s="43" t="s">
        <v>445</v>
      </c>
      <c r="C395" s="43" t="s">
        <v>17</v>
      </c>
      <c r="D395" s="44">
        <v>1000000</v>
      </c>
    </row>
    <row r="396" spans="1:4">
      <c r="A396" s="45" t="s">
        <v>101</v>
      </c>
      <c r="B396" s="45" t="s">
        <v>446</v>
      </c>
      <c r="C396" s="45" t="s">
        <v>17</v>
      </c>
      <c r="D396" s="46">
        <v>1000000</v>
      </c>
    </row>
    <row r="397" spans="1:4">
      <c r="A397" s="43" t="s">
        <v>101</v>
      </c>
      <c r="B397" s="43" t="s">
        <v>447</v>
      </c>
      <c r="C397" s="43" t="s">
        <v>17</v>
      </c>
      <c r="D397" s="44">
        <v>1000000</v>
      </c>
    </row>
    <row r="398" spans="1:4">
      <c r="A398" s="45" t="s">
        <v>101</v>
      </c>
      <c r="B398" s="45" t="s">
        <v>448</v>
      </c>
      <c r="C398" s="45" t="s">
        <v>17</v>
      </c>
      <c r="D398" s="46">
        <v>1000000</v>
      </c>
    </row>
    <row r="399" spans="1:4">
      <c r="A399" s="43" t="s">
        <v>101</v>
      </c>
      <c r="B399" s="43" t="s">
        <v>449</v>
      </c>
      <c r="C399" s="43" t="s">
        <v>17</v>
      </c>
      <c r="D399" s="44">
        <v>1000000</v>
      </c>
    </row>
    <row r="400" spans="1:4">
      <c r="A400" s="45" t="s">
        <v>101</v>
      </c>
      <c r="B400" s="45" t="s">
        <v>450</v>
      </c>
      <c r="C400" s="45" t="s">
        <v>17</v>
      </c>
      <c r="D400" s="46">
        <v>1000000</v>
      </c>
    </row>
    <row r="401" spans="1:4">
      <c r="A401" s="43" t="s">
        <v>101</v>
      </c>
      <c r="B401" s="43" t="s">
        <v>451</v>
      </c>
      <c r="C401" s="43" t="s">
        <v>17</v>
      </c>
      <c r="D401" s="44">
        <v>1000000</v>
      </c>
    </row>
    <row r="402" spans="1:4">
      <c r="A402" s="45" t="s">
        <v>101</v>
      </c>
      <c r="B402" s="45" t="s">
        <v>452</v>
      </c>
      <c r="C402" s="45" t="s">
        <v>17</v>
      </c>
      <c r="D402" s="46">
        <v>1000000</v>
      </c>
    </row>
    <row r="403" spans="1:4">
      <c r="A403" s="43" t="s">
        <v>101</v>
      </c>
      <c r="B403" s="43" t="s">
        <v>453</v>
      </c>
      <c r="C403" s="43" t="s">
        <v>17</v>
      </c>
      <c r="D403" s="44">
        <v>1000000</v>
      </c>
    </row>
    <row r="404" spans="1:4">
      <c r="A404" s="45" t="s">
        <v>101</v>
      </c>
      <c r="B404" s="45" t="s">
        <v>454</v>
      </c>
      <c r="C404" s="45" t="s">
        <v>17</v>
      </c>
      <c r="D404" s="46">
        <v>1000000</v>
      </c>
    </row>
    <row r="405" spans="1:4">
      <c r="A405" s="43" t="s">
        <v>101</v>
      </c>
      <c r="B405" s="43" t="s">
        <v>455</v>
      </c>
      <c r="C405" s="43" t="s">
        <v>17</v>
      </c>
      <c r="D405" s="44">
        <v>1000000</v>
      </c>
    </row>
    <row r="406" spans="1:4">
      <c r="A406" s="45" t="s">
        <v>101</v>
      </c>
      <c r="B406" s="45" t="s">
        <v>456</v>
      </c>
      <c r="C406" s="45" t="s">
        <v>17</v>
      </c>
      <c r="D406" s="46">
        <v>1000000</v>
      </c>
    </row>
    <row r="407" spans="1:4">
      <c r="A407" s="43" t="s">
        <v>101</v>
      </c>
      <c r="B407" s="43" t="s">
        <v>457</v>
      </c>
      <c r="C407" s="43" t="s">
        <v>17</v>
      </c>
      <c r="D407" s="44">
        <v>1000000</v>
      </c>
    </row>
    <row r="408" spans="1:4">
      <c r="A408" s="45" t="s">
        <v>101</v>
      </c>
      <c r="B408" s="45" t="s">
        <v>458</v>
      </c>
      <c r="C408" s="45" t="s">
        <v>17</v>
      </c>
      <c r="D408" s="46">
        <v>1000000</v>
      </c>
    </row>
    <row r="409" spans="1:4">
      <c r="A409" s="43" t="s">
        <v>101</v>
      </c>
      <c r="B409" s="43" t="s">
        <v>459</v>
      </c>
      <c r="C409" s="43" t="s">
        <v>17</v>
      </c>
      <c r="D409" s="44">
        <v>1000000</v>
      </c>
    </row>
    <row r="410" spans="1:4">
      <c r="A410" s="45" t="s">
        <v>101</v>
      </c>
      <c r="B410" s="45" t="s">
        <v>460</v>
      </c>
      <c r="C410" s="45" t="s">
        <v>17</v>
      </c>
      <c r="D410" s="46">
        <v>1000000</v>
      </c>
    </row>
    <row r="411" spans="1:4">
      <c r="A411" s="43" t="s">
        <v>101</v>
      </c>
      <c r="B411" s="43" t="s">
        <v>461</v>
      </c>
      <c r="C411" s="43" t="s">
        <v>17</v>
      </c>
      <c r="D411" s="44">
        <v>1000000</v>
      </c>
    </row>
    <row r="412" spans="1:4">
      <c r="A412" s="45" t="s">
        <v>101</v>
      </c>
      <c r="B412" s="45" t="s">
        <v>462</v>
      </c>
      <c r="C412" s="45" t="s">
        <v>17</v>
      </c>
      <c r="D412" s="46">
        <v>1000000</v>
      </c>
    </row>
    <row r="413" spans="1:4">
      <c r="A413" s="43" t="s">
        <v>101</v>
      </c>
      <c r="B413" s="43" t="s">
        <v>491</v>
      </c>
      <c r="C413" s="43" t="s">
        <v>17</v>
      </c>
      <c r="D413" s="44">
        <v>623972</v>
      </c>
    </row>
    <row r="414" spans="1:4">
      <c r="A414" s="45" t="s">
        <v>101</v>
      </c>
      <c r="B414" s="45" t="s">
        <v>492</v>
      </c>
      <c r="C414" s="45" t="s">
        <v>17</v>
      </c>
      <c r="D414" s="46">
        <v>575414</v>
      </c>
    </row>
    <row r="415" spans="1:4">
      <c r="A415" s="43" t="s">
        <v>101</v>
      </c>
      <c r="B415" s="43" t="s">
        <v>493</v>
      </c>
      <c r="C415" s="43" t="s">
        <v>17</v>
      </c>
      <c r="D415" s="44">
        <v>1890</v>
      </c>
    </row>
    <row r="416" spans="1:4" ht="13.5" thickBot="1"/>
    <row r="417" spans="3:4" ht="14" thickTop="1" thickBot="1">
      <c r="C417" s="47" t="s">
        <v>464</v>
      </c>
      <c r="D417" s="40">
        <f>SUM(D5:D416)</f>
        <v>455993878373.46997</v>
      </c>
    </row>
    <row r="418" spans="3:4" ht="13.5" thickTop="1"/>
  </sheetData>
  <hyperlinks>
    <hyperlink ref="A1" location="Sommaire!A1" display="Sommaire!A1" xr:uid="{D0AFBB16-A5F3-44D9-97A1-19F52CA725F4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60359-6717-47E7-9CA4-54B4B894EEA3}">
  <sheetPr>
    <tabColor rgb="FF00B050"/>
  </sheetPr>
  <dimension ref="A1:C54"/>
  <sheetViews>
    <sheetView workbookViewId="0">
      <selection activeCell="B21" sqref="B21"/>
    </sheetView>
  </sheetViews>
  <sheetFormatPr baseColWidth="10" defaultColWidth="12" defaultRowHeight="13"/>
  <cols>
    <col min="1" max="1" width="63.36328125" style="41" bestFit="1" customWidth="1"/>
    <col min="2" max="2" width="25.90625" style="41" bestFit="1" customWidth="1"/>
    <col min="3" max="3" width="20.81640625" style="41" bestFit="1" customWidth="1"/>
    <col min="4" max="16384" width="12" style="41"/>
  </cols>
  <sheetData>
    <row r="1" spans="1:3" ht="14.5">
      <c r="A1" s="21" t="s">
        <v>0</v>
      </c>
    </row>
    <row r="2" spans="1:3" s="49" customFormat="1" ht="21">
      <c r="A2" s="48" t="s">
        <v>494</v>
      </c>
    </row>
    <row r="4" spans="1:3" ht="24" customHeight="1" thickBot="1">
      <c r="A4" s="25" t="s">
        <v>466</v>
      </c>
      <c r="B4" s="25" t="s">
        <v>467</v>
      </c>
      <c r="C4" s="25" t="s">
        <v>100</v>
      </c>
    </row>
    <row r="5" spans="1:3">
      <c r="A5" s="43" t="s">
        <v>18</v>
      </c>
      <c r="B5" s="43" t="s">
        <v>19</v>
      </c>
      <c r="C5" s="44">
        <v>61217446304</v>
      </c>
    </row>
    <row r="6" spans="1:3">
      <c r="A6" s="45" t="s">
        <v>51</v>
      </c>
      <c r="B6" s="45" t="s">
        <v>19</v>
      </c>
      <c r="C6" s="46">
        <v>60913570868</v>
      </c>
    </row>
    <row r="7" spans="1:3">
      <c r="A7" s="43" t="s">
        <v>32</v>
      </c>
      <c r="B7" s="43" t="s">
        <v>19</v>
      </c>
      <c r="C7" s="44">
        <v>50512842008</v>
      </c>
    </row>
    <row r="8" spans="1:3">
      <c r="A8" s="45" t="s">
        <v>26</v>
      </c>
      <c r="B8" s="45" t="s">
        <v>27</v>
      </c>
      <c r="C8" s="46">
        <v>35048457746</v>
      </c>
    </row>
    <row r="9" spans="1:3">
      <c r="A9" s="43" t="s">
        <v>56</v>
      </c>
      <c r="B9" s="43" t="s">
        <v>37</v>
      </c>
      <c r="C9" s="44">
        <v>31440374364</v>
      </c>
    </row>
    <row r="10" spans="1:3">
      <c r="A10" s="45" t="s">
        <v>40</v>
      </c>
      <c r="B10" s="45" t="s">
        <v>37</v>
      </c>
      <c r="C10" s="46">
        <v>30620366135.291573</v>
      </c>
    </row>
    <row r="11" spans="1:3">
      <c r="A11" s="43" t="s">
        <v>36</v>
      </c>
      <c r="B11" s="43" t="s">
        <v>37</v>
      </c>
      <c r="C11" s="44">
        <v>28507711200.191364</v>
      </c>
    </row>
    <row r="12" spans="1:3">
      <c r="A12" s="45" t="s">
        <v>49</v>
      </c>
      <c r="B12" s="45" t="s">
        <v>30</v>
      </c>
      <c r="C12" s="46">
        <v>21518941010</v>
      </c>
    </row>
    <row r="13" spans="1:3">
      <c r="A13" s="43" t="s">
        <v>34</v>
      </c>
      <c r="B13" s="43" t="s">
        <v>19</v>
      </c>
      <c r="C13" s="44">
        <v>20936679954</v>
      </c>
    </row>
    <row r="14" spans="1:3">
      <c r="A14" s="45" t="s">
        <v>54</v>
      </c>
      <c r="B14" s="45" t="s">
        <v>19</v>
      </c>
      <c r="C14" s="46">
        <v>19360480908</v>
      </c>
    </row>
    <row r="15" spans="1:3">
      <c r="A15" s="43" t="s">
        <v>53</v>
      </c>
      <c r="B15" s="43" t="s">
        <v>19</v>
      </c>
      <c r="C15" s="44">
        <v>16154405662</v>
      </c>
    </row>
    <row r="16" spans="1:3">
      <c r="A16" s="45" t="s">
        <v>52</v>
      </c>
      <c r="B16" s="45" t="s">
        <v>19</v>
      </c>
      <c r="C16" s="46">
        <v>16090606460</v>
      </c>
    </row>
    <row r="17" spans="1:3">
      <c r="A17" s="43" t="s">
        <v>50</v>
      </c>
      <c r="B17" s="43" t="s">
        <v>19</v>
      </c>
      <c r="C17" s="44">
        <v>12923060931</v>
      </c>
    </row>
    <row r="18" spans="1:3">
      <c r="A18" s="45" t="s">
        <v>35</v>
      </c>
      <c r="B18" s="45" t="s">
        <v>19</v>
      </c>
      <c r="C18" s="46">
        <v>8555208488</v>
      </c>
    </row>
    <row r="19" spans="1:3">
      <c r="A19" s="43" t="s">
        <v>29</v>
      </c>
      <c r="B19" s="43" t="s">
        <v>30</v>
      </c>
      <c r="C19" s="44">
        <v>7547318704</v>
      </c>
    </row>
    <row r="20" spans="1:3">
      <c r="A20" s="45" t="s">
        <v>23</v>
      </c>
      <c r="B20" s="45" t="s">
        <v>24</v>
      </c>
      <c r="C20" s="46">
        <v>5806190872</v>
      </c>
    </row>
    <row r="21" spans="1:3">
      <c r="A21" s="43" t="s">
        <v>495</v>
      </c>
      <c r="B21" s="43" t="s">
        <v>496</v>
      </c>
      <c r="C21" s="44">
        <v>3684992864.7239351</v>
      </c>
    </row>
    <row r="22" spans="1:3">
      <c r="A22" s="45" t="s">
        <v>469</v>
      </c>
      <c r="B22" s="45" t="s">
        <v>27</v>
      </c>
      <c r="C22" s="46">
        <v>3594327572</v>
      </c>
    </row>
    <row r="23" spans="1:3">
      <c r="A23" s="43" t="s">
        <v>497</v>
      </c>
      <c r="B23" s="43" t="s">
        <v>498</v>
      </c>
      <c r="C23" s="44">
        <v>2978904415</v>
      </c>
    </row>
    <row r="24" spans="1:3">
      <c r="A24" s="45" t="s">
        <v>66</v>
      </c>
      <c r="B24" s="45" t="s">
        <v>30</v>
      </c>
      <c r="C24" s="46">
        <v>2886270378</v>
      </c>
    </row>
    <row r="25" spans="1:3">
      <c r="A25" s="43" t="s">
        <v>33</v>
      </c>
      <c r="B25" s="43" t="s">
        <v>19</v>
      </c>
      <c r="C25" s="44">
        <v>1956145798</v>
      </c>
    </row>
    <row r="26" spans="1:3">
      <c r="A26" s="45" t="s">
        <v>499</v>
      </c>
      <c r="B26" s="45" t="s">
        <v>500</v>
      </c>
      <c r="C26" s="46">
        <v>1948622303.7460003</v>
      </c>
    </row>
    <row r="27" spans="1:3">
      <c r="A27" s="43" t="s">
        <v>44</v>
      </c>
      <c r="B27" s="43" t="s">
        <v>45</v>
      </c>
      <c r="C27" s="44">
        <v>1534772384</v>
      </c>
    </row>
    <row r="28" spans="1:3">
      <c r="A28" s="45" t="s">
        <v>39</v>
      </c>
      <c r="B28" s="45" t="s">
        <v>37</v>
      </c>
      <c r="C28" s="46">
        <v>1500693312.9278302</v>
      </c>
    </row>
    <row r="29" spans="1:3">
      <c r="A29" s="43" t="s">
        <v>28</v>
      </c>
      <c r="B29" s="43" t="s">
        <v>27</v>
      </c>
      <c r="C29" s="44">
        <v>1334165328</v>
      </c>
    </row>
    <row r="30" spans="1:3">
      <c r="A30" s="45" t="s">
        <v>38</v>
      </c>
      <c r="B30" s="45" t="s">
        <v>37</v>
      </c>
      <c r="C30" s="46">
        <v>1199932134.233005</v>
      </c>
    </row>
    <row r="31" spans="1:3">
      <c r="A31" s="43" t="s">
        <v>21</v>
      </c>
      <c r="B31" s="43" t="s">
        <v>22</v>
      </c>
      <c r="C31" s="44">
        <v>1084276706</v>
      </c>
    </row>
    <row r="32" spans="1:3">
      <c r="A32" s="45" t="s">
        <v>43</v>
      </c>
      <c r="B32" s="45" t="s">
        <v>37</v>
      </c>
      <c r="C32" s="46">
        <v>1012222721.5286903</v>
      </c>
    </row>
    <row r="33" spans="1:3">
      <c r="A33" s="43" t="s">
        <v>20</v>
      </c>
      <c r="B33" s="43" t="s">
        <v>19</v>
      </c>
      <c r="C33" s="44">
        <v>758279307</v>
      </c>
    </row>
    <row r="34" spans="1:3">
      <c r="A34" s="45" t="s">
        <v>41</v>
      </c>
      <c r="B34" s="45" t="s">
        <v>37</v>
      </c>
      <c r="C34" s="46">
        <v>747467773.26699245</v>
      </c>
    </row>
    <row r="35" spans="1:3">
      <c r="A35" s="43" t="s">
        <v>81</v>
      </c>
      <c r="B35" s="43" t="s">
        <v>19</v>
      </c>
      <c r="C35" s="44">
        <v>627868367</v>
      </c>
    </row>
    <row r="36" spans="1:3">
      <c r="A36" s="45" t="s">
        <v>57</v>
      </c>
      <c r="B36" s="45" t="s">
        <v>58</v>
      </c>
      <c r="C36" s="46">
        <v>478542030</v>
      </c>
    </row>
    <row r="37" spans="1:3">
      <c r="A37" s="43" t="s">
        <v>48</v>
      </c>
      <c r="B37" s="43" t="s">
        <v>27</v>
      </c>
      <c r="C37" s="44">
        <v>383238345</v>
      </c>
    </row>
    <row r="38" spans="1:3">
      <c r="A38" s="45" t="s">
        <v>42</v>
      </c>
      <c r="B38" s="45" t="s">
        <v>37</v>
      </c>
      <c r="C38" s="46">
        <v>347747036.56054592</v>
      </c>
    </row>
    <row r="39" spans="1:3">
      <c r="A39" s="43" t="s">
        <v>470</v>
      </c>
      <c r="B39" s="43" t="s">
        <v>89</v>
      </c>
      <c r="C39" s="44">
        <v>178000000</v>
      </c>
    </row>
    <row r="40" spans="1:3">
      <c r="A40" s="45" t="s">
        <v>31</v>
      </c>
      <c r="B40" s="45" t="s">
        <v>30</v>
      </c>
      <c r="C40" s="46">
        <v>164061264</v>
      </c>
    </row>
    <row r="41" spans="1:3">
      <c r="A41" s="43" t="s">
        <v>55</v>
      </c>
      <c r="B41" s="43" t="s">
        <v>37</v>
      </c>
      <c r="C41" s="44">
        <v>142042530</v>
      </c>
    </row>
    <row r="42" spans="1:3">
      <c r="A42" s="45" t="s">
        <v>470</v>
      </c>
      <c r="B42" s="45" t="s">
        <v>19</v>
      </c>
      <c r="C42" s="46">
        <v>100323282</v>
      </c>
    </row>
    <row r="43" spans="1:3">
      <c r="A43" s="43" t="s">
        <v>470</v>
      </c>
      <c r="B43" s="43" t="s">
        <v>37</v>
      </c>
      <c r="C43" s="44">
        <v>83547232</v>
      </c>
    </row>
    <row r="44" spans="1:3">
      <c r="A44" s="45" t="s">
        <v>64</v>
      </c>
      <c r="B44" s="45" t="s">
        <v>19</v>
      </c>
      <c r="C44" s="46">
        <v>34053586</v>
      </c>
    </row>
    <row r="45" spans="1:3">
      <c r="A45" s="43" t="s">
        <v>62</v>
      </c>
      <c r="B45" s="43" t="s">
        <v>45</v>
      </c>
      <c r="C45" s="44">
        <v>31456000</v>
      </c>
    </row>
    <row r="46" spans="1:3">
      <c r="A46" s="45" t="s">
        <v>47</v>
      </c>
      <c r="B46" s="45" t="s">
        <v>27</v>
      </c>
      <c r="C46" s="46">
        <v>18186790</v>
      </c>
    </row>
    <row r="47" spans="1:3">
      <c r="A47" s="43" t="s">
        <v>74</v>
      </c>
      <c r="B47" s="43" t="s">
        <v>58</v>
      </c>
      <c r="C47" s="44">
        <v>15000000</v>
      </c>
    </row>
    <row r="48" spans="1:3">
      <c r="A48" s="45" t="s">
        <v>76</v>
      </c>
      <c r="B48" s="45" t="s">
        <v>19</v>
      </c>
      <c r="C48" s="46">
        <v>6166667</v>
      </c>
    </row>
    <row r="49" spans="1:3">
      <c r="A49" s="43" t="s">
        <v>70</v>
      </c>
      <c r="B49" s="43" t="s">
        <v>45</v>
      </c>
      <c r="C49" s="44">
        <v>4128000</v>
      </c>
    </row>
    <row r="50" spans="1:3">
      <c r="A50" s="45" t="s">
        <v>471</v>
      </c>
      <c r="B50" s="45" t="s">
        <v>19</v>
      </c>
      <c r="C50" s="46">
        <v>2967786</v>
      </c>
    </row>
    <row r="51" spans="1:3">
      <c r="A51" s="43" t="s">
        <v>470</v>
      </c>
      <c r="B51" s="43" t="s">
        <v>30</v>
      </c>
      <c r="C51" s="44">
        <v>1500000</v>
      </c>
    </row>
    <row r="52" spans="1:3" ht="13.5" thickBot="1">
      <c r="A52" s="41" t="s">
        <v>472</v>
      </c>
      <c r="B52" s="41" t="s">
        <v>19</v>
      </c>
      <c r="C52" s="46">
        <v>314845</v>
      </c>
    </row>
    <row r="53" spans="1:3" ht="14" thickTop="1" thickBot="1">
      <c r="A53" s="39" t="s">
        <v>464</v>
      </c>
      <c r="B53" s="39"/>
      <c r="C53" s="40">
        <f>SUM(C5:C52)</f>
        <v>455993878373.46991</v>
      </c>
    </row>
    <row r="54" spans="1:3" ht="13.5" thickTop="1"/>
  </sheetData>
  <mergeCells count="1">
    <mergeCell ref="A53:B53"/>
  </mergeCells>
  <hyperlinks>
    <hyperlink ref="A1" location="Sommaire!A1" display="Sommaire!A1" xr:uid="{BBA21883-AFFE-4C8E-9F0C-1A67A886E35E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24AE6-9DA3-4B6F-83D3-2801537D8FF5}">
  <sheetPr>
    <tabColor rgb="FF00B050"/>
  </sheetPr>
  <dimension ref="A1:E525"/>
  <sheetViews>
    <sheetView topLeftCell="A499" zoomScale="58" workbookViewId="0">
      <selection activeCell="B21" sqref="B21"/>
    </sheetView>
  </sheetViews>
  <sheetFormatPr baseColWidth="10" defaultColWidth="12" defaultRowHeight="13"/>
  <cols>
    <col min="1" max="1" width="87" style="22" bestFit="1" customWidth="1"/>
    <col min="2" max="2" width="74.54296875" style="22" bestFit="1" customWidth="1"/>
    <col min="3" max="3" width="25.453125" style="22" bestFit="1" customWidth="1"/>
    <col min="4" max="4" width="7.1796875" style="22" bestFit="1" customWidth="1"/>
    <col min="5" max="5" width="19.6328125" style="33" bestFit="1" customWidth="1"/>
    <col min="6" max="16384" width="12" style="22"/>
  </cols>
  <sheetData>
    <row r="1" spans="1:5" ht="14.5">
      <c r="A1" s="21" t="s">
        <v>0</v>
      </c>
    </row>
    <row r="2" spans="1:5" s="24" customFormat="1" ht="21">
      <c r="A2" s="23" t="s">
        <v>501</v>
      </c>
      <c r="E2" s="34"/>
    </row>
    <row r="4" spans="1:5" ht="13.5" thickBot="1">
      <c r="A4" s="50" t="s">
        <v>99</v>
      </c>
      <c r="B4" s="50" t="s">
        <v>466</v>
      </c>
      <c r="C4" s="50" t="s">
        <v>6</v>
      </c>
      <c r="D4" s="50" t="s">
        <v>467</v>
      </c>
      <c r="E4" s="51" t="s">
        <v>100</v>
      </c>
    </row>
    <row r="5" spans="1:5">
      <c r="A5" s="43" t="s">
        <v>102</v>
      </c>
      <c r="B5" s="43" t="s">
        <v>53</v>
      </c>
      <c r="C5" s="43" t="s">
        <v>85</v>
      </c>
      <c r="D5" s="43" t="s">
        <v>19</v>
      </c>
      <c r="E5" s="52">
        <v>8468252298</v>
      </c>
    </row>
    <row r="6" spans="1:5">
      <c r="A6" s="45" t="s">
        <v>102</v>
      </c>
      <c r="B6" s="45" t="s">
        <v>18</v>
      </c>
      <c r="C6" s="45" t="s">
        <v>85</v>
      </c>
      <c r="D6" s="45" t="s">
        <v>19</v>
      </c>
      <c r="E6" s="53">
        <v>6351189699</v>
      </c>
    </row>
    <row r="7" spans="1:5">
      <c r="A7" s="43" t="s">
        <v>102</v>
      </c>
      <c r="B7" s="43" t="s">
        <v>50</v>
      </c>
      <c r="C7" s="43" t="s">
        <v>85</v>
      </c>
      <c r="D7" s="43" t="s">
        <v>19</v>
      </c>
      <c r="E7" s="52">
        <v>3969017727</v>
      </c>
    </row>
    <row r="8" spans="1:5">
      <c r="A8" s="45" t="s">
        <v>106</v>
      </c>
      <c r="B8" s="45" t="s">
        <v>66</v>
      </c>
      <c r="C8" s="45" t="s">
        <v>85</v>
      </c>
      <c r="D8" s="45" t="s">
        <v>30</v>
      </c>
      <c r="E8" s="53">
        <v>125840252</v>
      </c>
    </row>
    <row r="9" spans="1:5">
      <c r="A9" s="43" t="s">
        <v>474</v>
      </c>
      <c r="B9" s="43" t="s">
        <v>23</v>
      </c>
      <c r="C9" s="43" t="s">
        <v>17</v>
      </c>
      <c r="D9" s="43" t="s">
        <v>24</v>
      </c>
      <c r="E9" s="52">
        <v>125452800</v>
      </c>
    </row>
    <row r="10" spans="1:5">
      <c r="A10" s="45" t="s">
        <v>107</v>
      </c>
      <c r="B10" s="45" t="s">
        <v>469</v>
      </c>
      <c r="C10" s="45" t="s">
        <v>17</v>
      </c>
      <c r="D10" s="45" t="s">
        <v>27</v>
      </c>
      <c r="E10" s="53">
        <v>112199224</v>
      </c>
    </row>
    <row r="11" spans="1:5">
      <c r="A11" s="43" t="s">
        <v>108</v>
      </c>
      <c r="B11" s="43" t="s">
        <v>469</v>
      </c>
      <c r="C11" s="43" t="s">
        <v>17</v>
      </c>
      <c r="D11" s="43" t="s">
        <v>27</v>
      </c>
      <c r="E11" s="52">
        <v>105529550</v>
      </c>
    </row>
    <row r="12" spans="1:5">
      <c r="A12" s="45" t="s">
        <v>109</v>
      </c>
      <c r="B12" s="45" t="s">
        <v>469</v>
      </c>
      <c r="C12" s="45" t="s">
        <v>17</v>
      </c>
      <c r="D12" s="45" t="s">
        <v>27</v>
      </c>
      <c r="E12" s="53">
        <v>82605710</v>
      </c>
    </row>
    <row r="13" spans="1:5">
      <c r="A13" s="43" t="s">
        <v>110</v>
      </c>
      <c r="B13" s="43" t="s">
        <v>469</v>
      </c>
      <c r="C13" s="43" t="s">
        <v>17</v>
      </c>
      <c r="D13" s="43" t="s">
        <v>27</v>
      </c>
      <c r="E13" s="52">
        <v>71536125</v>
      </c>
    </row>
    <row r="14" spans="1:5">
      <c r="A14" s="45" t="s">
        <v>475</v>
      </c>
      <c r="B14" s="45" t="s">
        <v>23</v>
      </c>
      <c r="C14" s="45" t="s">
        <v>17</v>
      </c>
      <c r="D14" s="45" t="s">
        <v>24</v>
      </c>
      <c r="E14" s="53">
        <v>70575400</v>
      </c>
    </row>
    <row r="15" spans="1:5">
      <c r="A15" s="43" t="s">
        <v>112</v>
      </c>
      <c r="B15" s="43" t="s">
        <v>469</v>
      </c>
      <c r="C15" s="43" t="s">
        <v>17</v>
      </c>
      <c r="D15" s="43" t="s">
        <v>27</v>
      </c>
      <c r="E15" s="52">
        <v>70196461</v>
      </c>
    </row>
    <row r="16" spans="1:5">
      <c r="A16" s="45" t="s">
        <v>105</v>
      </c>
      <c r="B16" s="45" t="s">
        <v>81</v>
      </c>
      <c r="C16" s="45" t="s">
        <v>17</v>
      </c>
      <c r="D16" s="45" t="s">
        <v>19</v>
      </c>
      <c r="E16" s="53">
        <v>59280516</v>
      </c>
    </row>
    <row r="17" spans="1:5">
      <c r="A17" s="43" t="s">
        <v>114</v>
      </c>
      <c r="B17" s="43" t="s">
        <v>469</v>
      </c>
      <c r="C17" s="43" t="s">
        <v>17</v>
      </c>
      <c r="D17" s="43" t="s">
        <v>27</v>
      </c>
      <c r="E17" s="52">
        <v>59113450</v>
      </c>
    </row>
    <row r="18" spans="1:5">
      <c r="A18" s="45" t="s">
        <v>105</v>
      </c>
      <c r="B18" s="45" t="s">
        <v>18</v>
      </c>
      <c r="C18" s="45" t="s">
        <v>17</v>
      </c>
      <c r="D18" s="45" t="s">
        <v>19</v>
      </c>
      <c r="E18" s="53">
        <v>57184975</v>
      </c>
    </row>
    <row r="19" spans="1:5">
      <c r="A19" s="43" t="s">
        <v>115</v>
      </c>
      <c r="B19" s="43" t="s">
        <v>469</v>
      </c>
      <c r="C19" s="43" t="s">
        <v>17</v>
      </c>
      <c r="D19" s="43" t="s">
        <v>27</v>
      </c>
      <c r="E19" s="52">
        <v>53987006</v>
      </c>
    </row>
    <row r="20" spans="1:5">
      <c r="A20" s="45" t="s">
        <v>118</v>
      </c>
      <c r="B20" s="45" t="s">
        <v>469</v>
      </c>
      <c r="C20" s="45" t="s">
        <v>17</v>
      </c>
      <c r="D20" s="45" t="s">
        <v>27</v>
      </c>
      <c r="E20" s="53">
        <v>51403762</v>
      </c>
    </row>
    <row r="21" spans="1:5">
      <c r="A21" s="43" t="s">
        <v>111</v>
      </c>
      <c r="B21" s="43" t="s">
        <v>18</v>
      </c>
      <c r="C21" s="43" t="s">
        <v>17</v>
      </c>
      <c r="D21" s="43" t="s">
        <v>19</v>
      </c>
      <c r="E21" s="52">
        <v>50163909</v>
      </c>
    </row>
    <row r="22" spans="1:5">
      <c r="A22" s="45" t="s">
        <v>116</v>
      </c>
      <c r="B22" s="45" t="s">
        <v>28</v>
      </c>
      <c r="C22" s="45" t="s">
        <v>17</v>
      </c>
      <c r="D22" s="45" t="s">
        <v>27</v>
      </c>
      <c r="E22" s="53">
        <v>50000000</v>
      </c>
    </row>
    <row r="23" spans="1:5">
      <c r="A23" s="43" t="s">
        <v>117</v>
      </c>
      <c r="B23" s="43" t="s">
        <v>28</v>
      </c>
      <c r="C23" s="43" t="s">
        <v>17</v>
      </c>
      <c r="D23" s="43" t="s">
        <v>27</v>
      </c>
      <c r="E23" s="52">
        <v>50000000</v>
      </c>
    </row>
    <row r="24" spans="1:5">
      <c r="A24" s="45" t="s">
        <v>105</v>
      </c>
      <c r="B24" s="45" t="s">
        <v>32</v>
      </c>
      <c r="C24" s="45" t="s">
        <v>17</v>
      </c>
      <c r="D24" s="45" t="s">
        <v>19</v>
      </c>
      <c r="E24" s="53">
        <v>46193727</v>
      </c>
    </row>
    <row r="25" spans="1:5">
      <c r="A25" s="43" t="s">
        <v>120</v>
      </c>
      <c r="B25" s="43" t="s">
        <v>469</v>
      </c>
      <c r="C25" s="43" t="s">
        <v>17</v>
      </c>
      <c r="D25" s="43" t="s">
        <v>27</v>
      </c>
      <c r="E25" s="52">
        <v>44050462</v>
      </c>
    </row>
    <row r="26" spans="1:5">
      <c r="A26" s="45" t="s">
        <v>121</v>
      </c>
      <c r="B26" s="45" t="s">
        <v>469</v>
      </c>
      <c r="C26" s="45" t="s">
        <v>17</v>
      </c>
      <c r="D26" s="45" t="s">
        <v>27</v>
      </c>
      <c r="E26" s="53">
        <v>43656600</v>
      </c>
    </row>
    <row r="27" spans="1:5">
      <c r="A27" s="43" t="s">
        <v>119</v>
      </c>
      <c r="B27" s="43" t="s">
        <v>28</v>
      </c>
      <c r="C27" s="43" t="s">
        <v>17</v>
      </c>
      <c r="D27" s="43" t="s">
        <v>27</v>
      </c>
      <c r="E27" s="52">
        <v>42718000</v>
      </c>
    </row>
    <row r="28" spans="1:5">
      <c r="A28" s="45" t="s">
        <v>113</v>
      </c>
      <c r="B28" s="45" t="s">
        <v>469</v>
      </c>
      <c r="C28" s="45" t="s">
        <v>17</v>
      </c>
      <c r="D28" s="45" t="s">
        <v>27</v>
      </c>
      <c r="E28" s="53">
        <v>42032143</v>
      </c>
    </row>
    <row r="29" spans="1:5">
      <c r="A29" s="43" t="s">
        <v>124</v>
      </c>
      <c r="B29" s="43" t="s">
        <v>469</v>
      </c>
      <c r="C29" s="43" t="s">
        <v>17</v>
      </c>
      <c r="D29" s="43" t="s">
        <v>27</v>
      </c>
      <c r="E29" s="52">
        <v>39500000</v>
      </c>
    </row>
    <row r="30" spans="1:5">
      <c r="A30" s="45" t="s">
        <v>122</v>
      </c>
      <c r="B30" s="45" t="s">
        <v>469</v>
      </c>
      <c r="C30" s="45" t="s">
        <v>17</v>
      </c>
      <c r="D30" s="45" t="s">
        <v>27</v>
      </c>
      <c r="E30" s="53">
        <v>37244474</v>
      </c>
    </row>
    <row r="31" spans="1:5">
      <c r="A31" s="43" t="s">
        <v>126</v>
      </c>
      <c r="B31" s="43" t="s">
        <v>469</v>
      </c>
      <c r="C31" s="43" t="s">
        <v>17</v>
      </c>
      <c r="D31" s="43" t="s">
        <v>27</v>
      </c>
      <c r="E31" s="52">
        <v>36500000</v>
      </c>
    </row>
    <row r="32" spans="1:5">
      <c r="A32" s="45" t="s">
        <v>476</v>
      </c>
      <c r="B32" s="45" t="s">
        <v>23</v>
      </c>
      <c r="C32" s="45" t="s">
        <v>17</v>
      </c>
      <c r="D32" s="45" t="s">
        <v>24</v>
      </c>
      <c r="E32" s="53">
        <v>35585929</v>
      </c>
    </row>
    <row r="33" spans="1:5">
      <c r="A33" s="43" t="s">
        <v>127</v>
      </c>
      <c r="B33" s="43" t="s">
        <v>469</v>
      </c>
      <c r="C33" s="43" t="s">
        <v>17</v>
      </c>
      <c r="D33" s="43" t="s">
        <v>27</v>
      </c>
      <c r="E33" s="52">
        <v>35108049</v>
      </c>
    </row>
    <row r="34" spans="1:5">
      <c r="A34" s="45" t="s">
        <v>125</v>
      </c>
      <c r="B34" s="45" t="s">
        <v>28</v>
      </c>
      <c r="C34" s="45" t="s">
        <v>17</v>
      </c>
      <c r="D34" s="45" t="s">
        <v>27</v>
      </c>
      <c r="E34" s="53">
        <v>33570000</v>
      </c>
    </row>
    <row r="35" spans="1:5">
      <c r="A35" s="43" t="s">
        <v>133</v>
      </c>
      <c r="B35" s="43" t="s">
        <v>469</v>
      </c>
      <c r="C35" s="43" t="s">
        <v>17</v>
      </c>
      <c r="D35" s="43" t="s">
        <v>27</v>
      </c>
      <c r="E35" s="52">
        <v>28144000</v>
      </c>
    </row>
    <row r="36" spans="1:5">
      <c r="A36" s="45" t="s">
        <v>129</v>
      </c>
      <c r="B36" s="45" t="s">
        <v>469</v>
      </c>
      <c r="C36" s="45" t="s">
        <v>17</v>
      </c>
      <c r="D36" s="45" t="s">
        <v>27</v>
      </c>
      <c r="E36" s="53">
        <v>27699248</v>
      </c>
    </row>
    <row r="37" spans="1:5">
      <c r="A37" s="43" t="s">
        <v>477</v>
      </c>
      <c r="B37" s="43" t="s">
        <v>23</v>
      </c>
      <c r="C37" s="43" t="s">
        <v>17</v>
      </c>
      <c r="D37" s="43" t="s">
        <v>24</v>
      </c>
      <c r="E37" s="52">
        <v>26320148</v>
      </c>
    </row>
    <row r="38" spans="1:5">
      <c r="A38" s="45" t="s">
        <v>132</v>
      </c>
      <c r="B38" s="45" t="s">
        <v>28</v>
      </c>
      <c r="C38" s="45" t="s">
        <v>17</v>
      </c>
      <c r="D38" s="45" t="s">
        <v>27</v>
      </c>
      <c r="E38" s="53">
        <v>26104600</v>
      </c>
    </row>
    <row r="39" spans="1:5">
      <c r="A39" s="43" t="s">
        <v>138</v>
      </c>
      <c r="B39" s="43" t="s">
        <v>469</v>
      </c>
      <c r="C39" s="43" t="s">
        <v>17</v>
      </c>
      <c r="D39" s="43" t="s">
        <v>27</v>
      </c>
      <c r="E39" s="52">
        <v>26060484</v>
      </c>
    </row>
    <row r="40" spans="1:5">
      <c r="A40" s="45" t="s">
        <v>130</v>
      </c>
      <c r="B40" s="45" t="s">
        <v>469</v>
      </c>
      <c r="C40" s="45" t="s">
        <v>17</v>
      </c>
      <c r="D40" s="45" t="s">
        <v>27</v>
      </c>
      <c r="E40" s="53">
        <v>25319483</v>
      </c>
    </row>
    <row r="41" spans="1:5">
      <c r="A41" s="43" t="s">
        <v>134</v>
      </c>
      <c r="B41" s="43" t="s">
        <v>28</v>
      </c>
      <c r="C41" s="43" t="s">
        <v>17</v>
      </c>
      <c r="D41" s="43" t="s">
        <v>27</v>
      </c>
      <c r="E41" s="52">
        <v>25000000</v>
      </c>
    </row>
    <row r="42" spans="1:5">
      <c r="A42" s="45" t="s">
        <v>139</v>
      </c>
      <c r="B42" s="45" t="s">
        <v>28</v>
      </c>
      <c r="C42" s="45" t="s">
        <v>17</v>
      </c>
      <c r="D42" s="45" t="s">
        <v>27</v>
      </c>
      <c r="E42" s="53">
        <v>25000000</v>
      </c>
    </row>
    <row r="43" spans="1:5">
      <c r="A43" s="43" t="s">
        <v>113</v>
      </c>
      <c r="B43" s="43" t="s">
        <v>28</v>
      </c>
      <c r="C43" s="43" t="s">
        <v>17</v>
      </c>
      <c r="D43" s="43" t="s">
        <v>27</v>
      </c>
      <c r="E43" s="52">
        <v>25000000</v>
      </c>
    </row>
    <row r="44" spans="1:5">
      <c r="A44" s="45" t="s">
        <v>135</v>
      </c>
      <c r="B44" s="45" t="s">
        <v>28</v>
      </c>
      <c r="C44" s="45" t="s">
        <v>17</v>
      </c>
      <c r="D44" s="45" t="s">
        <v>27</v>
      </c>
      <c r="E44" s="53">
        <v>24950000</v>
      </c>
    </row>
    <row r="45" spans="1:5">
      <c r="A45" s="43" t="s">
        <v>136</v>
      </c>
      <c r="B45" s="43" t="s">
        <v>28</v>
      </c>
      <c r="C45" s="43" t="s">
        <v>17</v>
      </c>
      <c r="D45" s="43" t="s">
        <v>27</v>
      </c>
      <c r="E45" s="52">
        <v>24950000</v>
      </c>
    </row>
    <row r="46" spans="1:5">
      <c r="A46" s="45" t="s">
        <v>137</v>
      </c>
      <c r="B46" s="45" t="s">
        <v>28</v>
      </c>
      <c r="C46" s="45" t="s">
        <v>17</v>
      </c>
      <c r="D46" s="45" t="s">
        <v>27</v>
      </c>
      <c r="E46" s="53">
        <v>24939500</v>
      </c>
    </row>
    <row r="47" spans="1:5">
      <c r="A47" s="43" t="s">
        <v>131</v>
      </c>
      <c r="B47" s="43" t="s">
        <v>28</v>
      </c>
      <c r="C47" s="43" t="s">
        <v>17</v>
      </c>
      <c r="D47" s="43" t="s">
        <v>27</v>
      </c>
      <c r="E47" s="52">
        <v>24772500</v>
      </c>
    </row>
    <row r="48" spans="1:5">
      <c r="A48" s="45" t="s">
        <v>478</v>
      </c>
      <c r="B48" s="45" t="s">
        <v>23</v>
      </c>
      <c r="C48" s="45" t="s">
        <v>17</v>
      </c>
      <c r="D48" s="45" t="s">
        <v>24</v>
      </c>
      <c r="E48" s="53">
        <v>23543163</v>
      </c>
    </row>
    <row r="49" spans="1:5">
      <c r="A49" s="43" t="s">
        <v>140</v>
      </c>
      <c r="B49" s="43" t="s">
        <v>469</v>
      </c>
      <c r="C49" s="43" t="s">
        <v>17</v>
      </c>
      <c r="D49" s="43" t="s">
        <v>27</v>
      </c>
      <c r="E49" s="52">
        <v>23512500</v>
      </c>
    </row>
    <row r="50" spans="1:5">
      <c r="A50" s="45" t="s">
        <v>141</v>
      </c>
      <c r="B50" s="45" t="s">
        <v>469</v>
      </c>
      <c r="C50" s="45" t="s">
        <v>17</v>
      </c>
      <c r="D50" s="45" t="s">
        <v>27</v>
      </c>
      <c r="E50" s="53">
        <v>23095500</v>
      </c>
    </row>
    <row r="51" spans="1:5">
      <c r="A51" s="43" t="s">
        <v>142</v>
      </c>
      <c r="B51" s="43" t="s">
        <v>469</v>
      </c>
      <c r="C51" s="43" t="s">
        <v>17</v>
      </c>
      <c r="D51" s="43" t="s">
        <v>27</v>
      </c>
      <c r="E51" s="52">
        <v>22833500</v>
      </c>
    </row>
    <row r="52" spans="1:5">
      <c r="A52" s="45" t="s">
        <v>128</v>
      </c>
      <c r="B52" s="45" t="s">
        <v>469</v>
      </c>
      <c r="C52" s="45" t="s">
        <v>17</v>
      </c>
      <c r="D52" s="45" t="s">
        <v>27</v>
      </c>
      <c r="E52" s="53">
        <v>22036737</v>
      </c>
    </row>
    <row r="53" spans="1:5">
      <c r="A53" s="43" t="s">
        <v>145</v>
      </c>
      <c r="B53" s="43" t="s">
        <v>469</v>
      </c>
      <c r="C53" s="43" t="s">
        <v>17</v>
      </c>
      <c r="D53" s="43" t="s">
        <v>27</v>
      </c>
      <c r="E53" s="52">
        <v>20828000</v>
      </c>
    </row>
    <row r="54" spans="1:5">
      <c r="A54" s="45" t="s">
        <v>123</v>
      </c>
      <c r="B54" s="45" t="s">
        <v>469</v>
      </c>
      <c r="C54" s="45" t="s">
        <v>17</v>
      </c>
      <c r="D54" s="45" t="s">
        <v>27</v>
      </c>
      <c r="E54" s="53">
        <v>20713918</v>
      </c>
    </row>
    <row r="55" spans="1:5">
      <c r="A55" s="43" t="s">
        <v>144</v>
      </c>
      <c r="B55" s="43" t="s">
        <v>28</v>
      </c>
      <c r="C55" s="43" t="s">
        <v>17</v>
      </c>
      <c r="D55" s="43" t="s">
        <v>27</v>
      </c>
      <c r="E55" s="52">
        <v>20425000</v>
      </c>
    </row>
    <row r="56" spans="1:5">
      <c r="A56" s="45" t="s">
        <v>123</v>
      </c>
      <c r="B56" s="45" t="s">
        <v>28</v>
      </c>
      <c r="C56" s="45" t="s">
        <v>17</v>
      </c>
      <c r="D56" s="45" t="s">
        <v>27</v>
      </c>
      <c r="E56" s="53">
        <v>20000000</v>
      </c>
    </row>
    <row r="57" spans="1:5">
      <c r="A57" s="43" t="s">
        <v>149</v>
      </c>
      <c r="B57" s="43" t="s">
        <v>48</v>
      </c>
      <c r="C57" s="43" t="s">
        <v>17</v>
      </c>
      <c r="D57" s="43" t="s">
        <v>27</v>
      </c>
      <c r="E57" s="52">
        <v>19049845</v>
      </c>
    </row>
    <row r="58" spans="1:5">
      <c r="A58" s="45" t="s">
        <v>147</v>
      </c>
      <c r="B58" s="45" t="s">
        <v>469</v>
      </c>
      <c r="C58" s="45" t="s">
        <v>17</v>
      </c>
      <c r="D58" s="45" t="s">
        <v>27</v>
      </c>
      <c r="E58" s="53">
        <v>18576500</v>
      </c>
    </row>
    <row r="59" spans="1:5">
      <c r="A59" s="43" t="s">
        <v>146</v>
      </c>
      <c r="B59" s="43" t="s">
        <v>469</v>
      </c>
      <c r="C59" s="43" t="s">
        <v>17</v>
      </c>
      <c r="D59" s="43" t="s">
        <v>27</v>
      </c>
      <c r="E59" s="52">
        <v>18290000</v>
      </c>
    </row>
    <row r="60" spans="1:5">
      <c r="A60" s="45" t="s">
        <v>143</v>
      </c>
      <c r="B60" s="45" t="s">
        <v>469</v>
      </c>
      <c r="C60" s="45" t="s">
        <v>17</v>
      </c>
      <c r="D60" s="45" t="s">
        <v>27</v>
      </c>
      <c r="E60" s="53">
        <v>18194530</v>
      </c>
    </row>
    <row r="61" spans="1:5">
      <c r="A61" s="43" t="s">
        <v>151</v>
      </c>
      <c r="B61" s="43" t="s">
        <v>28</v>
      </c>
      <c r="C61" s="43" t="s">
        <v>17</v>
      </c>
      <c r="D61" s="43" t="s">
        <v>27</v>
      </c>
      <c r="E61" s="52">
        <v>17399880</v>
      </c>
    </row>
    <row r="62" spans="1:5">
      <c r="A62" s="45" t="s">
        <v>153</v>
      </c>
      <c r="B62" s="45" t="s">
        <v>469</v>
      </c>
      <c r="C62" s="45" t="s">
        <v>17</v>
      </c>
      <c r="D62" s="45" t="s">
        <v>27</v>
      </c>
      <c r="E62" s="53">
        <v>16640000</v>
      </c>
    </row>
    <row r="63" spans="1:5">
      <c r="A63" s="43" t="s">
        <v>148</v>
      </c>
      <c r="B63" s="43" t="s">
        <v>469</v>
      </c>
      <c r="C63" s="43" t="s">
        <v>17</v>
      </c>
      <c r="D63" s="43" t="s">
        <v>27</v>
      </c>
      <c r="E63" s="52">
        <v>16106620</v>
      </c>
    </row>
    <row r="64" spans="1:5">
      <c r="A64" s="45" t="s">
        <v>154</v>
      </c>
      <c r="B64" s="45" t="s">
        <v>469</v>
      </c>
      <c r="C64" s="45" t="s">
        <v>17</v>
      </c>
      <c r="D64" s="45" t="s">
        <v>27</v>
      </c>
      <c r="E64" s="53">
        <v>15650000</v>
      </c>
    </row>
    <row r="65" spans="1:5">
      <c r="A65" s="43" t="s">
        <v>156</v>
      </c>
      <c r="B65" s="43" t="s">
        <v>469</v>
      </c>
      <c r="C65" s="43" t="s">
        <v>17</v>
      </c>
      <c r="D65" s="43" t="s">
        <v>27</v>
      </c>
      <c r="E65" s="52">
        <v>15042407</v>
      </c>
    </row>
    <row r="66" spans="1:5">
      <c r="A66" s="45" t="s">
        <v>155</v>
      </c>
      <c r="B66" s="45" t="s">
        <v>469</v>
      </c>
      <c r="C66" s="45" t="s">
        <v>17</v>
      </c>
      <c r="D66" s="45" t="s">
        <v>27</v>
      </c>
      <c r="E66" s="53">
        <v>13647200</v>
      </c>
    </row>
    <row r="67" spans="1:5">
      <c r="A67" s="43" t="s">
        <v>152</v>
      </c>
      <c r="B67" s="43" t="s">
        <v>469</v>
      </c>
      <c r="C67" s="43" t="s">
        <v>17</v>
      </c>
      <c r="D67" s="43" t="s">
        <v>27</v>
      </c>
      <c r="E67" s="52">
        <v>13541712</v>
      </c>
    </row>
    <row r="68" spans="1:5">
      <c r="A68" s="45" t="s">
        <v>160</v>
      </c>
      <c r="B68" s="45" t="s">
        <v>469</v>
      </c>
      <c r="C68" s="45" t="s">
        <v>17</v>
      </c>
      <c r="D68" s="45" t="s">
        <v>27</v>
      </c>
      <c r="E68" s="53">
        <v>13495012</v>
      </c>
    </row>
    <row r="69" spans="1:5">
      <c r="A69" s="43" t="s">
        <v>161</v>
      </c>
      <c r="B69" s="43" t="s">
        <v>469</v>
      </c>
      <c r="C69" s="43" t="s">
        <v>17</v>
      </c>
      <c r="D69" s="43" t="s">
        <v>27</v>
      </c>
      <c r="E69" s="52">
        <v>13390078</v>
      </c>
    </row>
    <row r="70" spans="1:5">
      <c r="A70" s="45" t="s">
        <v>111</v>
      </c>
      <c r="B70" s="45" t="s">
        <v>51</v>
      </c>
      <c r="C70" s="45" t="s">
        <v>17</v>
      </c>
      <c r="D70" s="45" t="s">
        <v>19</v>
      </c>
      <c r="E70" s="53">
        <v>13061481</v>
      </c>
    </row>
    <row r="71" spans="1:5">
      <c r="A71" s="43" t="s">
        <v>163</v>
      </c>
      <c r="B71" s="43" t="s">
        <v>469</v>
      </c>
      <c r="C71" s="43" t="s">
        <v>17</v>
      </c>
      <c r="D71" s="43" t="s">
        <v>27</v>
      </c>
      <c r="E71" s="52">
        <v>12981380</v>
      </c>
    </row>
    <row r="72" spans="1:5">
      <c r="A72" s="45" t="s">
        <v>150</v>
      </c>
      <c r="B72" s="45" t="s">
        <v>28</v>
      </c>
      <c r="C72" s="45" t="s">
        <v>17</v>
      </c>
      <c r="D72" s="45" t="s">
        <v>27</v>
      </c>
      <c r="E72" s="53">
        <v>12603617</v>
      </c>
    </row>
    <row r="73" spans="1:5">
      <c r="A73" s="43" t="s">
        <v>165</v>
      </c>
      <c r="B73" s="43" t="s">
        <v>469</v>
      </c>
      <c r="C73" s="43" t="s">
        <v>17</v>
      </c>
      <c r="D73" s="43" t="s">
        <v>27</v>
      </c>
      <c r="E73" s="52">
        <v>12295139</v>
      </c>
    </row>
    <row r="74" spans="1:5">
      <c r="A74" s="45" t="s">
        <v>166</v>
      </c>
      <c r="B74" s="45" t="s">
        <v>469</v>
      </c>
      <c r="C74" s="45" t="s">
        <v>17</v>
      </c>
      <c r="D74" s="45" t="s">
        <v>27</v>
      </c>
      <c r="E74" s="53">
        <v>12290000</v>
      </c>
    </row>
    <row r="75" spans="1:5">
      <c r="A75" s="43" t="s">
        <v>479</v>
      </c>
      <c r="B75" s="43" t="s">
        <v>23</v>
      </c>
      <c r="C75" s="43" t="s">
        <v>17</v>
      </c>
      <c r="D75" s="43" t="s">
        <v>24</v>
      </c>
      <c r="E75" s="52">
        <v>12286667</v>
      </c>
    </row>
    <row r="76" spans="1:5">
      <c r="A76" s="45" t="s">
        <v>167</v>
      </c>
      <c r="B76" s="45" t="s">
        <v>469</v>
      </c>
      <c r="C76" s="45" t="s">
        <v>17</v>
      </c>
      <c r="D76" s="45" t="s">
        <v>27</v>
      </c>
      <c r="E76" s="53">
        <v>12079167</v>
      </c>
    </row>
    <row r="77" spans="1:5">
      <c r="A77" s="43" t="s">
        <v>164</v>
      </c>
      <c r="B77" s="43" t="s">
        <v>469</v>
      </c>
      <c r="C77" s="43" t="s">
        <v>17</v>
      </c>
      <c r="D77" s="43" t="s">
        <v>27</v>
      </c>
      <c r="E77" s="52">
        <v>11820000</v>
      </c>
    </row>
    <row r="78" spans="1:5">
      <c r="A78" s="45" t="s">
        <v>162</v>
      </c>
      <c r="B78" s="45" t="s">
        <v>469</v>
      </c>
      <c r="C78" s="45" t="s">
        <v>17</v>
      </c>
      <c r="D78" s="45" t="s">
        <v>27</v>
      </c>
      <c r="E78" s="53">
        <v>11562932</v>
      </c>
    </row>
    <row r="79" spans="1:5">
      <c r="A79" s="43" t="s">
        <v>157</v>
      </c>
      <c r="B79" s="43" t="s">
        <v>469</v>
      </c>
      <c r="C79" s="43" t="s">
        <v>17</v>
      </c>
      <c r="D79" s="43" t="s">
        <v>27</v>
      </c>
      <c r="E79" s="52">
        <v>11256148</v>
      </c>
    </row>
    <row r="80" spans="1:5">
      <c r="A80" s="45" t="s">
        <v>172</v>
      </c>
      <c r="B80" s="45" t="s">
        <v>28</v>
      </c>
      <c r="C80" s="45" t="s">
        <v>17</v>
      </c>
      <c r="D80" s="45" t="s">
        <v>27</v>
      </c>
      <c r="E80" s="53">
        <v>11063900</v>
      </c>
    </row>
    <row r="81" spans="1:5">
      <c r="A81" s="43" t="s">
        <v>174</v>
      </c>
      <c r="B81" s="43" t="s">
        <v>28</v>
      </c>
      <c r="C81" s="43" t="s">
        <v>17</v>
      </c>
      <c r="D81" s="43" t="s">
        <v>27</v>
      </c>
      <c r="E81" s="52">
        <v>10713235</v>
      </c>
    </row>
    <row r="82" spans="1:5">
      <c r="A82" s="45" t="s">
        <v>175</v>
      </c>
      <c r="B82" s="45" t="s">
        <v>469</v>
      </c>
      <c r="C82" s="45" t="s">
        <v>17</v>
      </c>
      <c r="D82" s="45" t="s">
        <v>27</v>
      </c>
      <c r="E82" s="53">
        <v>10679040</v>
      </c>
    </row>
    <row r="83" spans="1:5">
      <c r="A83" s="43" t="s">
        <v>177</v>
      </c>
      <c r="B83" s="43" t="s">
        <v>469</v>
      </c>
      <c r="C83" s="43" t="s">
        <v>17</v>
      </c>
      <c r="D83" s="43" t="s">
        <v>27</v>
      </c>
      <c r="E83" s="52">
        <v>10322000</v>
      </c>
    </row>
    <row r="84" spans="1:5">
      <c r="A84" s="45" t="s">
        <v>159</v>
      </c>
      <c r="B84" s="45" t="s">
        <v>469</v>
      </c>
      <c r="C84" s="45" t="s">
        <v>17</v>
      </c>
      <c r="D84" s="45" t="s">
        <v>27</v>
      </c>
      <c r="E84" s="53">
        <v>10280860</v>
      </c>
    </row>
    <row r="85" spans="1:5">
      <c r="A85" s="43" t="s">
        <v>178</v>
      </c>
      <c r="B85" s="43" t="s">
        <v>469</v>
      </c>
      <c r="C85" s="43" t="s">
        <v>17</v>
      </c>
      <c r="D85" s="43" t="s">
        <v>27</v>
      </c>
      <c r="E85" s="52">
        <v>10228300</v>
      </c>
    </row>
    <row r="86" spans="1:5">
      <c r="A86" s="45" t="s">
        <v>179</v>
      </c>
      <c r="B86" s="45" t="s">
        <v>469</v>
      </c>
      <c r="C86" s="45" t="s">
        <v>17</v>
      </c>
      <c r="D86" s="45" t="s">
        <v>27</v>
      </c>
      <c r="E86" s="53">
        <v>10061500</v>
      </c>
    </row>
    <row r="87" spans="1:5">
      <c r="A87" s="43" t="s">
        <v>128</v>
      </c>
      <c r="B87" s="43" t="s">
        <v>28</v>
      </c>
      <c r="C87" s="43" t="s">
        <v>17</v>
      </c>
      <c r="D87" s="43" t="s">
        <v>27</v>
      </c>
      <c r="E87" s="52">
        <v>10031636</v>
      </c>
    </row>
    <row r="88" spans="1:5">
      <c r="A88" s="45" t="s">
        <v>173</v>
      </c>
      <c r="B88" s="45" t="s">
        <v>469</v>
      </c>
      <c r="C88" s="45" t="s">
        <v>17</v>
      </c>
      <c r="D88" s="45" t="s">
        <v>27</v>
      </c>
      <c r="E88" s="53">
        <v>10000000</v>
      </c>
    </row>
    <row r="89" spans="1:5">
      <c r="A89" s="43" t="s">
        <v>169</v>
      </c>
      <c r="B89" s="43" t="s">
        <v>469</v>
      </c>
      <c r="C89" s="43" t="s">
        <v>17</v>
      </c>
      <c r="D89" s="43" t="s">
        <v>27</v>
      </c>
      <c r="E89" s="52">
        <v>9922000</v>
      </c>
    </row>
    <row r="90" spans="1:5">
      <c r="A90" s="45" t="s">
        <v>181</v>
      </c>
      <c r="B90" s="45" t="s">
        <v>28</v>
      </c>
      <c r="C90" s="45" t="s">
        <v>17</v>
      </c>
      <c r="D90" s="45" t="s">
        <v>27</v>
      </c>
      <c r="E90" s="53">
        <v>9838160</v>
      </c>
    </row>
    <row r="91" spans="1:5">
      <c r="A91" s="43" t="s">
        <v>182</v>
      </c>
      <c r="B91" s="43" t="s">
        <v>28</v>
      </c>
      <c r="C91" s="43" t="s">
        <v>17</v>
      </c>
      <c r="D91" s="43" t="s">
        <v>27</v>
      </c>
      <c r="E91" s="52">
        <v>9777500</v>
      </c>
    </row>
    <row r="92" spans="1:5">
      <c r="A92" s="45" t="s">
        <v>176</v>
      </c>
      <c r="B92" s="45" t="s">
        <v>469</v>
      </c>
      <c r="C92" s="45" t="s">
        <v>17</v>
      </c>
      <c r="D92" s="45" t="s">
        <v>27</v>
      </c>
      <c r="E92" s="53">
        <v>9440000</v>
      </c>
    </row>
    <row r="93" spans="1:5">
      <c r="A93" s="43" t="s">
        <v>184</v>
      </c>
      <c r="B93" s="43" t="s">
        <v>469</v>
      </c>
      <c r="C93" s="43" t="s">
        <v>17</v>
      </c>
      <c r="D93" s="43" t="s">
        <v>27</v>
      </c>
      <c r="E93" s="52">
        <v>9390000</v>
      </c>
    </row>
    <row r="94" spans="1:5">
      <c r="A94" s="45" t="s">
        <v>186</v>
      </c>
      <c r="B94" s="45" t="s">
        <v>469</v>
      </c>
      <c r="C94" s="45" t="s">
        <v>17</v>
      </c>
      <c r="D94" s="45" t="s">
        <v>27</v>
      </c>
      <c r="E94" s="53">
        <v>9260000</v>
      </c>
    </row>
    <row r="95" spans="1:5">
      <c r="A95" s="43" t="s">
        <v>480</v>
      </c>
      <c r="B95" s="43" t="s">
        <v>23</v>
      </c>
      <c r="C95" s="43" t="s">
        <v>17</v>
      </c>
      <c r="D95" s="43" t="s">
        <v>24</v>
      </c>
      <c r="E95" s="52">
        <v>9122890</v>
      </c>
    </row>
    <row r="96" spans="1:5">
      <c r="A96" s="45" t="s">
        <v>187</v>
      </c>
      <c r="B96" s="45" t="s">
        <v>469</v>
      </c>
      <c r="C96" s="45" t="s">
        <v>17</v>
      </c>
      <c r="D96" s="45" t="s">
        <v>27</v>
      </c>
      <c r="E96" s="53">
        <v>9118900</v>
      </c>
    </row>
    <row r="97" spans="1:5">
      <c r="A97" s="43" t="s">
        <v>158</v>
      </c>
      <c r="B97" s="43" t="s">
        <v>469</v>
      </c>
      <c r="C97" s="43" t="s">
        <v>17</v>
      </c>
      <c r="D97" s="43" t="s">
        <v>27</v>
      </c>
      <c r="E97" s="52">
        <v>9104248</v>
      </c>
    </row>
    <row r="98" spans="1:5">
      <c r="A98" s="45" t="s">
        <v>481</v>
      </c>
      <c r="B98" s="45" t="s">
        <v>23</v>
      </c>
      <c r="C98" s="45" t="s">
        <v>17</v>
      </c>
      <c r="D98" s="45" t="s">
        <v>24</v>
      </c>
      <c r="E98" s="53">
        <v>9067620</v>
      </c>
    </row>
    <row r="99" spans="1:5">
      <c r="A99" s="43" t="s">
        <v>180</v>
      </c>
      <c r="B99" s="43" t="s">
        <v>469</v>
      </c>
      <c r="C99" s="43" t="s">
        <v>17</v>
      </c>
      <c r="D99" s="43" t="s">
        <v>27</v>
      </c>
      <c r="E99" s="52">
        <v>8925000</v>
      </c>
    </row>
    <row r="100" spans="1:5">
      <c r="A100" s="45" t="s">
        <v>188</v>
      </c>
      <c r="B100" s="45" t="s">
        <v>28</v>
      </c>
      <c r="C100" s="45" t="s">
        <v>17</v>
      </c>
      <c r="D100" s="45" t="s">
        <v>27</v>
      </c>
      <c r="E100" s="53">
        <v>8636175</v>
      </c>
    </row>
    <row r="101" spans="1:5">
      <c r="A101" s="43" t="s">
        <v>183</v>
      </c>
      <c r="B101" s="43" t="s">
        <v>469</v>
      </c>
      <c r="C101" s="43" t="s">
        <v>17</v>
      </c>
      <c r="D101" s="43" t="s">
        <v>27</v>
      </c>
      <c r="E101" s="52">
        <v>8400000</v>
      </c>
    </row>
    <row r="102" spans="1:5">
      <c r="A102" s="45" t="s">
        <v>190</v>
      </c>
      <c r="B102" s="45" t="s">
        <v>469</v>
      </c>
      <c r="C102" s="45" t="s">
        <v>17</v>
      </c>
      <c r="D102" s="45" t="s">
        <v>27</v>
      </c>
      <c r="E102" s="53">
        <v>8347901</v>
      </c>
    </row>
    <row r="103" spans="1:5">
      <c r="A103" s="43" t="s">
        <v>191</v>
      </c>
      <c r="B103" s="43" t="s">
        <v>469</v>
      </c>
      <c r="C103" s="43" t="s">
        <v>17</v>
      </c>
      <c r="D103" s="43" t="s">
        <v>27</v>
      </c>
      <c r="E103" s="52">
        <v>8178500</v>
      </c>
    </row>
    <row r="104" spans="1:5">
      <c r="A104" s="45" t="s">
        <v>105</v>
      </c>
      <c r="B104" s="45" t="s">
        <v>51</v>
      </c>
      <c r="C104" s="45" t="s">
        <v>17</v>
      </c>
      <c r="D104" s="45" t="s">
        <v>19</v>
      </c>
      <c r="E104" s="53">
        <v>7857494</v>
      </c>
    </row>
    <row r="105" spans="1:5">
      <c r="A105" s="43" t="s">
        <v>170</v>
      </c>
      <c r="B105" s="43" t="s">
        <v>469</v>
      </c>
      <c r="C105" s="43" t="s">
        <v>17</v>
      </c>
      <c r="D105" s="43" t="s">
        <v>27</v>
      </c>
      <c r="E105" s="52">
        <v>7602582</v>
      </c>
    </row>
    <row r="106" spans="1:5">
      <c r="A106" s="45" t="s">
        <v>482</v>
      </c>
      <c r="B106" s="45" t="s">
        <v>23</v>
      </c>
      <c r="C106" s="45" t="s">
        <v>17</v>
      </c>
      <c r="D106" s="45" t="s">
        <v>24</v>
      </c>
      <c r="E106" s="53">
        <v>7137408</v>
      </c>
    </row>
    <row r="107" spans="1:5">
      <c r="A107" s="43" t="s">
        <v>199</v>
      </c>
      <c r="B107" s="43" t="s">
        <v>469</v>
      </c>
      <c r="C107" s="43" t="s">
        <v>17</v>
      </c>
      <c r="D107" s="43" t="s">
        <v>27</v>
      </c>
      <c r="E107" s="52">
        <v>7127100</v>
      </c>
    </row>
    <row r="108" spans="1:5">
      <c r="A108" s="45" t="s">
        <v>193</v>
      </c>
      <c r="B108" s="45" t="s">
        <v>469</v>
      </c>
      <c r="C108" s="45" t="s">
        <v>17</v>
      </c>
      <c r="D108" s="45" t="s">
        <v>27</v>
      </c>
      <c r="E108" s="53">
        <v>7108500</v>
      </c>
    </row>
    <row r="109" spans="1:5">
      <c r="A109" s="43" t="s">
        <v>201</v>
      </c>
      <c r="B109" s="43" t="s">
        <v>469</v>
      </c>
      <c r="C109" s="43" t="s">
        <v>17</v>
      </c>
      <c r="D109" s="43" t="s">
        <v>27</v>
      </c>
      <c r="E109" s="52">
        <v>7027000</v>
      </c>
    </row>
    <row r="110" spans="1:5">
      <c r="A110" s="45" t="s">
        <v>194</v>
      </c>
      <c r="B110" s="45" t="s">
        <v>469</v>
      </c>
      <c r="C110" s="45" t="s">
        <v>17</v>
      </c>
      <c r="D110" s="45" t="s">
        <v>27</v>
      </c>
      <c r="E110" s="53">
        <v>7002900</v>
      </c>
    </row>
    <row r="111" spans="1:5">
      <c r="A111" s="43" t="s">
        <v>202</v>
      </c>
      <c r="B111" s="43" t="s">
        <v>469</v>
      </c>
      <c r="C111" s="43" t="s">
        <v>17</v>
      </c>
      <c r="D111" s="43" t="s">
        <v>27</v>
      </c>
      <c r="E111" s="52">
        <v>6937056</v>
      </c>
    </row>
    <row r="112" spans="1:5">
      <c r="A112" s="45" t="s">
        <v>207</v>
      </c>
      <c r="B112" s="45" t="s">
        <v>469</v>
      </c>
      <c r="C112" s="45" t="s">
        <v>17</v>
      </c>
      <c r="D112" s="45" t="s">
        <v>27</v>
      </c>
      <c r="E112" s="53">
        <v>6835040</v>
      </c>
    </row>
    <row r="113" spans="1:5">
      <c r="A113" s="43" t="s">
        <v>209</v>
      </c>
      <c r="B113" s="43" t="s">
        <v>469</v>
      </c>
      <c r="C113" s="43" t="s">
        <v>17</v>
      </c>
      <c r="D113" s="43" t="s">
        <v>27</v>
      </c>
      <c r="E113" s="52">
        <v>6500000</v>
      </c>
    </row>
    <row r="114" spans="1:5">
      <c r="A114" s="45" t="s">
        <v>168</v>
      </c>
      <c r="B114" s="45" t="s">
        <v>48</v>
      </c>
      <c r="C114" s="45" t="s">
        <v>17</v>
      </c>
      <c r="D114" s="45" t="s">
        <v>27</v>
      </c>
      <c r="E114" s="53">
        <v>6500000</v>
      </c>
    </row>
    <row r="115" spans="1:5">
      <c r="A115" s="43" t="s">
        <v>483</v>
      </c>
      <c r="B115" s="43" t="s">
        <v>23</v>
      </c>
      <c r="C115" s="43" t="s">
        <v>17</v>
      </c>
      <c r="D115" s="43" t="s">
        <v>24</v>
      </c>
      <c r="E115" s="52">
        <v>6487013</v>
      </c>
    </row>
    <row r="116" spans="1:5">
      <c r="A116" s="45" t="s">
        <v>111</v>
      </c>
      <c r="B116" s="45" t="s">
        <v>32</v>
      </c>
      <c r="C116" s="45" t="s">
        <v>17</v>
      </c>
      <c r="D116" s="45" t="s">
        <v>19</v>
      </c>
      <c r="E116" s="53">
        <v>6429663</v>
      </c>
    </row>
    <row r="117" spans="1:5">
      <c r="A117" s="43" t="s">
        <v>189</v>
      </c>
      <c r="B117" s="43" t="s">
        <v>469</v>
      </c>
      <c r="C117" s="43" t="s">
        <v>17</v>
      </c>
      <c r="D117" s="43" t="s">
        <v>27</v>
      </c>
      <c r="E117" s="52">
        <v>6410000</v>
      </c>
    </row>
    <row r="118" spans="1:5">
      <c r="A118" s="45" t="s">
        <v>211</v>
      </c>
      <c r="B118" s="45" t="s">
        <v>469</v>
      </c>
      <c r="C118" s="45" t="s">
        <v>17</v>
      </c>
      <c r="D118" s="45" t="s">
        <v>27</v>
      </c>
      <c r="E118" s="53">
        <v>6400000</v>
      </c>
    </row>
    <row r="119" spans="1:5">
      <c r="A119" s="43" t="s">
        <v>198</v>
      </c>
      <c r="B119" s="43" t="s">
        <v>469</v>
      </c>
      <c r="C119" s="43" t="s">
        <v>17</v>
      </c>
      <c r="D119" s="43" t="s">
        <v>27</v>
      </c>
      <c r="E119" s="52">
        <v>6386100</v>
      </c>
    </row>
    <row r="120" spans="1:5">
      <c r="A120" s="45" t="s">
        <v>484</v>
      </c>
      <c r="B120" s="45" t="s">
        <v>23</v>
      </c>
      <c r="C120" s="45" t="s">
        <v>17</v>
      </c>
      <c r="D120" s="45" t="s">
        <v>24</v>
      </c>
      <c r="E120" s="53">
        <v>6103050</v>
      </c>
    </row>
    <row r="121" spans="1:5">
      <c r="A121" s="43" t="s">
        <v>200</v>
      </c>
      <c r="B121" s="43" t="s">
        <v>469</v>
      </c>
      <c r="C121" s="43" t="s">
        <v>17</v>
      </c>
      <c r="D121" s="43" t="s">
        <v>27</v>
      </c>
      <c r="E121" s="52">
        <v>6038100</v>
      </c>
    </row>
    <row r="122" spans="1:5">
      <c r="A122" s="45" t="s">
        <v>214</v>
      </c>
      <c r="B122" s="45" t="s">
        <v>469</v>
      </c>
      <c r="C122" s="45" t="s">
        <v>17</v>
      </c>
      <c r="D122" s="45" t="s">
        <v>27</v>
      </c>
      <c r="E122" s="53">
        <v>6017000</v>
      </c>
    </row>
    <row r="123" spans="1:5">
      <c r="A123" s="43" t="s">
        <v>203</v>
      </c>
      <c r="B123" s="43" t="s">
        <v>469</v>
      </c>
      <c r="C123" s="43" t="s">
        <v>17</v>
      </c>
      <c r="D123" s="43" t="s">
        <v>27</v>
      </c>
      <c r="E123" s="52">
        <v>5930000</v>
      </c>
    </row>
    <row r="124" spans="1:5">
      <c r="A124" s="45" t="s">
        <v>204</v>
      </c>
      <c r="B124" s="45" t="s">
        <v>469</v>
      </c>
      <c r="C124" s="45" t="s">
        <v>17</v>
      </c>
      <c r="D124" s="45" t="s">
        <v>27</v>
      </c>
      <c r="E124" s="53">
        <v>5916900</v>
      </c>
    </row>
    <row r="125" spans="1:5">
      <c r="A125" s="43" t="s">
        <v>205</v>
      </c>
      <c r="B125" s="43" t="s">
        <v>469</v>
      </c>
      <c r="C125" s="43" t="s">
        <v>17</v>
      </c>
      <c r="D125" s="43" t="s">
        <v>27</v>
      </c>
      <c r="E125" s="52">
        <v>5901000</v>
      </c>
    </row>
    <row r="126" spans="1:5">
      <c r="A126" s="45" t="s">
        <v>185</v>
      </c>
      <c r="B126" s="45" t="s">
        <v>469</v>
      </c>
      <c r="C126" s="45" t="s">
        <v>17</v>
      </c>
      <c r="D126" s="45" t="s">
        <v>27</v>
      </c>
      <c r="E126" s="53">
        <v>5859799</v>
      </c>
    </row>
    <row r="127" spans="1:5">
      <c r="A127" s="43" t="s">
        <v>206</v>
      </c>
      <c r="B127" s="43" t="s">
        <v>469</v>
      </c>
      <c r="C127" s="43" t="s">
        <v>17</v>
      </c>
      <c r="D127" s="43" t="s">
        <v>27</v>
      </c>
      <c r="E127" s="52">
        <v>5856000</v>
      </c>
    </row>
    <row r="128" spans="1:5">
      <c r="A128" s="45" t="s">
        <v>192</v>
      </c>
      <c r="B128" s="45" t="s">
        <v>28</v>
      </c>
      <c r="C128" s="45" t="s">
        <v>17</v>
      </c>
      <c r="D128" s="45" t="s">
        <v>27</v>
      </c>
      <c r="E128" s="53">
        <v>5667500</v>
      </c>
    </row>
    <row r="129" spans="1:5">
      <c r="A129" s="43" t="s">
        <v>219</v>
      </c>
      <c r="B129" s="43" t="s">
        <v>28</v>
      </c>
      <c r="C129" s="43" t="s">
        <v>17</v>
      </c>
      <c r="D129" s="43" t="s">
        <v>27</v>
      </c>
      <c r="E129" s="52">
        <v>5606000</v>
      </c>
    </row>
    <row r="130" spans="1:5">
      <c r="A130" s="45" t="s">
        <v>220</v>
      </c>
      <c r="B130" s="45" t="s">
        <v>28</v>
      </c>
      <c r="C130" s="45" t="s">
        <v>17</v>
      </c>
      <c r="D130" s="45" t="s">
        <v>27</v>
      </c>
      <c r="E130" s="53">
        <v>5581648</v>
      </c>
    </row>
    <row r="131" spans="1:5">
      <c r="A131" s="43" t="s">
        <v>168</v>
      </c>
      <c r="B131" s="43" t="s">
        <v>28</v>
      </c>
      <c r="C131" s="43" t="s">
        <v>17</v>
      </c>
      <c r="D131" s="43" t="s">
        <v>27</v>
      </c>
      <c r="E131" s="52">
        <v>5576235</v>
      </c>
    </row>
    <row r="132" spans="1:5">
      <c r="A132" s="45" t="s">
        <v>196</v>
      </c>
      <c r="B132" s="45" t="s">
        <v>28</v>
      </c>
      <c r="C132" s="45" t="s">
        <v>17</v>
      </c>
      <c r="D132" s="45" t="s">
        <v>27</v>
      </c>
      <c r="E132" s="53">
        <v>5483920</v>
      </c>
    </row>
    <row r="133" spans="1:5">
      <c r="A133" s="43" t="s">
        <v>485</v>
      </c>
      <c r="B133" s="43" t="s">
        <v>23</v>
      </c>
      <c r="C133" s="43" t="s">
        <v>17</v>
      </c>
      <c r="D133" s="43" t="s">
        <v>24</v>
      </c>
      <c r="E133" s="52">
        <v>5383645</v>
      </c>
    </row>
    <row r="134" spans="1:5">
      <c r="A134" s="45" t="s">
        <v>222</v>
      </c>
      <c r="B134" s="45" t="s">
        <v>469</v>
      </c>
      <c r="C134" s="45" t="s">
        <v>17</v>
      </c>
      <c r="D134" s="45" t="s">
        <v>27</v>
      </c>
      <c r="E134" s="53">
        <v>5355000</v>
      </c>
    </row>
    <row r="135" spans="1:5">
      <c r="A135" s="43" t="s">
        <v>130</v>
      </c>
      <c r="B135" s="43" t="s">
        <v>28</v>
      </c>
      <c r="C135" s="43" t="s">
        <v>17</v>
      </c>
      <c r="D135" s="43" t="s">
        <v>27</v>
      </c>
      <c r="E135" s="52">
        <v>5349832</v>
      </c>
    </row>
    <row r="136" spans="1:5">
      <c r="A136" s="45" t="s">
        <v>224</v>
      </c>
      <c r="B136" s="45" t="s">
        <v>469</v>
      </c>
      <c r="C136" s="45" t="s">
        <v>17</v>
      </c>
      <c r="D136" s="45" t="s">
        <v>27</v>
      </c>
      <c r="E136" s="53">
        <v>5235000</v>
      </c>
    </row>
    <row r="137" spans="1:5">
      <c r="A137" s="43" t="s">
        <v>225</v>
      </c>
      <c r="B137" s="43" t="s">
        <v>28</v>
      </c>
      <c r="C137" s="43" t="s">
        <v>17</v>
      </c>
      <c r="D137" s="43" t="s">
        <v>27</v>
      </c>
      <c r="E137" s="52">
        <v>5230000</v>
      </c>
    </row>
    <row r="138" spans="1:5">
      <c r="A138" s="45" t="s">
        <v>226</v>
      </c>
      <c r="B138" s="45" t="s">
        <v>469</v>
      </c>
      <c r="C138" s="45" t="s">
        <v>17</v>
      </c>
      <c r="D138" s="45" t="s">
        <v>27</v>
      </c>
      <c r="E138" s="53">
        <v>5180000</v>
      </c>
    </row>
    <row r="139" spans="1:5">
      <c r="A139" s="43" t="s">
        <v>227</v>
      </c>
      <c r="B139" s="43" t="s">
        <v>28</v>
      </c>
      <c r="C139" s="43" t="s">
        <v>17</v>
      </c>
      <c r="D139" s="43" t="s">
        <v>27</v>
      </c>
      <c r="E139" s="52">
        <v>5099840</v>
      </c>
    </row>
    <row r="140" spans="1:5">
      <c r="A140" s="45" t="s">
        <v>131</v>
      </c>
      <c r="B140" s="45" t="s">
        <v>48</v>
      </c>
      <c r="C140" s="45" t="s">
        <v>17</v>
      </c>
      <c r="D140" s="45" t="s">
        <v>27</v>
      </c>
      <c r="E140" s="53">
        <v>5000000</v>
      </c>
    </row>
    <row r="141" spans="1:5">
      <c r="A141" s="43" t="s">
        <v>230</v>
      </c>
      <c r="B141" s="43" t="s">
        <v>48</v>
      </c>
      <c r="C141" s="43" t="s">
        <v>17</v>
      </c>
      <c r="D141" s="43" t="s">
        <v>27</v>
      </c>
      <c r="E141" s="52">
        <v>5000000</v>
      </c>
    </row>
    <row r="142" spans="1:5">
      <c r="A142" s="45" t="s">
        <v>171</v>
      </c>
      <c r="B142" s="45" t="s">
        <v>48</v>
      </c>
      <c r="C142" s="45" t="s">
        <v>17</v>
      </c>
      <c r="D142" s="45" t="s">
        <v>27</v>
      </c>
      <c r="E142" s="53">
        <v>5000000</v>
      </c>
    </row>
    <row r="143" spans="1:5">
      <c r="A143" s="43" t="s">
        <v>171</v>
      </c>
      <c r="B143" s="43" t="s">
        <v>28</v>
      </c>
      <c r="C143" s="43" t="s">
        <v>17</v>
      </c>
      <c r="D143" s="43" t="s">
        <v>27</v>
      </c>
      <c r="E143" s="52">
        <v>5000000</v>
      </c>
    </row>
    <row r="144" spans="1:5">
      <c r="A144" s="45" t="s">
        <v>231</v>
      </c>
      <c r="B144" s="45" t="s">
        <v>48</v>
      </c>
      <c r="C144" s="45" t="s">
        <v>17</v>
      </c>
      <c r="D144" s="45" t="s">
        <v>27</v>
      </c>
      <c r="E144" s="53">
        <v>5000000</v>
      </c>
    </row>
    <row r="145" spans="1:5">
      <c r="A145" s="43" t="s">
        <v>125</v>
      </c>
      <c r="B145" s="43" t="s">
        <v>48</v>
      </c>
      <c r="C145" s="43" t="s">
        <v>17</v>
      </c>
      <c r="D145" s="43" t="s">
        <v>27</v>
      </c>
      <c r="E145" s="52">
        <v>5000000</v>
      </c>
    </row>
    <row r="146" spans="1:5">
      <c r="A146" s="45" t="s">
        <v>232</v>
      </c>
      <c r="B146" s="45" t="s">
        <v>28</v>
      </c>
      <c r="C146" s="45" t="s">
        <v>17</v>
      </c>
      <c r="D146" s="45" t="s">
        <v>27</v>
      </c>
      <c r="E146" s="53">
        <v>5000000</v>
      </c>
    </row>
    <row r="147" spans="1:5">
      <c r="A147" s="43" t="s">
        <v>233</v>
      </c>
      <c r="B147" s="43" t="s">
        <v>28</v>
      </c>
      <c r="C147" s="43" t="s">
        <v>17</v>
      </c>
      <c r="D147" s="43" t="s">
        <v>27</v>
      </c>
      <c r="E147" s="52">
        <v>5000000</v>
      </c>
    </row>
    <row r="148" spans="1:5">
      <c r="A148" s="45" t="s">
        <v>119</v>
      </c>
      <c r="B148" s="45" t="s">
        <v>48</v>
      </c>
      <c r="C148" s="45" t="s">
        <v>17</v>
      </c>
      <c r="D148" s="45" t="s">
        <v>27</v>
      </c>
      <c r="E148" s="53">
        <v>5000000</v>
      </c>
    </row>
    <row r="149" spans="1:5">
      <c r="A149" s="43" t="s">
        <v>208</v>
      </c>
      <c r="B149" s="43" t="s">
        <v>48</v>
      </c>
      <c r="C149" s="43" t="s">
        <v>17</v>
      </c>
      <c r="D149" s="43" t="s">
        <v>27</v>
      </c>
      <c r="E149" s="52">
        <v>5000000</v>
      </c>
    </row>
    <row r="150" spans="1:5">
      <c r="A150" s="45" t="s">
        <v>234</v>
      </c>
      <c r="B150" s="45" t="s">
        <v>28</v>
      </c>
      <c r="C150" s="45" t="s">
        <v>17</v>
      </c>
      <c r="D150" s="45" t="s">
        <v>27</v>
      </c>
      <c r="E150" s="53">
        <v>5000000</v>
      </c>
    </row>
    <row r="151" spans="1:5">
      <c r="A151" s="43" t="s">
        <v>150</v>
      </c>
      <c r="B151" s="43" t="s">
        <v>48</v>
      </c>
      <c r="C151" s="43" t="s">
        <v>17</v>
      </c>
      <c r="D151" s="43" t="s">
        <v>27</v>
      </c>
      <c r="E151" s="52">
        <v>5000000</v>
      </c>
    </row>
    <row r="152" spans="1:5">
      <c r="A152" s="45" t="s">
        <v>215</v>
      </c>
      <c r="B152" s="45" t="s">
        <v>469</v>
      </c>
      <c r="C152" s="45" t="s">
        <v>17</v>
      </c>
      <c r="D152" s="45" t="s">
        <v>27</v>
      </c>
      <c r="E152" s="53">
        <v>5000000</v>
      </c>
    </row>
    <row r="153" spans="1:5">
      <c r="A153" s="43" t="s">
        <v>195</v>
      </c>
      <c r="B153" s="43" t="s">
        <v>28</v>
      </c>
      <c r="C153" s="43" t="s">
        <v>17</v>
      </c>
      <c r="D153" s="43" t="s">
        <v>27</v>
      </c>
      <c r="E153" s="52">
        <v>4999425</v>
      </c>
    </row>
    <row r="154" spans="1:5">
      <c r="A154" s="45" t="s">
        <v>236</v>
      </c>
      <c r="B154" s="45" t="s">
        <v>28</v>
      </c>
      <c r="C154" s="45" t="s">
        <v>17</v>
      </c>
      <c r="D154" s="45" t="s">
        <v>27</v>
      </c>
      <c r="E154" s="53">
        <v>4970250</v>
      </c>
    </row>
    <row r="155" spans="1:5">
      <c r="A155" s="43" t="s">
        <v>237</v>
      </c>
      <c r="B155" s="43" t="s">
        <v>469</v>
      </c>
      <c r="C155" s="43" t="s">
        <v>17</v>
      </c>
      <c r="D155" s="43" t="s">
        <v>27</v>
      </c>
      <c r="E155" s="52">
        <v>4952500</v>
      </c>
    </row>
    <row r="156" spans="1:5">
      <c r="A156" s="45" t="s">
        <v>210</v>
      </c>
      <c r="B156" s="45" t="s">
        <v>28</v>
      </c>
      <c r="C156" s="45" t="s">
        <v>17</v>
      </c>
      <c r="D156" s="45" t="s">
        <v>27</v>
      </c>
      <c r="E156" s="53">
        <v>4943850</v>
      </c>
    </row>
    <row r="157" spans="1:5">
      <c r="A157" s="43" t="s">
        <v>158</v>
      </c>
      <c r="B157" s="43" t="s">
        <v>28</v>
      </c>
      <c r="C157" s="43" t="s">
        <v>17</v>
      </c>
      <c r="D157" s="43" t="s">
        <v>27</v>
      </c>
      <c r="E157" s="52">
        <v>4830410</v>
      </c>
    </row>
    <row r="158" spans="1:5">
      <c r="A158" s="45" t="s">
        <v>143</v>
      </c>
      <c r="B158" s="45" t="s">
        <v>28</v>
      </c>
      <c r="C158" s="45" t="s">
        <v>17</v>
      </c>
      <c r="D158" s="45" t="s">
        <v>27</v>
      </c>
      <c r="E158" s="53">
        <v>4820645</v>
      </c>
    </row>
    <row r="159" spans="1:5">
      <c r="A159" s="43" t="s">
        <v>213</v>
      </c>
      <c r="B159" s="43" t="s">
        <v>469</v>
      </c>
      <c r="C159" s="43" t="s">
        <v>17</v>
      </c>
      <c r="D159" s="43" t="s">
        <v>27</v>
      </c>
      <c r="E159" s="52">
        <v>4806300</v>
      </c>
    </row>
    <row r="160" spans="1:5">
      <c r="A160" s="45" t="s">
        <v>240</v>
      </c>
      <c r="B160" s="45" t="s">
        <v>469</v>
      </c>
      <c r="C160" s="45" t="s">
        <v>17</v>
      </c>
      <c r="D160" s="45" t="s">
        <v>27</v>
      </c>
      <c r="E160" s="53">
        <v>4800000</v>
      </c>
    </row>
    <row r="161" spans="1:5">
      <c r="A161" s="43" t="s">
        <v>197</v>
      </c>
      <c r="B161" s="43" t="s">
        <v>28</v>
      </c>
      <c r="C161" s="43" t="s">
        <v>17</v>
      </c>
      <c r="D161" s="43" t="s">
        <v>27</v>
      </c>
      <c r="E161" s="52">
        <v>4754745</v>
      </c>
    </row>
    <row r="162" spans="1:5">
      <c r="A162" s="45" t="s">
        <v>242</v>
      </c>
      <c r="B162" s="45" t="s">
        <v>469</v>
      </c>
      <c r="C162" s="45" t="s">
        <v>17</v>
      </c>
      <c r="D162" s="45" t="s">
        <v>27</v>
      </c>
      <c r="E162" s="53">
        <v>4744400</v>
      </c>
    </row>
    <row r="163" spans="1:5">
      <c r="A163" s="43" t="s">
        <v>218</v>
      </c>
      <c r="B163" s="43" t="s">
        <v>469</v>
      </c>
      <c r="C163" s="43" t="s">
        <v>17</v>
      </c>
      <c r="D163" s="43" t="s">
        <v>27</v>
      </c>
      <c r="E163" s="52">
        <v>4678500</v>
      </c>
    </row>
    <row r="164" spans="1:5">
      <c r="A164" s="45" t="s">
        <v>129</v>
      </c>
      <c r="B164" s="45" t="s">
        <v>28</v>
      </c>
      <c r="C164" s="45" t="s">
        <v>17</v>
      </c>
      <c r="D164" s="45" t="s">
        <v>27</v>
      </c>
      <c r="E164" s="53">
        <v>4675660</v>
      </c>
    </row>
    <row r="165" spans="1:5">
      <c r="A165" s="43" t="s">
        <v>243</v>
      </c>
      <c r="B165" s="43" t="s">
        <v>28</v>
      </c>
      <c r="C165" s="43" t="s">
        <v>17</v>
      </c>
      <c r="D165" s="43" t="s">
        <v>27</v>
      </c>
      <c r="E165" s="52">
        <v>4512750</v>
      </c>
    </row>
    <row r="166" spans="1:5">
      <c r="A166" s="45" t="s">
        <v>244</v>
      </c>
      <c r="B166" s="45" t="s">
        <v>469</v>
      </c>
      <c r="C166" s="45" t="s">
        <v>17</v>
      </c>
      <c r="D166" s="45" t="s">
        <v>27</v>
      </c>
      <c r="E166" s="53">
        <v>4500000</v>
      </c>
    </row>
    <row r="167" spans="1:5">
      <c r="A167" s="43" t="s">
        <v>248</v>
      </c>
      <c r="B167" s="43" t="s">
        <v>469</v>
      </c>
      <c r="C167" s="43" t="s">
        <v>17</v>
      </c>
      <c r="D167" s="43" t="s">
        <v>27</v>
      </c>
      <c r="E167" s="52">
        <v>4376100</v>
      </c>
    </row>
    <row r="168" spans="1:5">
      <c r="A168" s="45" t="s">
        <v>223</v>
      </c>
      <c r="B168" s="45" t="s">
        <v>28</v>
      </c>
      <c r="C168" s="45" t="s">
        <v>17</v>
      </c>
      <c r="D168" s="45" t="s">
        <v>27</v>
      </c>
      <c r="E168" s="53">
        <v>4295000</v>
      </c>
    </row>
    <row r="169" spans="1:5">
      <c r="A169" s="43" t="s">
        <v>250</v>
      </c>
      <c r="B169" s="43" t="s">
        <v>469</v>
      </c>
      <c r="C169" s="43" t="s">
        <v>17</v>
      </c>
      <c r="D169" s="43" t="s">
        <v>27</v>
      </c>
      <c r="E169" s="52">
        <v>4275000</v>
      </c>
    </row>
    <row r="170" spans="1:5">
      <c r="A170" s="45" t="s">
        <v>251</v>
      </c>
      <c r="B170" s="45" t="s">
        <v>469</v>
      </c>
      <c r="C170" s="45" t="s">
        <v>17</v>
      </c>
      <c r="D170" s="45" t="s">
        <v>27</v>
      </c>
      <c r="E170" s="53">
        <v>4246031</v>
      </c>
    </row>
    <row r="171" spans="1:5">
      <c r="A171" s="43" t="s">
        <v>252</v>
      </c>
      <c r="B171" s="43" t="s">
        <v>469</v>
      </c>
      <c r="C171" s="43" t="s">
        <v>17</v>
      </c>
      <c r="D171" s="43" t="s">
        <v>27</v>
      </c>
      <c r="E171" s="52">
        <v>4176900</v>
      </c>
    </row>
    <row r="172" spans="1:5">
      <c r="A172" s="45" t="s">
        <v>253</v>
      </c>
      <c r="B172" s="45" t="s">
        <v>469</v>
      </c>
      <c r="C172" s="45" t="s">
        <v>17</v>
      </c>
      <c r="D172" s="45" t="s">
        <v>27</v>
      </c>
      <c r="E172" s="53">
        <v>4171200</v>
      </c>
    </row>
    <row r="173" spans="1:5">
      <c r="A173" s="43" t="s">
        <v>228</v>
      </c>
      <c r="B173" s="43" t="s">
        <v>469</v>
      </c>
      <c r="C173" s="43" t="s">
        <v>17</v>
      </c>
      <c r="D173" s="43" t="s">
        <v>27</v>
      </c>
      <c r="E173" s="52">
        <v>4071000</v>
      </c>
    </row>
    <row r="174" spans="1:5">
      <c r="A174" s="45" t="s">
        <v>229</v>
      </c>
      <c r="B174" s="45" t="s">
        <v>469</v>
      </c>
      <c r="C174" s="45" t="s">
        <v>17</v>
      </c>
      <c r="D174" s="45" t="s">
        <v>27</v>
      </c>
      <c r="E174" s="53">
        <v>4057700</v>
      </c>
    </row>
    <row r="175" spans="1:5">
      <c r="A175" s="43" t="s">
        <v>256</v>
      </c>
      <c r="B175" s="43" t="s">
        <v>469</v>
      </c>
      <c r="C175" s="43" t="s">
        <v>17</v>
      </c>
      <c r="D175" s="43" t="s">
        <v>27</v>
      </c>
      <c r="E175" s="52">
        <v>4014300</v>
      </c>
    </row>
    <row r="176" spans="1:5">
      <c r="A176" s="45" t="s">
        <v>278</v>
      </c>
      <c r="B176" s="45" t="s">
        <v>28</v>
      </c>
      <c r="C176" s="45" t="s">
        <v>17</v>
      </c>
      <c r="D176" s="45" t="s">
        <v>27</v>
      </c>
      <c r="E176" s="53">
        <v>3955900</v>
      </c>
    </row>
    <row r="177" spans="1:5">
      <c r="A177" s="43" t="s">
        <v>486</v>
      </c>
      <c r="B177" s="43" t="s">
        <v>23</v>
      </c>
      <c r="C177" s="43" t="s">
        <v>17</v>
      </c>
      <c r="D177" s="43" t="s">
        <v>24</v>
      </c>
      <c r="E177" s="52">
        <v>3954614</v>
      </c>
    </row>
    <row r="178" spans="1:5">
      <c r="A178" s="45" t="s">
        <v>285</v>
      </c>
      <c r="B178" s="45" t="s">
        <v>469</v>
      </c>
      <c r="C178" s="45" t="s">
        <v>17</v>
      </c>
      <c r="D178" s="45" t="s">
        <v>27</v>
      </c>
      <c r="E178" s="53">
        <v>3873600</v>
      </c>
    </row>
    <row r="179" spans="1:5">
      <c r="A179" s="43" t="s">
        <v>288</v>
      </c>
      <c r="B179" s="43" t="s">
        <v>28</v>
      </c>
      <c r="C179" s="43" t="s">
        <v>17</v>
      </c>
      <c r="D179" s="43" t="s">
        <v>27</v>
      </c>
      <c r="E179" s="52">
        <v>3835000</v>
      </c>
    </row>
    <row r="180" spans="1:5">
      <c r="A180" s="45" t="s">
        <v>289</v>
      </c>
      <c r="B180" s="45" t="s">
        <v>469</v>
      </c>
      <c r="C180" s="45" t="s">
        <v>17</v>
      </c>
      <c r="D180" s="45" t="s">
        <v>27</v>
      </c>
      <c r="E180" s="53">
        <v>3800000</v>
      </c>
    </row>
    <row r="181" spans="1:5">
      <c r="A181" s="43" t="s">
        <v>291</v>
      </c>
      <c r="B181" s="43" t="s">
        <v>469</v>
      </c>
      <c r="C181" s="43" t="s">
        <v>17</v>
      </c>
      <c r="D181" s="43" t="s">
        <v>27</v>
      </c>
      <c r="E181" s="52">
        <v>3630000</v>
      </c>
    </row>
    <row r="182" spans="1:5">
      <c r="A182" s="45" t="s">
        <v>292</v>
      </c>
      <c r="B182" s="45" t="s">
        <v>469</v>
      </c>
      <c r="C182" s="45" t="s">
        <v>17</v>
      </c>
      <c r="D182" s="45" t="s">
        <v>27</v>
      </c>
      <c r="E182" s="53">
        <v>3609600</v>
      </c>
    </row>
    <row r="183" spans="1:5">
      <c r="A183" s="43" t="s">
        <v>294</v>
      </c>
      <c r="B183" s="43" t="s">
        <v>469</v>
      </c>
      <c r="C183" s="43" t="s">
        <v>17</v>
      </c>
      <c r="D183" s="43" t="s">
        <v>27</v>
      </c>
      <c r="E183" s="52">
        <v>3554000</v>
      </c>
    </row>
    <row r="184" spans="1:5">
      <c r="A184" s="45" t="s">
        <v>159</v>
      </c>
      <c r="B184" s="45" t="s">
        <v>28</v>
      </c>
      <c r="C184" s="45" t="s">
        <v>17</v>
      </c>
      <c r="D184" s="45" t="s">
        <v>27</v>
      </c>
      <c r="E184" s="53">
        <v>3539350</v>
      </c>
    </row>
    <row r="185" spans="1:5">
      <c r="A185" s="43" t="s">
        <v>185</v>
      </c>
      <c r="B185" s="43" t="s">
        <v>28</v>
      </c>
      <c r="C185" s="43" t="s">
        <v>17</v>
      </c>
      <c r="D185" s="43" t="s">
        <v>27</v>
      </c>
      <c r="E185" s="52">
        <v>3528041</v>
      </c>
    </row>
    <row r="186" spans="1:5">
      <c r="A186" s="45" t="s">
        <v>152</v>
      </c>
      <c r="B186" s="45" t="s">
        <v>48</v>
      </c>
      <c r="C186" s="45" t="s">
        <v>17</v>
      </c>
      <c r="D186" s="45" t="s">
        <v>27</v>
      </c>
      <c r="E186" s="53">
        <v>3500000</v>
      </c>
    </row>
    <row r="187" spans="1:5">
      <c r="A187" s="43" t="s">
        <v>245</v>
      </c>
      <c r="B187" s="43" t="s">
        <v>469</v>
      </c>
      <c r="C187" s="43" t="s">
        <v>17</v>
      </c>
      <c r="D187" s="43" t="s">
        <v>27</v>
      </c>
      <c r="E187" s="52">
        <v>3427200</v>
      </c>
    </row>
    <row r="188" spans="1:5">
      <c r="A188" s="45" t="s">
        <v>246</v>
      </c>
      <c r="B188" s="45" t="s">
        <v>469</v>
      </c>
      <c r="C188" s="45" t="s">
        <v>17</v>
      </c>
      <c r="D188" s="45" t="s">
        <v>27</v>
      </c>
      <c r="E188" s="53">
        <v>3410500</v>
      </c>
    </row>
    <row r="189" spans="1:5">
      <c r="A189" s="43" t="s">
        <v>296</v>
      </c>
      <c r="B189" s="43" t="s">
        <v>28</v>
      </c>
      <c r="C189" s="43" t="s">
        <v>17</v>
      </c>
      <c r="D189" s="43" t="s">
        <v>27</v>
      </c>
      <c r="E189" s="52">
        <v>3405250</v>
      </c>
    </row>
    <row r="190" spans="1:5">
      <c r="A190" s="45" t="s">
        <v>216</v>
      </c>
      <c r="B190" s="45" t="s">
        <v>28</v>
      </c>
      <c r="C190" s="45" t="s">
        <v>17</v>
      </c>
      <c r="D190" s="45" t="s">
        <v>27</v>
      </c>
      <c r="E190" s="53">
        <v>3390000</v>
      </c>
    </row>
    <row r="191" spans="1:5">
      <c r="A191" s="43" t="s">
        <v>297</v>
      </c>
      <c r="B191" s="43" t="s">
        <v>469</v>
      </c>
      <c r="C191" s="43" t="s">
        <v>17</v>
      </c>
      <c r="D191" s="43" t="s">
        <v>27</v>
      </c>
      <c r="E191" s="52">
        <v>3356000</v>
      </c>
    </row>
    <row r="192" spans="1:5">
      <c r="A192" s="45" t="s">
        <v>217</v>
      </c>
      <c r="B192" s="45" t="s">
        <v>28</v>
      </c>
      <c r="C192" s="45" t="s">
        <v>17</v>
      </c>
      <c r="D192" s="45" t="s">
        <v>27</v>
      </c>
      <c r="E192" s="53">
        <v>3334750</v>
      </c>
    </row>
    <row r="193" spans="1:5">
      <c r="A193" s="43" t="s">
        <v>298</v>
      </c>
      <c r="B193" s="43" t="s">
        <v>469</v>
      </c>
      <c r="C193" s="43" t="s">
        <v>17</v>
      </c>
      <c r="D193" s="43" t="s">
        <v>27</v>
      </c>
      <c r="E193" s="52">
        <v>3250000</v>
      </c>
    </row>
    <row r="194" spans="1:5">
      <c r="A194" s="45" t="s">
        <v>299</v>
      </c>
      <c r="B194" s="45" t="s">
        <v>28</v>
      </c>
      <c r="C194" s="45" t="s">
        <v>17</v>
      </c>
      <c r="D194" s="45" t="s">
        <v>27</v>
      </c>
      <c r="E194" s="53">
        <v>3230450</v>
      </c>
    </row>
    <row r="195" spans="1:5">
      <c r="A195" s="43" t="s">
        <v>300</v>
      </c>
      <c r="B195" s="43" t="s">
        <v>469</v>
      </c>
      <c r="C195" s="43" t="s">
        <v>17</v>
      </c>
      <c r="D195" s="43" t="s">
        <v>27</v>
      </c>
      <c r="E195" s="52">
        <v>3200600</v>
      </c>
    </row>
    <row r="196" spans="1:5">
      <c r="A196" s="45" t="s">
        <v>148</v>
      </c>
      <c r="B196" s="45" t="s">
        <v>28</v>
      </c>
      <c r="C196" s="45" t="s">
        <v>17</v>
      </c>
      <c r="D196" s="45" t="s">
        <v>27</v>
      </c>
      <c r="E196" s="53">
        <v>3177195</v>
      </c>
    </row>
    <row r="197" spans="1:5">
      <c r="A197" s="43" t="s">
        <v>212</v>
      </c>
      <c r="B197" s="43" t="s">
        <v>28</v>
      </c>
      <c r="C197" s="43" t="s">
        <v>17</v>
      </c>
      <c r="D197" s="43" t="s">
        <v>27</v>
      </c>
      <c r="E197" s="52">
        <v>3153875</v>
      </c>
    </row>
    <row r="198" spans="1:5">
      <c r="A198" s="45" t="s">
        <v>301</v>
      </c>
      <c r="B198" s="45" t="s">
        <v>469</v>
      </c>
      <c r="C198" s="45" t="s">
        <v>17</v>
      </c>
      <c r="D198" s="45" t="s">
        <v>27</v>
      </c>
      <c r="E198" s="53">
        <v>3150000</v>
      </c>
    </row>
    <row r="199" spans="1:5">
      <c r="A199" s="43" t="s">
        <v>302</v>
      </c>
      <c r="B199" s="43" t="s">
        <v>469</v>
      </c>
      <c r="C199" s="43" t="s">
        <v>17</v>
      </c>
      <c r="D199" s="43" t="s">
        <v>27</v>
      </c>
      <c r="E199" s="52">
        <v>3150000</v>
      </c>
    </row>
    <row r="200" spans="1:5">
      <c r="A200" s="45" t="s">
        <v>303</v>
      </c>
      <c r="B200" s="45" t="s">
        <v>469</v>
      </c>
      <c r="C200" s="45" t="s">
        <v>17</v>
      </c>
      <c r="D200" s="45" t="s">
        <v>27</v>
      </c>
      <c r="E200" s="53">
        <v>3110680</v>
      </c>
    </row>
    <row r="201" spans="1:5">
      <c r="A201" s="43" t="s">
        <v>304</v>
      </c>
      <c r="B201" s="43" t="s">
        <v>28</v>
      </c>
      <c r="C201" s="43" t="s">
        <v>17</v>
      </c>
      <c r="D201" s="43" t="s">
        <v>27</v>
      </c>
      <c r="E201" s="52">
        <v>3087300</v>
      </c>
    </row>
    <row r="202" spans="1:5">
      <c r="A202" s="45" t="s">
        <v>255</v>
      </c>
      <c r="B202" s="45" t="s">
        <v>469</v>
      </c>
      <c r="C202" s="45" t="s">
        <v>17</v>
      </c>
      <c r="D202" s="45" t="s">
        <v>27</v>
      </c>
      <c r="E202" s="53">
        <v>3070000</v>
      </c>
    </row>
    <row r="203" spans="1:5">
      <c r="A203" s="43" t="s">
        <v>487</v>
      </c>
      <c r="B203" s="43" t="s">
        <v>23</v>
      </c>
      <c r="C203" s="43" t="s">
        <v>17</v>
      </c>
      <c r="D203" s="43" t="s">
        <v>24</v>
      </c>
      <c r="E203" s="52">
        <v>3006106</v>
      </c>
    </row>
    <row r="204" spans="1:5">
      <c r="A204" s="45" t="s">
        <v>197</v>
      </c>
      <c r="B204" s="45" t="s">
        <v>48</v>
      </c>
      <c r="C204" s="45" t="s">
        <v>17</v>
      </c>
      <c r="D204" s="45" t="s">
        <v>27</v>
      </c>
      <c r="E204" s="53">
        <v>3000000</v>
      </c>
    </row>
    <row r="205" spans="1:5">
      <c r="A205" s="43" t="s">
        <v>306</v>
      </c>
      <c r="B205" s="43" t="s">
        <v>469</v>
      </c>
      <c r="C205" s="43" t="s">
        <v>17</v>
      </c>
      <c r="D205" s="43" t="s">
        <v>27</v>
      </c>
      <c r="E205" s="52">
        <v>3000000</v>
      </c>
    </row>
    <row r="206" spans="1:5">
      <c r="A206" s="45" t="s">
        <v>195</v>
      </c>
      <c r="B206" s="45" t="s">
        <v>48</v>
      </c>
      <c r="C206" s="45" t="s">
        <v>17</v>
      </c>
      <c r="D206" s="45" t="s">
        <v>27</v>
      </c>
      <c r="E206" s="53">
        <v>3000000</v>
      </c>
    </row>
    <row r="207" spans="1:5">
      <c r="A207" s="43" t="s">
        <v>307</v>
      </c>
      <c r="B207" s="43" t="s">
        <v>48</v>
      </c>
      <c r="C207" s="43" t="s">
        <v>17</v>
      </c>
      <c r="D207" s="43" t="s">
        <v>27</v>
      </c>
      <c r="E207" s="52">
        <v>3000000</v>
      </c>
    </row>
    <row r="208" spans="1:5">
      <c r="A208" s="45" t="s">
        <v>308</v>
      </c>
      <c r="B208" s="45" t="s">
        <v>469</v>
      </c>
      <c r="C208" s="45" t="s">
        <v>17</v>
      </c>
      <c r="D208" s="45" t="s">
        <v>27</v>
      </c>
      <c r="E208" s="53">
        <v>3000000</v>
      </c>
    </row>
    <row r="209" spans="1:5">
      <c r="A209" s="43" t="s">
        <v>235</v>
      </c>
      <c r="B209" s="43" t="s">
        <v>48</v>
      </c>
      <c r="C209" s="43" t="s">
        <v>17</v>
      </c>
      <c r="D209" s="43" t="s">
        <v>27</v>
      </c>
      <c r="E209" s="52">
        <v>3000000</v>
      </c>
    </row>
    <row r="210" spans="1:5">
      <c r="A210" s="45" t="s">
        <v>221</v>
      </c>
      <c r="B210" s="45" t="s">
        <v>48</v>
      </c>
      <c r="C210" s="45" t="s">
        <v>17</v>
      </c>
      <c r="D210" s="45" t="s">
        <v>27</v>
      </c>
      <c r="E210" s="53">
        <v>3000000</v>
      </c>
    </row>
    <row r="211" spans="1:5">
      <c r="A211" s="43" t="s">
        <v>212</v>
      </c>
      <c r="B211" s="43" t="s">
        <v>48</v>
      </c>
      <c r="C211" s="43" t="s">
        <v>17</v>
      </c>
      <c r="D211" s="43" t="s">
        <v>27</v>
      </c>
      <c r="E211" s="52">
        <v>3000000</v>
      </c>
    </row>
    <row r="212" spans="1:5">
      <c r="A212" s="45" t="s">
        <v>309</v>
      </c>
      <c r="B212" s="45" t="s">
        <v>28</v>
      </c>
      <c r="C212" s="45" t="s">
        <v>17</v>
      </c>
      <c r="D212" s="45" t="s">
        <v>27</v>
      </c>
      <c r="E212" s="53">
        <v>2980000</v>
      </c>
    </row>
    <row r="213" spans="1:5">
      <c r="A213" s="43" t="s">
        <v>111</v>
      </c>
      <c r="B213" s="43" t="s">
        <v>471</v>
      </c>
      <c r="C213" s="43" t="s">
        <v>17</v>
      </c>
      <c r="D213" s="43" t="s">
        <v>19</v>
      </c>
      <c r="E213" s="52">
        <v>2967786</v>
      </c>
    </row>
    <row r="214" spans="1:5">
      <c r="A214" s="45" t="s">
        <v>310</v>
      </c>
      <c r="B214" s="45" t="s">
        <v>469</v>
      </c>
      <c r="C214" s="45" t="s">
        <v>17</v>
      </c>
      <c r="D214" s="45" t="s">
        <v>27</v>
      </c>
      <c r="E214" s="53">
        <v>2951600</v>
      </c>
    </row>
    <row r="215" spans="1:5">
      <c r="A215" s="43" t="s">
        <v>311</v>
      </c>
      <c r="B215" s="43" t="s">
        <v>28</v>
      </c>
      <c r="C215" s="43" t="s">
        <v>17</v>
      </c>
      <c r="D215" s="43" t="s">
        <v>27</v>
      </c>
      <c r="E215" s="52">
        <v>2940000</v>
      </c>
    </row>
    <row r="216" spans="1:5">
      <c r="A216" s="45" t="s">
        <v>312</v>
      </c>
      <c r="B216" s="45" t="s">
        <v>469</v>
      </c>
      <c r="C216" s="45" t="s">
        <v>17</v>
      </c>
      <c r="D216" s="45" t="s">
        <v>27</v>
      </c>
      <c r="E216" s="53">
        <v>2884600</v>
      </c>
    </row>
    <row r="217" spans="1:5">
      <c r="A217" s="43" t="s">
        <v>314</v>
      </c>
      <c r="B217" s="43" t="s">
        <v>469</v>
      </c>
      <c r="C217" s="43" t="s">
        <v>17</v>
      </c>
      <c r="D217" s="43" t="s">
        <v>27</v>
      </c>
      <c r="E217" s="52">
        <v>2845000</v>
      </c>
    </row>
    <row r="218" spans="1:5">
      <c r="A218" s="45" t="s">
        <v>315</v>
      </c>
      <c r="B218" s="45" t="s">
        <v>469</v>
      </c>
      <c r="C218" s="45" t="s">
        <v>17</v>
      </c>
      <c r="D218" s="45" t="s">
        <v>27</v>
      </c>
      <c r="E218" s="53">
        <v>2784468</v>
      </c>
    </row>
    <row r="219" spans="1:5">
      <c r="A219" s="43" t="s">
        <v>316</v>
      </c>
      <c r="B219" s="43" t="s">
        <v>469</v>
      </c>
      <c r="C219" s="43" t="s">
        <v>17</v>
      </c>
      <c r="D219" s="43" t="s">
        <v>27</v>
      </c>
      <c r="E219" s="52">
        <v>2768700</v>
      </c>
    </row>
    <row r="220" spans="1:5">
      <c r="A220" s="45" t="s">
        <v>241</v>
      </c>
      <c r="B220" s="45" t="s">
        <v>469</v>
      </c>
      <c r="C220" s="45" t="s">
        <v>17</v>
      </c>
      <c r="D220" s="45" t="s">
        <v>27</v>
      </c>
      <c r="E220" s="53">
        <v>2765000</v>
      </c>
    </row>
    <row r="221" spans="1:5">
      <c r="A221" s="43" t="s">
        <v>317</v>
      </c>
      <c r="B221" s="43" t="s">
        <v>469</v>
      </c>
      <c r="C221" s="43" t="s">
        <v>17</v>
      </c>
      <c r="D221" s="43" t="s">
        <v>27</v>
      </c>
      <c r="E221" s="52">
        <v>2680000</v>
      </c>
    </row>
    <row r="222" spans="1:5">
      <c r="A222" s="45" t="s">
        <v>290</v>
      </c>
      <c r="B222" s="45" t="s">
        <v>469</v>
      </c>
      <c r="C222" s="45" t="s">
        <v>17</v>
      </c>
      <c r="D222" s="45" t="s">
        <v>27</v>
      </c>
      <c r="E222" s="53">
        <v>2650400</v>
      </c>
    </row>
    <row r="223" spans="1:5">
      <c r="A223" s="43" t="s">
        <v>318</v>
      </c>
      <c r="B223" s="43" t="s">
        <v>469</v>
      </c>
      <c r="C223" s="43" t="s">
        <v>17</v>
      </c>
      <c r="D223" s="43" t="s">
        <v>27</v>
      </c>
      <c r="E223" s="52">
        <v>2646900</v>
      </c>
    </row>
    <row r="224" spans="1:5">
      <c r="A224" s="45" t="s">
        <v>320</v>
      </c>
      <c r="B224" s="45" t="s">
        <v>469</v>
      </c>
      <c r="C224" s="45" t="s">
        <v>17</v>
      </c>
      <c r="D224" s="45" t="s">
        <v>27</v>
      </c>
      <c r="E224" s="53">
        <v>2565000</v>
      </c>
    </row>
    <row r="225" spans="1:5">
      <c r="A225" s="43" t="s">
        <v>321</v>
      </c>
      <c r="B225" s="43" t="s">
        <v>469</v>
      </c>
      <c r="C225" s="43" t="s">
        <v>17</v>
      </c>
      <c r="D225" s="43" t="s">
        <v>27</v>
      </c>
      <c r="E225" s="52">
        <v>2510000</v>
      </c>
    </row>
    <row r="226" spans="1:5">
      <c r="A226" s="45" t="s">
        <v>322</v>
      </c>
      <c r="B226" s="45" t="s">
        <v>48</v>
      </c>
      <c r="C226" s="45" t="s">
        <v>17</v>
      </c>
      <c r="D226" s="45" t="s">
        <v>27</v>
      </c>
      <c r="E226" s="53">
        <v>2500000</v>
      </c>
    </row>
    <row r="227" spans="1:5">
      <c r="A227" s="43" t="s">
        <v>196</v>
      </c>
      <c r="B227" s="43" t="s">
        <v>48</v>
      </c>
      <c r="C227" s="43" t="s">
        <v>17</v>
      </c>
      <c r="D227" s="43" t="s">
        <v>27</v>
      </c>
      <c r="E227" s="52">
        <v>2500000</v>
      </c>
    </row>
    <row r="228" spans="1:5">
      <c r="A228" s="45" t="s">
        <v>323</v>
      </c>
      <c r="B228" s="45" t="s">
        <v>48</v>
      </c>
      <c r="C228" s="45" t="s">
        <v>17</v>
      </c>
      <c r="D228" s="45" t="s">
        <v>27</v>
      </c>
      <c r="E228" s="53">
        <v>2500000</v>
      </c>
    </row>
    <row r="229" spans="1:5">
      <c r="A229" s="43" t="s">
        <v>216</v>
      </c>
      <c r="B229" s="43" t="s">
        <v>48</v>
      </c>
      <c r="C229" s="43" t="s">
        <v>17</v>
      </c>
      <c r="D229" s="43" t="s">
        <v>27</v>
      </c>
      <c r="E229" s="52">
        <v>2500000</v>
      </c>
    </row>
    <row r="230" spans="1:5">
      <c r="A230" s="45" t="s">
        <v>192</v>
      </c>
      <c r="B230" s="45" t="s">
        <v>48</v>
      </c>
      <c r="C230" s="45" t="s">
        <v>17</v>
      </c>
      <c r="D230" s="45" t="s">
        <v>27</v>
      </c>
      <c r="E230" s="53">
        <v>2500000</v>
      </c>
    </row>
    <row r="231" spans="1:5">
      <c r="A231" s="43" t="s">
        <v>324</v>
      </c>
      <c r="B231" s="43" t="s">
        <v>48</v>
      </c>
      <c r="C231" s="43" t="s">
        <v>17</v>
      </c>
      <c r="D231" s="43" t="s">
        <v>27</v>
      </c>
      <c r="E231" s="52">
        <v>2500000</v>
      </c>
    </row>
    <row r="232" spans="1:5">
      <c r="A232" s="45" t="s">
        <v>295</v>
      </c>
      <c r="B232" s="45" t="s">
        <v>48</v>
      </c>
      <c r="C232" s="45" t="s">
        <v>17</v>
      </c>
      <c r="D232" s="45" t="s">
        <v>27</v>
      </c>
      <c r="E232" s="53">
        <v>2500000</v>
      </c>
    </row>
    <row r="233" spans="1:5">
      <c r="A233" s="43" t="s">
        <v>134</v>
      </c>
      <c r="B233" s="43" t="s">
        <v>48</v>
      </c>
      <c r="C233" s="43" t="s">
        <v>17</v>
      </c>
      <c r="D233" s="43" t="s">
        <v>27</v>
      </c>
      <c r="E233" s="52">
        <v>2500000</v>
      </c>
    </row>
    <row r="234" spans="1:5">
      <c r="A234" s="45" t="s">
        <v>217</v>
      </c>
      <c r="B234" s="45" t="s">
        <v>48</v>
      </c>
      <c r="C234" s="45" t="s">
        <v>17</v>
      </c>
      <c r="D234" s="45" t="s">
        <v>27</v>
      </c>
      <c r="E234" s="53">
        <v>2500000</v>
      </c>
    </row>
    <row r="235" spans="1:5">
      <c r="A235" s="43" t="s">
        <v>325</v>
      </c>
      <c r="B235" s="43" t="s">
        <v>48</v>
      </c>
      <c r="C235" s="43" t="s">
        <v>17</v>
      </c>
      <c r="D235" s="43" t="s">
        <v>27</v>
      </c>
      <c r="E235" s="52">
        <v>2500000</v>
      </c>
    </row>
    <row r="236" spans="1:5">
      <c r="A236" s="45" t="s">
        <v>326</v>
      </c>
      <c r="B236" s="45" t="s">
        <v>28</v>
      </c>
      <c r="C236" s="45" t="s">
        <v>17</v>
      </c>
      <c r="D236" s="45" t="s">
        <v>27</v>
      </c>
      <c r="E236" s="53">
        <v>2500000</v>
      </c>
    </row>
    <row r="237" spans="1:5">
      <c r="A237" s="43" t="s">
        <v>137</v>
      </c>
      <c r="B237" s="43" t="s">
        <v>48</v>
      </c>
      <c r="C237" s="43" t="s">
        <v>17</v>
      </c>
      <c r="D237" s="43" t="s">
        <v>27</v>
      </c>
      <c r="E237" s="52">
        <v>2500000</v>
      </c>
    </row>
    <row r="238" spans="1:5">
      <c r="A238" s="45" t="s">
        <v>115</v>
      </c>
      <c r="B238" s="45" t="s">
        <v>48</v>
      </c>
      <c r="C238" s="45" t="s">
        <v>17</v>
      </c>
      <c r="D238" s="45" t="s">
        <v>27</v>
      </c>
      <c r="E238" s="53">
        <v>2500000</v>
      </c>
    </row>
    <row r="239" spans="1:5">
      <c r="A239" s="43" t="s">
        <v>327</v>
      </c>
      <c r="B239" s="43" t="s">
        <v>469</v>
      </c>
      <c r="C239" s="43" t="s">
        <v>17</v>
      </c>
      <c r="D239" s="43" t="s">
        <v>27</v>
      </c>
      <c r="E239" s="52">
        <v>2500000</v>
      </c>
    </row>
    <row r="240" spans="1:5">
      <c r="A240" s="45" t="s">
        <v>254</v>
      </c>
      <c r="B240" s="45" t="s">
        <v>48</v>
      </c>
      <c r="C240" s="45" t="s">
        <v>17</v>
      </c>
      <c r="D240" s="45" t="s">
        <v>27</v>
      </c>
      <c r="E240" s="53">
        <v>2500000</v>
      </c>
    </row>
    <row r="241" spans="1:5">
      <c r="A241" s="43" t="s">
        <v>132</v>
      </c>
      <c r="B241" s="43" t="s">
        <v>48</v>
      </c>
      <c r="C241" s="43" t="s">
        <v>17</v>
      </c>
      <c r="D241" s="43" t="s">
        <v>27</v>
      </c>
      <c r="E241" s="52">
        <v>2500000</v>
      </c>
    </row>
    <row r="242" spans="1:5">
      <c r="A242" s="45" t="s">
        <v>328</v>
      </c>
      <c r="B242" s="45" t="s">
        <v>48</v>
      </c>
      <c r="C242" s="45" t="s">
        <v>17</v>
      </c>
      <c r="D242" s="45" t="s">
        <v>27</v>
      </c>
      <c r="E242" s="53">
        <v>2500000</v>
      </c>
    </row>
    <row r="243" spans="1:5">
      <c r="A243" s="43" t="s">
        <v>116</v>
      </c>
      <c r="B243" s="43" t="s">
        <v>48</v>
      </c>
      <c r="C243" s="43" t="s">
        <v>17</v>
      </c>
      <c r="D243" s="43" t="s">
        <v>27</v>
      </c>
      <c r="E243" s="52">
        <v>2500000</v>
      </c>
    </row>
    <row r="244" spans="1:5">
      <c r="A244" s="45" t="s">
        <v>329</v>
      </c>
      <c r="B244" s="45" t="s">
        <v>48</v>
      </c>
      <c r="C244" s="45" t="s">
        <v>17</v>
      </c>
      <c r="D244" s="45" t="s">
        <v>27</v>
      </c>
      <c r="E244" s="53">
        <v>2500000</v>
      </c>
    </row>
    <row r="245" spans="1:5">
      <c r="A245" s="43" t="s">
        <v>259</v>
      </c>
      <c r="B245" s="43" t="s">
        <v>28</v>
      </c>
      <c r="C245" s="43" t="s">
        <v>17</v>
      </c>
      <c r="D245" s="43" t="s">
        <v>27</v>
      </c>
      <c r="E245" s="52">
        <v>2500000</v>
      </c>
    </row>
    <row r="246" spans="1:5">
      <c r="A246" s="45" t="s">
        <v>330</v>
      </c>
      <c r="B246" s="45" t="s">
        <v>48</v>
      </c>
      <c r="C246" s="45" t="s">
        <v>17</v>
      </c>
      <c r="D246" s="45" t="s">
        <v>27</v>
      </c>
      <c r="E246" s="53">
        <v>2500000</v>
      </c>
    </row>
    <row r="247" spans="1:5">
      <c r="A247" s="43" t="s">
        <v>331</v>
      </c>
      <c r="B247" s="43" t="s">
        <v>28</v>
      </c>
      <c r="C247" s="43" t="s">
        <v>17</v>
      </c>
      <c r="D247" s="43" t="s">
        <v>27</v>
      </c>
      <c r="E247" s="52">
        <v>2500000</v>
      </c>
    </row>
    <row r="248" spans="1:5">
      <c r="A248" s="45" t="s">
        <v>332</v>
      </c>
      <c r="B248" s="45" t="s">
        <v>48</v>
      </c>
      <c r="C248" s="45" t="s">
        <v>17</v>
      </c>
      <c r="D248" s="45" t="s">
        <v>27</v>
      </c>
      <c r="E248" s="53">
        <v>2500000</v>
      </c>
    </row>
    <row r="249" spans="1:5">
      <c r="A249" s="43" t="s">
        <v>333</v>
      </c>
      <c r="B249" s="43" t="s">
        <v>48</v>
      </c>
      <c r="C249" s="43" t="s">
        <v>17</v>
      </c>
      <c r="D249" s="43" t="s">
        <v>27</v>
      </c>
      <c r="E249" s="52">
        <v>2500000</v>
      </c>
    </row>
    <row r="250" spans="1:5">
      <c r="A250" s="45" t="s">
        <v>334</v>
      </c>
      <c r="B250" s="45" t="s">
        <v>48</v>
      </c>
      <c r="C250" s="45" t="s">
        <v>17</v>
      </c>
      <c r="D250" s="45" t="s">
        <v>27</v>
      </c>
      <c r="E250" s="53">
        <v>2500000</v>
      </c>
    </row>
    <row r="251" spans="1:5">
      <c r="A251" s="43" t="s">
        <v>157</v>
      </c>
      <c r="B251" s="43" t="s">
        <v>48</v>
      </c>
      <c r="C251" s="43" t="s">
        <v>17</v>
      </c>
      <c r="D251" s="43" t="s">
        <v>27</v>
      </c>
      <c r="E251" s="52">
        <v>2500000</v>
      </c>
    </row>
    <row r="252" spans="1:5">
      <c r="A252" s="45" t="s">
        <v>144</v>
      </c>
      <c r="B252" s="45" t="s">
        <v>48</v>
      </c>
      <c r="C252" s="45" t="s">
        <v>17</v>
      </c>
      <c r="D252" s="45" t="s">
        <v>27</v>
      </c>
      <c r="E252" s="53">
        <v>2500000</v>
      </c>
    </row>
    <row r="253" spans="1:5">
      <c r="A253" s="43" t="s">
        <v>260</v>
      </c>
      <c r="B253" s="43" t="s">
        <v>28</v>
      </c>
      <c r="C253" s="43" t="s">
        <v>17</v>
      </c>
      <c r="D253" s="43" t="s">
        <v>27</v>
      </c>
      <c r="E253" s="52">
        <v>2500000</v>
      </c>
    </row>
    <row r="254" spans="1:5">
      <c r="A254" s="45" t="s">
        <v>335</v>
      </c>
      <c r="B254" s="45" t="s">
        <v>48</v>
      </c>
      <c r="C254" s="45" t="s">
        <v>17</v>
      </c>
      <c r="D254" s="45" t="s">
        <v>27</v>
      </c>
      <c r="E254" s="53">
        <v>2500000</v>
      </c>
    </row>
    <row r="255" spans="1:5">
      <c r="A255" s="43" t="s">
        <v>336</v>
      </c>
      <c r="B255" s="43" t="s">
        <v>48</v>
      </c>
      <c r="C255" s="43" t="s">
        <v>17</v>
      </c>
      <c r="D255" s="43" t="s">
        <v>27</v>
      </c>
      <c r="E255" s="52">
        <v>2500000</v>
      </c>
    </row>
    <row r="256" spans="1:5">
      <c r="A256" s="45" t="s">
        <v>261</v>
      </c>
      <c r="B256" s="45" t="s">
        <v>28</v>
      </c>
      <c r="C256" s="45" t="s">
        <v>17</v>
      </c>
      <c r="D256" s="45" t="s">
        <v>27</v>
      </c>
      <c r="E256" s="53">
        <v>2500000</v>
      </c>
    </row>
    <row r="257" spans="1:5">
      <c r="A257" s="43" t="s">
        <v>262</v>
      </c>
      <c r="B257" s="43" t="s">
        <v>28</v>
      </c>
      <c r="C257" s="43" t="s">
        <v>17</v>
      </c>
      <c r="D257" s="43" t="s">
        <v>27</v>
      </c>
      <c r="E257" s="52">
        <v>2500000</v>
      </c>
    </row>
    <row r="258" spans="1:5">
      <c r="A258" s="45" t="s">
        <v>263</v>
      </c>
      <c r="B258" s="45" t="s">
        <v>28</v>
      </c>
      <c r="C258" s="45" t="s">
        <v>17</v>
      </c>
      <c r="D258" s="45" t="s">
        <v>27</v>
      </c>
      <c r="E258" s="53">
        <v>2500000</v>
      </c>
    </row>
    <row r="259" spans="1:5">
      <c r="A259" s="43" t="s">
        <v>337</v>
      </c>
      <c r="B259" s="43" t="s">
        <v>48</v>
      </c>
      <c r="C259" s="43" t="s">
        <v>17</v>
      </c>
      <c r="D259" s="43" t="s">
        <v>27</v>
      </c>
      <c r="E259" s="52">
        <v>2500000</v>
      </c>
    </row>
    <row r="260" spans="1:5">
      <c r="A260" s="45" t="s">
        <v>238</v>
      </c>
      <c r="B260" s="45" t="s">
        <v>48</v>
      </c>
      <c r="C260" s="45" t="s">
        <v>17</v>
      </c>
      <c r="D260" s="45" t="s">
        <v>27</v>
      </c>
      <c r="E260" s="53">
        <v>2500000</v>
      </c>
    </row>
    <row r="261" spans="1:5">
      <c r="A261" s="43" t="s">
        <v>257</v>
      </c>
      <c r="B261" s="43" t="s">
        <v>48</v>
      </c>
      <c r="C261" s="43" t="s">
        <v>17</v>
      </c>
      <c r="D261" s="43" t="s">
        <v>27</v>
      </c>
      <c r="E261" s="52">
        <v>2500000</v>
      </c>
    </row>
    <row r="262" spans="1:5">
      <c r="A262" s="45" t="s">
        <v>258</v>
      </c>
      <c r="B262" s="45" t="s">
        <v>48</v>
      </c>
      <c r="C262" s="45" t="s">
        <v>17</v>
      </c>
      <c r="D262" s="45" t="s">
        <v>27</v>
      </c>
      <c r="E262" s="53">
        <v>2500000</v>
      </c>
    </row>
    <row r="263" spans="1:5">
      <c r="A263" s="43" t="s">
        <v>338</v>
      </c>
      <c r="B263" s="43" t="s">
        <v>48</v>
      </c>
      <c r="C263" s="43" t="s">
        <v>17</v>
      </c>
      <c r="D263" s="43" t="s">
        <v>27</v>
      </c>
      <c r="E263" s="52">
        <v>2500000</v>
      </c>
    </row>
    <row r="264" spans="1:5">
      <c r="A264" s="45" t="s">
        <v>339</v>
      </c>
      <c r="B264" s="45" t="s">
        <v>48</v>
      </c>
      <c r="C264" s="45" t="s">
        <v>17</v>
      </c>
      <c r="D264" s="45" t="s">
        <v>27</v>
      </c>
      <c r="E264" s="53">
        <v>2500000</v>
      </c>
    </row>
    <row r="265" spans="1:5">
      <c r="A265" s="43" t="s">
        <v>117</v>
      </c>
      <c r="B265" s="43" t="s">
        <v>48</v>
      </c>
      <c r="C265" s="43" t="s">
        <v>17</v>
      </c>
      <c r="D265" s="43" t="s">
        <v>27</v>
      </c>
      <c r="E265" s="52">
        <v>2500000</v>
      </c>
    </row>
    <row r="266" spans="1:5">
      <c r="A266" s="45" t="s">
        <v>135</v>
      </c>
      <c r="B266" s="45" t="s">
        <v>48</v>
      </c>
      <c r="C266" s="45" t="s">
        <v>17</v>
      </c>
      <c r="D266" s="45" t="s">
        <v>27</v>
      </c>
      <c r="E266" s="53">
        <v>2500000</v>
      </c>
    </row>
    <row r="267" spans="1:5">
      <c r="A267" s="43" t="s">
        <v>340</v>
      </c>
      <c r="B267" s="43" t="s">
        <v>48</v>
      </c>
      <c r="C267" s="43" t="s">
        <v>17</v>
      </c>
      <c r="D267" s="43" t="s">
        <v>27</v>
      </c>
      <c r="E267" s="52">
        <v>2500000</v>
      </c>
    </row>
    <row r="268" spans="1:5">
      <c r="A268" s="45" t="s">
        <v>264</v>
      </c>
      <c r="B268" s="45" t="s">
        <v>28</v>
      </c>
      <c r="C268" s="45" t="s">
        <v>17</v>
      </c>
      <c r="D268" s="45" t="s">
        <v>27</v>
      </c>
      <c r="E268" s="53">
        <v>2500000</v>
      </c>
    </row>
    <row r="269" spans="1:5">
      <c r="A269" s="43" t="s">
        <v>249</v>
      </c>
      <c r="B269" s="43" t="s">
        <v>48</v>
      </c>
      <c r="C269" s="43" t="s">
        <v>17</v>
      </c>
      <c r="D269" s="43" t="s">
        <v>27</v>
      </c>
      <c r="E269" s="52">
        <v>2500000</v>
      </c>
    </row>
    <row r="270" spans="1:5">
      <c r="A270" s="45" t="s">
        <v>341</v>
      </c>
      <c r="B270" s="45" t="s">
        <v>48</v>
      </c>
      <c r="C270" s="45" t="s">
        <v>17</v>
      </c>
      <c r="D270" s="45" t="s">
        <v>27</v>
      </c>
      <c r="E270" s="53">
        <v>2500000</v>
      </c>
    </row>
    <row r="271" spans="1:5">
      <c r="A271" s="43" t="s">
        <v>342</v>
      </c>
      <c r="B271" s="43" t="s">
        <v>48</v>
      </c>
      <c r="C271" s="43" t="s">
        <v>17</v>
      </c>
      <c r="D271" s="43" t="s">
        <v>27</v>
      </c>
      <c r="E271" s="52">
        <v>2500000</v>
      </c>
    </row>
    <row r="272" spans="1:5">
      <c r="A272" s="45" t="s">
        <v>136</v>
      </c>
      <c r="B272" s="45" t="s">
        <v>48</v>
      </c>
      <c r="C272" s="45" t="s">
        <v>17</v>
      </c>
      <c r="D272" s="45" t="s">
        <v>27</v>
      </c>
      <c r="E272" s="53">
        <v>2500000</v>
      </c>
    </row>
    <row r="273" spans="1:5">
      <c r="A273" s="43" t="s">
        <v>343</v>
      </c>
      <c r="B273" s="43" t="s">
        <v>48</v>
      </c>
      <c r="C273" s="43" t="s">
        <v>17</v>
      </c>
      <c r="D273" s="43" t="s">
        <v>27</v>
      </c>
      <c r="E273" s="52">
        <v>2500000</v>
      </c>
    </row>
    <row r="274" spans="1:5">
      <c r="A274" s="45" t="s">
        <v>344</v>
      </c>
      <c r="B274" s="45" t="s">
        <v>48</v>
      </c>
      <c r="C274" s="45" t="s">
        <v>17</v>
      </c>
      <c r="D274" s="45" t="s">
        <v>27</v>
      </c>
      <c r="E274" s="53">
        <v>2500000</v>
      </c>
    </row>
    <row r="275" spans="1:5">
      <c r="A275" s="43" t="s">
        <v>345</v>
      </c>
      <c r="B275" s="43" t="s">
        <v>48</v>
      </c>
      <c r="C275" s="43" t="s">
        <v>17</v>
      </c>
      <c r="D275" s="43" t="s">
        <v>27</v>
      </c>
      <c r="E275" s="52">
        <v>2500000</v>
      </c>
    </row>
    <row r="276" spans="1:5">
      <c r="A276" s="45" t="s">
        <v>346</v>
      </c>
      <c r="B276" s="45" t="s">
        <v>48</v>
      </c>
      <c r="C276" s="45" t="s">
        <v>17</v>
      </c>
      <c r="D276" s="45" t="s">
        <v>27</v>
      </c>
      <c r="E276" s="53">
        <v>2500000</v>
      </c>
    </row>
    <row r="277" spans="1:5">
      <c r="A277" s="43" t="s">
        <v>239</v>
      </c>
      <c r="B277" s="43" t="s">
        <v>48</v>
      </c>
      <c r="C277" s="43" t="s">
        <v>17</v>
      </c>
      <c r="D277" s="43" t="s">
        <v>27</v>
      </c>
      <c r="E277" s="52">
        <v>2500000</v>
      </c>
    </row>
    <row r="278" spans="1:5">
      <c r="A278" s="45" t="s">
        <v>128</v>
      </c>
      <c r="B278" s="45" t="s">
        <v>48</v>
      </c>
      <c r="C278" s="45" t="s">
        <v>17</v>
      </c>
      <c r="D278" s="45" t="s">
        <v>27</v>
      </c>
      <c r="E278" s="53">
        <v>2500000</v>
      </c>
    </row>
    <row r="279" spans="1:5">
      <c r="A279" s="43" t="s">
        <v>120</v>
      </c>
      <c r="B279" s="43" t="s">
        <v>48</v>
      </c>
      <c r="C279" s="43" t="s">
        <v>17</v>
      </c>
      <c r="D279" s="43" t="s">
        <v>27</v>
      </c>
      <c r="E279" s="52">
        <v>2500000</v>
      </c>
    </row>
    <row r="280" spans="1:5">
      <c r="A280" s="45" t="s">
        <v>347</v>
      </c>
      <c r="B280" s="45" t="s">
        <v>48</v>
      </c>
      <c r="C280" s="45" t="s">
        <v>17</v>
      </c>
      <c r="D280" s="45" t="s">
        <v>27</v>
      </c>
      <c r="E280" s="53">
        <v>2500000</v>
      </c>
    </row>
    <row r="281" spans="1:5">
      <c r="A281" s="43" t="s">
        <v>348</v>
      </c>
      <c r="B281" s="43" t="s">
        <v>28</v>
      </c>
      <c r="C281" s="43" t="s">
        <v>17</v>
      </c>
      <c r="D281" s="43" t="s">
        <v>27</v>
      </c>
      <c r="E281" s="52">
        <v>2500000</v>
      </c>
    </row>
    <row r="282" spans="1:5">
      <c r="A282" s="45" t="s">
        <v>283</v>
      </c>
      <c r="B282" s="45" t="s">
        <v>48</v>
      </c>
      <c r="C282" s="45" t="s">
        <v>17</v>
      </c>
      <c r="D282" s="45" t="s">
        <v>27</v>
      </c>
      <c r="E282" s="53">
        <v>2500000</v>
      </c>
    </row>
    <row r="283" spans="1:5">
      <c r="A283" s="43" t="s">
        <v>265</v>
      </c>
      <c r="B283" s="43" t="s">
        <v>28</v>
      </c>
      <c r="C283" s="43" t="s">
        <v>17</v>
      </c>
      <c r="D283" s="43" t="s">
        <v>27</v>
      </c>
      <c r="E283" s="52">
        <v>2499430</v>
      </c>
    </row>
    <row r="284" spans="1:5">
      <c r="A284" s="45" t="s">
        <v>266</v>
      </c>
      <c r="B284" s="45" t="s">
        <v>28</v>
      </c>
      <c r="C284" s="45" t="s">
        <v>17</v>
      </c>
      <c r="D284" s="45" t="s">
        <v>27</v>
      </c>
      <c r="E284" s="53">
        <v>2498750</v>
      </c>
    </row>
    <row r="285" spans="1:5">
      <c r="A285" s="43" t="s">
        <v>267</v>
      </c>
      <c r="B285" s="43" t="s">
        <v>28</v>
      </c>
      <c r="C285" s="43" t="s">
        <v>17</v>
      </c>
      <c r="D285" s="43" t="s">
        <v>27</v>
      </c>
      <c r="E285" s="52">
        <v>2496165</v>
      </c>
    </row>
    <row r="286" spans="1:5">
      <c r="A286" s="45" t="s">
        <v>268</v>
      </c>
      <c r="B286" s="45" t="s">
        <v>28</v>
      </c>
      <c r="C286" s="45" t="s">
        <v>17</v>
      </c>
      <c r="D286" s="45" t="s">
        <v>27</v>
      </c>
      <c r="E286" s="53">
        <v>2496000</v>
      </c>
    </row>
    <row r="287" spans="1:5">
      <c r="A287" s="43" t="s">
        <v>269</v>
      </c>
      <c r="B287" s="43" t="s">
        <v>28</v>
      </c>
      <c r="C287" s="43" t="s">
        <v>17</v>
      </c>
      <c r="D287" s="43" t="s">
        <v>27</v>
      </c>
      <c r="E287" s="52">
        <v>2495435</v>
      </c>
    </row>
    <row r="288" spans="1:5">
      <c r="A288" s="45" t="s">
        <v>270</v>
      </c>
      <c r="B288" s="45" t="s">
        <v>28</v>
      </c>
      <c r="C288" s="45" t="s">
        <v>17</v>
      </c>
      <c r="D288" s="45" t="s">
        <v>27</v>
      </c>
      <c r="E288" s="53">
        <v>2493000</v>
      </c>
    </row>
    <row r="289" spans="1:5">
      <c r="A289" s="43" t="s">
        <v>271</v>
      </c>
      <c r="B289" s="43" t="s">
        <v>28</v>
      </c>
      <c r="C289" s="43" t="s">
        <v>17</v>
      </c>
      <c r="D289" s="43" t="s">
        <v>27</v>
      </c>
      <c r="E289" s="52">
        <v>2492730</v>
      </c>
    </row>
    <row r="290" spans="1:5">
      <c r="A290" s="45" t="s">
        <v>272</v>
      </c>
      <c r="B290" s="45" t="s">
        <v>28</v>
      </c>
      <c r="C290" s="45" t="s">
        <v>17</v>
      </c>
      <c r="D290" s="45" t="s">
        <v>27</v>
      </c>
      <c r="E290" s="53">
        <v>2492625</v>
      </c>
    </row>
    <row r="291" spans="1:5">
      <c r="A291" s="43" t="s">
        <v>122</v>
      </c>
      <c r="B291" s="43" t="s">
        <v>18</v>
      </c>
      <c r="C291" s="43" t="s">
        <v>17</v>
      </c>
      <c r="D291" s="43" t="s">
        <v>19</v>
      </c>
      <c r="E291" s="52">
        <v>2491193</v>
      </c>
    </row>
    <row r="292" spans="1:5">
      <c r="A292" s="45" t="s">
        <v>349</v>
      </c>
      <c r="B292" s="45" t="s">
        <v>28</v>
      </c>
      <c r="C292" s="45" t="s">
        <v>17</v>
      </c>
      <c r="D292" s="45" t="s">
        <v>27</v>
      </c>
      <c r="E292" s="53">
        <v>2490000</v>
      </c>
    </row>
    <row r="293" spans="1:5">
      <c r="A293" s="43" t="s">
        <v>350</v>
      </c>
      <c r="B293" s="43" t="s">
        <v>28</v>
      </c>
      <c r="C293" s="43" t="s">
        <v>17</v>
      </c>
      <c r="D293" s="43" t="s">
        <v>27</v>
      </c>
      <c r="E293" s="52">
        <v>2488935</v>
      </c>
    </row>
    <row r="294" spans="1:5">
      <c r="A294" s="45" t="s">
        <v>273</v>
      </c>
      <c r="B294" s="45" t="s">
        <v>28</v>
      </c>
      <c r="C294" s="45" t="s">
        <v>17</v>
      </c>
      <c r="D294" s="45" t="s">
        <v>27</v>
      </c>
      <c r="E294" s="53">
        <v>2486530</v>
      </c>
    </row>
    <row r="295" spans="1:5">
      <c r="A295" s="43" t="s">
        <v>274</v>
      </c>
      <c r="B295" s="43" t="s">
        <v>28</v>
      </c>
      <c r="C295" s="43" t="s">
        <v>17</v>
      </c>
      <c r="D295" s="43" t="s">
        <v>27</v>
      </c>
      <c r="E295" s="52">
        <v>2485000</v>
      </c>
    </row>
    <row r="296" spans="1:5">
      <c r="A296" s="45" t="s">
        <v>275</v>
      </c>
      <c r="B296" s="45" t="s">
        <v>28</v>
      </c>
      <c r="C296" s="45" t="s">
        <v>17</v>
      </c>
      <c r="D296" s="45" t="s">
        <v>27</v>
      </c>
      <c r="E296" s="53">
        <v>2485000</v>
      </c>
    </row>
    <row r="297" spans="1:5">
      <c r="A297" s="43" t="s">
        <v>276</v>
      </c>
      <c r="B297" s="43" t="s">
        <v>28</v>
      </c>
      <c r="C297" s="43" t="s">
        <v>17</v>
      </c>
      <c r="D297" s="43" t="s">
        <v>27</v>
      </c>
      <c r="E297" s="52">
        <v>2480340</v>
      </c>
    </row>
    <row r="298" spans="1:5">
      <c r="A298" s="45" t="s">
        <v>277</v>
      </c>
      <c r="B298" s="45" t="s">
        <v>28</v>
      </c>
      <c r="C298" s="45" t="s">
        <v>17</v>
      </c>
      <c r="D298" s="45" t="s">
        <v>27</v>
      </c>
      <c r="E298" s="53">
        <v>2475865</v>
      </c>
    </row>
    <row r="299" spans="1:5">
      <c r="A299" s="43" t="s">
        <v>170</v>
      </c>
      <c r="B299" s="43" t="s">
        <v>28</v>
      </c>
      <c r="C299" s="43" t="s">
        <v>17</v>
      </c>
      <c r="D299" s="43" t="s">
        <v>27</v>
      </c>
      <c r="E299" s="52">
        <v>2463430</v>
      </c>
    </row>
    <row r="300" spans="1:5">
      <c r="A300" s="45" t="s">
        <v>279</v>
      </c>
      <c r="B300" s="45" t="s">
        <v>28</v>
      </c>
      <c r="C300" s="45" t="s">
        <v>17</v>
      </c>
      <c r="D300" s="45" t="s">
        <v>27</v>
      </c>
      <c r="E300" s="53">
        <v>2454115</v>
      </c>
    </row>
    <row r="301" spans="1:5">
      <c r="A301" s="43" t="s">
        <v>238</v>
      </c>
      <c r="B301" s="43" t="s">
        <v>28</v>
      </c>
      <c r="C301" s="43" t="s">
        <v>17</v>
      </c>
      <c r="D301" s="43" t="s">
        <v>27</v>
      </c>
      <c r="E301" s="52">
        <v>2452300</v>
      </c>
    </row>
    <row r="302" spans="1:5">
      <c r="A302" s="45" t="s">
        <v>351</v>
      </c>
      <c r="B302" s="45" t="s">
        <v>469</v>
      </c>
      <c r="C302" s="45" t="s">
        <v>17</v>
      </c>
      <c r="D302" s="45" t="s">
        <v>27</v>
      </c>
      <c r="E302" s="53">
        <v>2447800</v>
      </c>
    </row>
    <row r="303" spans="1:5">
      <c r="A303" s="43" t="s">
        <v>280</v>
      </c>
      <c r="B303" s="43" t="s">
        <v>28</v>
      </c>
      <c r="C303" s="43" t="s">
        <v>17</v>
      </c>
      <c r="D303" s="43" t="s">
        <v>27</v>
      </c>
      <c r="E303" s="52">
        <v>2438625</v>
      </c>
    </row>
    <row r="304" spans="1:5">
      <c r="A304" s="45" t="s">
        <v>352</v>
      </c>
      <c r="B304" s="45" t="s">
        <v>28</v>
      </c>
      <c r="C304" s="45" t="s">
        <v>17</v>
      </c>
      <c r="D304" s="45" t="s">
        <v>27</v>
      </c>
      <c r="E304" s="53">
        <v>2435000</v>
      </c>
    </row>
    <row r="305" spans="1:5">
      <c r="A305" s="43" t="s">
        <v>221</v>
      </c>
      <c r="B305" s="43" t="s">
        <v>469</v>
      </c>
      <c r="C305" s="43" t="s">
        <v>17</v>
      </c>
      <c r="D305" s="43" t="s">
        <v>27</v>
      </c>
      <c r="E305" s="52">
        <v>2416000</v>
      </c>
    </row>
    <row r="306" spans="1:5">
      <c r="A306" s="45" t="s">
        <v>247</v>
      </c>
      <c r="B306" s="45" t="s">
        <v>469</v>
      </c>
      <c r="C306" s="45" t="s">
        <v>17</v>
      </c>
      <c r="D306" s="45" t="s">
        <v>27</v>
      </c>
      <c r="E306" s="53">
        <v>2408666</v>
      </c>
    </row>
    <row r="307" spans="1:5">
      <c r="A307" s="43" t="s">
        <v>281</v>
      </c>
      <c r="B307" s="43" t="s">
        <v>28</v>
      </c>
      <c r="C307" s="43" t="s">
        <v>17</v>
      </c>
      <c r="D307" s="43" t="s">
        <v>27</v>
      </c>
      <c r="E307" s="52">
        <v>2406900</v>
      </c>
    </row>
    <row r="308" spans="1:5">
      <c r="A308" s="45" t="s">
        <v>353</v>
      </c>
      <c r="B308" s="45" t="s">
        <v>28</v>
      </c>
      <c r="C308" s="45" t="s">
        <v>17</v>
      </c>
      <c r="D308" s="45" t="s">
        <v>27</v>
      </c>
      <c r="E308" s="53">
        <v>2405350</v>
      </c>
    </row>
    <row r="309" spans="1:5">
      <c r="A309" s="43" t="s">
        <v>282</v>
      </c>
      <c r="B309" s="43" t="s">
        <v>28</v>
      </c>
      <c r="C309" s="43" t="s">
        <v>17</v>
      </c>
      <c r="D309" s="43" t="s">
        <v>27</v>
      </c>
      <c r="E309" s="52">
        <v>2405000</v>
      </c>
    </row>
    <row r="310" spans="1:5">
      <c r="A310" s="45" t="s">
        <v>284</v>
      </c>
      <c r="B310" s="45" t="s">
        <v>28</v>
      </c>
      <c r="C310" s="45" t="s">
        <v>17</v>
      </c>
      <c r="D310" s="45" t="s">
        <v>27</v>
      </c>
      <c r="E310" s="53">
        <v>2375875</v>
      </c>
    </row>
    <row r="311" spans="1:5">
      <c r="A311" s="43" t="s">
        <v>286</v>
      </c>
      <c r="B311" s="43" t="s">
        <v>28</v>
      </c>
      <c r="C311" s="43" t="s">
        <v>17</v>
      </c>
      <c r="D311" s="43" t="s">
        <v>27</v>
      </c>
      <c r="E311" s="52">
        <v>2361640</v>
      </c>
    </row>
    <row r="312" spans="1:5">
      <c r="A312" s="45" t="s">
        <v>488</v>
      </c>
      <c r="B312" s="45" t="s">
        <v>23</v>
      </c>
      <c r="C312" s="45" t="s">
        <v>17</v>
      </c>
      <c r="D312" s="45" t="s">
        <v>24</v>
      </c>
      <c r="E312" s="53">
        <v>2352189</v>
      </c>
    </row>
    <row r="313" spans="1:5">
      <c r="A313" s="43" t="s">
        <v>287</v>
      </c>
      <c r="B313" s="43" t="s">
        <v>28</v>
      </c>
      <c r="C313" s="43" t="s">
        <v>17</v>
      </c>
      <c r="D313" s="43" t="s">
        <v>27</v>
      </c>
      <c r="E313" s="52">
        <v>2349645</v>
      </c>
    </row>
    <row r="314" spans="1:5">
      <c r="A314" s="45" t="s">
        <v>239</v>
      </c>
      <c r="B314" s="45" t="s">
        <v>28</v>
      </c>
      <c r="C314" s="45" t="s">
        <v>17</v>
      </c>
      <c r="D314" s="45" t="s">
        <v>27</v>
      </c>
      <c r="E314" s="53">
        <v>2304250</v>
      </c>
    </row>
    <row r="315" spans="1:5">
      <c r="A315" s="43" t="s">
        <v>354</v>
      </c>
      <c r="B315" s="43" t="s">
        <v>28</v>
      </c>
      <c r="C315" s="43" t="s">
        <v>17</v>
      </c>
      <c r="D315" s="43" t="s">
        <v>27</v>
      </c>
      <c r="E315" s="52">
        <v>2294500</v>
      </c>
    </row>
    <row r="316" spans="1:5">
      <c r="A316" s="45" t="s">
        <v>355</v>
      </c>
      <c r="B316" s="45" t="s">
        <v>469</v>
      </c>
      <c r="C316" s="45" t="s">
        <v>17</v>
      </c>
      <c r="D316" s="45" t="s">
        <v>27</v>
      </c>
      <c r="E316" s="53">
        <v>2280000</v>
      </c>
    </row>
    <row r="317" spans="1:5">
      <c r="A317" s="43" t="s">
        <v>356</v>
      </c>
      <c r="B317" s="43" t="s">
        <v>469</v>
      </c>
      <c r="C317" s="43" t="s">
        <v>17</v>
      </c>
      <c r="D317" s="43" t="s">
        <v>27</v>
      </c>
      <c r="E317" s="52">
        <v>2250000</v>
      </c>
    </row>
    <row r="318" spans="1:5">
      <c r="A318" s="45" t="s">
        <v>357</v>
      </c>
      <c r="B318" s="45" t="s">
        <v>469</v>
      </c>
      <c r="C318" s="45" t="s">
        <v>17</v>
      </c>
      <c r="D318" s="45" t="s">
        <v>27</v>
      </c>
      <c r="E318" s="53">
        <v>2190000</v>
      </c>
    </row>
    <row r="319" spans="1:5">
      <c r="A319" s="43" t="s">
        <v>358</v>
      </c>
      <c r="B319" s="43" t="s">
        <v>28</v>
      </c>
      <c r="C319" s="43" t="s">
        <v>17</v>
      </c>
      <c r="D319" s="43" t="s">
        <v>27</v>
      </c>
      <c r="E319" s="52">
        <v>2156050</v>
      </c>
    </row>
    <row r="320" spans="1:5">
      <c r="A320" s="45" t="s">
        <v>359</v>
      </c>
      <c r="B320" s="45" t="s">
        <v>469</v>
      </c>
      <c r="C320" s="45" t="s">
        <v>17</v>
      </c>
      <c r="D320" s="45" t="s">
        <v>27</v>
      </c>
      <c r="E320" s="53">
        <v>2138640</v>
      </c>
    </row>
    <row r="321" spans="1:5">
      <c r="A321" s="43" t="s">
        <v>293</v>
      </c>
      <c r="B321" s="43" t="s">
        <v>28</v>
      </c>
      <c r="C321" s="43" t="s">
        <v>17</v>
      </c>
      <c r="D321" s="43" t="s">
        <v>27</v>
      </c>
      <c r="E321" s="52">
        <v>2096645</v>
      </c>
    </row>
    <row r="322" spans="1:5">
      <c r="A322" s="45" t="s">
        <v>360</v>
      </c>
      <c r="B322" s="45" t="s">
        <v>469</v>
      </c>
      <c r="C322" s="45" t="s">
        <v>17</v>
      </c>
      <c r="D322" s="45" t="s">
        <v>27</v>
      </c>
      <c r="E322" s="53">
        <v>2055000</v>
      </c>
    </row>
    <row r="323" spans="1:5">
      <c r="A323" s="43" t="s">
        <v>361</v>
      </c>
      <c r="B323" s="43" t="s">
        <v>469</v>
      </c>
      <c r="C323" s="43" t="s">
        <v>17</v>
      </c>
      <c r="D323" s="43" t="s">
        <v>27</v>
      </c>
      <c r="E323" s="52">
        <v>2051100</v>
      </c>
    </row>
    <row r="324" spans="1:5">
      <c r="A324" s="45" t="s">
        <v>362</v>
      </c>
      <c r="B324" s="45" t="s">
        <v>28</v>
      </c>
      <c r="C324" s="45" t="s">
        <v>17</v>
      </c>
      <c r="D324" s="45" t="s">
        <v>27</v>
      </c>
      <c r="E324" s="53">
        <v>2039700</v>
      </c>
    </row>
    <row r="325" spans="1:5">
      <c r="A325" s="43" t="s">
        <v>247</v>
      </c>
      <c r="B325" s="43" t="s">
        <v>48</v>
      </c>
      <c r="C325" s="43" t="s">
        <v>17</v>
      </c>
      <c r="D325" s="43" t="s">
        <v>27</v>
      </c>
      <c r="E325" s="52">
        <v>2000000</v>
      </c>
    </row>
    <row r="326" spans="1:5">
      <c r="A326" s="45" t="s">
        <v>366</v>
      </c>
      <c r="B326" s="45" t="s">
        <v>469</v>
      </c>
      <c r="C326" s="45" t="s">
        <v>17</v>
      </c>
      <c r="D326" s="45" t="s">
        <v>27</v>
      </c>
      <c r="E326" s="53">
        <v>2000000</v>
      </c>
    </row>
    <row r="327" spans="1:5">
      <c r="A327" s="43" t="s">
        <v>367</v>
      </c>
      <c r="B327" s="43" t="s">
        <v>469</v>
      </c>
      <c r="C327" s="43" t="s">
        <v>17</v>
      </c>
      <c r="D327" s="43" t="s">
        <v>27</v>
      </c>
      <c r="E327" s="52">
        <v>2000000</v>
      </c>
    </row>
    <row r="328" spans="1:5">
      <c r="A328" s="45" t="s">
        <v>241</v>
      </c>
      <c r="B328" s="45" t="s">
        <v>48</v>
      </c>
      <c r="C328" s="45" t="s">
        <v>17</v>
      </c>
      <c r="D328" s="45" t="s">
        <v>27</v>
      </c>
      <c r="E328" s="53">
        <v>2000000</v>
      </c>
    </row>
    <row r="329" spans="1:5">
      <c r="A329" s="43" t="s">
        <v>368</v>
      </c>
      <c r="B329" s="43" t="s">
        <v>469</v>
      </c>
      <c r="C329" s="43" t="s">
        <v>17</v>
      </c>
      <c r="D329" s="43" t="s">
        <v>27</v>
      </c>
      <c r="E329" s="52">
        <v>2000000</v>
      </c>
    </row>
    <row r="330" spans="1:5">
      <c r="A330" s="45" t="s">
        <v>169</v>
      </c>
      <c r="B330" s="45" t="s">
        <v>48</v>
      </c>
      <c r="C330" s="45" t="s">
        <v>17</v>
      </c>
      <c r="D330" s="45" t="s">
        <v>27</v>
      </c>
      <c r="E330" s="53">
        <v>2000000</v>
      </c>
    </row>
    <row r="331" spans="1:5">
      <c r="A331" s="43" t="s">
        <v>189</v>
      </c>
      <c r="B331" s="43" t="s">
        <v>48</v>
      </c>
      <c r="C331" s="43" t="s">
        <v>17</v>
      </c>
      <c r="D331" s="43" t="s">
        <v>27</v>
      </c>
      <c r="E331" s="52">
        <v>2000000</v>
      </c>
    </row>
    <row r="332" spans="1:5">
      <c r="A332" s="45" t="s">
        <v>121</v>
      </c>
      <c r="B332" s="45" t="s">
        <v>48</v>
      </c>
      <c r="C332" s="45" t="s">
        <v>17</v>
      </c>
      <c r="D332" s="45" t="s">
        <v>27</v>
      </c>
      <c r="E332" s="53">
        <v>2000000</v>
      </c>
    </row>
    <row r="333" spans="1:5">
      <c r="A333" s="43" t="s">
        <v>146</v>
      </c>
      <c r="B333" s="43" t="s">
        <v>48</v>
      </c>
      <c r="C333" s="43" t="s">
        <v>17</v>
      </c>
      <c r="D333" s="43" t="s">
        <v>27</v>
      </c>
      <c r="E333" s="52">
        <v>2000000</v>
      </c>
    </row>
    <row r="334" spans="1:5">
      <c r="A334" s="45" t="s">
        <v>369</v>
      </c>
      <c r="B334" s="45" t="s">
        <v>469</v>
      </c>
      <c r="C334" s="45" t="s">
        <v>17</v>
      </c>
      <c r="D334" s="45" t="s">
        <v>27</v>
      </c>
      <c r="E334" s="53">
        <v>2000000</v>
      </c>
    </row>
    <row r="335" spans="1:5">
      <c r="A335" s="43" t="s">
        <v>371</v>
      </c>
      <c r="B335" s="43" t="s">
        <v>469</v>
      </c>
      <c r="C335" s="43" t="s">
        <v>17</v>
      </c>
      <c r="D335" s="43" t="s">
        <v>27</v>
      </c>
      <c r="E335" s="52">
        <v>2000000</v>
      </c>
    </row>
    <row r="336" spans="1:5">
      <c r="A336" s="45" t="s">
        <v>372</v>
      </c>
      <c r="B336" s="45" t="s">
        <v>469</v>
      </c>
      <c r="C336" s="45" t="s">
        <v>17</v>
      </c>
      <c r="D336" s="45" t="s">
        <v>27</v>
      </c>
      <c r="E336" s="53">
        <v>2000000</v>
      </c>
    </row>
    <row r="337" spans="1:5">
      <c r="A337" s="43" t="s">
        <v>109</v>
      </c>
      <c r="B337" s="43" t="s">
        <v>28</v>
      </c>
      <c r="C337" s="43" t="s">
        <v>17</v>
      </c>
      <c r="D337" s="43" t="s">
        <v>27</v>
      </c>
      <c r="E337" s="52">
        <v>2000000</v>
      </c>
    </row>
    <row r="338" spans="1:5">
      <c r="A338" s="45" t="s">
        <v>235</v>
      </c>
      <c r="B338" s="45" t="s">
        <v>469</v>
      </c>
      <c r="C338" s="45" t="s">
        <v>17</v>
      </c>
      <c r="D338" s="45" t="s">
        <v>27</v>
      </c>
      <c r="E338" s="53">
        <v>2000000</v>
      </c>
    </row>
    <row r="339" spans="1:5">
      <c r="A339" s="43" t="s">
        <v>374</v>
      </c>
      <c r="B339" s="43" t="s">
        <v>469</v>
      </c>
      <c r="C339" s="43" t="s">
        <v>17</v>
      </c>
      <c r="D339" s="43" t="s">
        <v>27</v>
      </c>
      <c r="E339" s="52">
        <v>1950000</v>
      </c>
    </row>
    <row r="340" spans="1:5">
      <c r="A340" s="45" t="s">
        <v>375</v>
      </c>
      <c r="B340" s="45" t="s">
        <v>469</v>
      </c>
      <c r="C340" s="45" t="s">
        <v>17</v>
      </c>
      <c r="D340" s="45" t="s">
        <v>27</v>
      </c>
      <c r="E340" s="53">
        <v>1950000</v>
      </c>
    </row>
    <row r="341" spans="1:5">
      <c r="A341" s="43" t="s">
        <v>376</v>
      </c>
      <c r="B341" s="43" t="s">
        <v>469</v>
      </c>
      <c r="C341" s="43" t="s">
        <v>17</v>
      </c>
      <c r="D341" s="43" t="s">
        <v>27</v>
      </c>
      <c r="E341" s="52">
        <v>1950000</v>
      </c>
    </row>
    <row r="342" spans="1:5">
      <c r="A342" s="45" t="s">
        <v>377</v>
      </c>
      <c r="B342" s="45" t="s">
        <v>469</v>
      </c>
      <c r="C342" s="45" t="s">
        <v>17</v>
      </c>
      <c r="D342" s="45" t="s">
        <v>27</v>
      </c>
      <c r="E342" s="53">
        <v>1949700</v>
      </c>
    </row>
    <row r="343" spans="1:5">
      <c r="A343" s="43" t="s">
        <v>378</v>
      </c>
      <c r="B343" s="43" t="s">
        <v>469</v>
      </c>
      <c r="C343" s="43" t="s">
        <v>17</v>
      </c>
      <c r="D343" s="43" t="s">
        <v>27</v>
      </c>
      <c r="E343" s="52">
        <v>1942400</v>
      </c>
    </row>
    <row r="344" spans="1:5">
      <c r="A344" s="45" t="s">
        <v>379</v>
      </c>
      <c r="B344" s="45" t="s">
        <v>469</v>
      </c>
      <c r="C344" s="45" t="s">
        <v>17</v>
      </c>
      <c r="D344" s="45" t="s">
        <v>27</v>
      </c>
      <c r="E344" s="53">
        <v>1930000</v>
      </c>
    </row>
    <row r="345" spans="1:5">
      <c r="A345" s="43" t="s">
        <v>380</v>
      </c>
      <c r="B345" s="43" t="s">
        <v>469</v>
      </c>
      <c r="C345" s="43" t="s">
        <v>17</v>
      </c>
      <c r="D345" s="43" t="s">
        <v>27</v>
      </c>
      <c r="E345" s="52">
        <v>1890000</v>
      </c>
    </row>
    <row r="346" spans="1:5">
      <c r="A346" s="45" t="s">
        <v>381</v>
      </c>
      <c r="B346" s="45" t="s">
        <v>28</v>
      </c>
      <c r="C346" s="45" t="s">
        <v>17</v>
      </c>
      <c r="D346" s="45" t="s">
        <v>27</v>
      </c>
      <c r="E346" s="53">
        <v>1870000</v>
      </c>
    </row>
    <row r="347" spans="1:5">
      <c r="A347" s="43" t="s">
        <v>382</v>
      </c>
      <c r="B347" s="43" t="s">
        <v>469</v>
      </c>
      <c r="C347" s="43" t="s">
        <v>17</v>
      </c>
      <c r="D347" s="43" t="s">
        <v>27</v>
      </c>
      <c r="E347" s="52">
        <v>1869000</v>
      </c>
    </row>
    <row r="348" spans="1:5">
      <c r="A348" s="45" t="s">
        <v>383</v>
      </c>
      <c r="B348" s="45" t="s">
        <v>469</v>
      </c>
      <c r="C348" s="45" t="s">
        <v>17</v>
      </c>
      <c r="D348" s="45" t="s">
        <v>27</v>
      </c>
      <c r="E348" s="53">
        <v>1832400</v>
      </c>
    </row>
    <row r="349" spans="1:5">
      <c r="A349" s="43" t="s">
        <v>155</v>
      </c>
      <c r="B349" s="43" t="s">
        <v>28</v>
      </c>
      <c r="C349" s="43" t="s">
        <v>17</v>
      </c>
      <c r="D349" s="43" t="s">
        <v>27</v>
      </c>
      <c r="E349" s="52">
        <v>1809280</v>
      </c>
    </row>
    <row r="350" spans="1:5">
      <c r="A350" s="45" t="s">
        <v>384</v>
      </c>
      <c r="B350" s="45" t="s">
        <v>469</v>
      </c>
      <c r="C350" s="45" t="s">
        <v>17</v>
      </c>
      <c r="D350" s="45" t="s">
        <v>27</v>
      </c>
      <c r="E350" s="53">
        <v>1800000</v>
      </c>
    </row>
    <row r="351" spans="1:5">
      <c r="A351" s="43" t="s">
        <v>305</v>
      </c>
      <c r="B351" s="43" t="s">
        <v>28</v>
      </c>
      <c r="C351" s="43" t="s">
        <v>17</v>
      </c>
      <c r="D351" s="43" t="s">
        <v>27</v>
      </c>
      <c r="E351" s="52">
        <v>1800000</v>
      </c>
    </row>
    <row r="352" spans="1:5">
      <c r="A352" s="45" t="s">
        <v>249</v>
      </c>
      <c r="B352" s="45" t="s">
        <v>469</v>
      </c>
      <c r="C352" s="45" t="s">
        <v>17</v>
      </c>
      <c r="D352" s="45" t="s">
        <v>27</v>
      </c>
      <c r="E352" s="53">
        <v>1800000</v>
      </c>
    </row>
    <row r="353" spans="1:5">
      <c r="A353" s="43" t="s">
        <v>385</v>
      </c>
      <c r="B353" s="43" t="s">
        <v>28</v>
      </c>
      <c r="C353" s="43" t="s">
        <v>17</v>
      </c>
      <c r="D353" s="43" t="s">
        <v>27</v>
      </c>
      <c r="E353" s="52">
        <v>1798560</v>
      </c>
    </row>
    <row r="354" spans="1:5">
      <c r="A354" s="45" t="s">
        <v>386</v>
      </c>
      <c r="B354" s="45" t="s">
        <v>28</v>
      </c>
      <c r="C354" s="45" t="s">
        <v>17</v>
      </c>
      <c r="D354" s="45" t="s">
        <v>27</v>
      </c>
      <c r="E354" s="53">
        <v>1797800</v>
      </c>
    </row>
    <row r="355" spans="1:5">
      <c r="A355" s="43" t="s">
        <v>387</v>
      </c>
      <c r="B355" s="43" t="s">
        <v>469</v>
      </c>
      <c r="C355" s="43" t="s">
        <v>17</v>
      </c>
      <c r="D355" s="43" t="s">
        <v>27</v>
      </c>
      <c r="E355" s="52">
        <v>1784700</v>
      </c>
    </row>
    <row r="356" spans="1:5">
      <c r="A356" s="45" t="s">
        <v>388</v>
      </c>
      <c r="B356" s="45" t="s">
        <v>469</v>
      </c>
      <c r="C356" s="45" t="s">
        <v>17</v>
      </c>
      <c r="D356" s="45" t="s">
        <v>27</v>
      </c>
      <c r="E356" s="53">
        <v>1750000</v>
      </c>
    </row>
    <row r="357" spans="1:5">
      <c r="A357" s="43" t="s">
        <v>122</v>
      </c>
      <c r="B357" s="43" t="s">
        <v>51</v>
      </c>
      <c r="C357" s="43" t="s">
        <v>17</v>
      </c>
      <c r="D357" s="43" t="s">
        <v>19</v>
      </c>
      <c r="E357" s="52">
        <v>1666666</v>
      </c>
    </row>
    <row r="358" spans="1:5">
      <c r="A358" s="45" t="s">
        <v>389</v>
      </c>
      <c r="B358" s="45" t="s">
        <v>469</v>
      </c>
      <c r="C358" s="45" t="s">
        <v>17</v>
      </c>
      <c r="D358" s="45" t="s">
        <v>27</v>
      </c>
      <c r="E358" s="53">
        <v>1665000</v>
      </c>
    </row>
    <row r="359" spans="1:5">
      <c r="A359" s="43" t="s">
        <v>390</v>
      </c>
      <c r="B359" s="43" t="s">
        <v>469</v>
      </c>
      <c r="C359" s="43" t="s">
        <v>17</v>
      </c>
      <c r="D359" s="43" t="s">
        <v>27</v>
      </c>
      <c r="E359" s="52">
        <v>1665000</v>
      </c>
    </row>
    <row r="360" spans="1:5">
      <c r="A360" s="45" t="s">
        <v>254</v>
      </c>
      <c r="B360" s="45" t="s">
        <v>469</v>
      </c>
      <c r="C360" s="45" t="s">
        <v>17</v>
      </c>
      <c r="D360" s="45" t="s">
        <v>27</v>
      </c>
      <c r="E360" s="53">
        <v>1644300</v>
      </c>
    </row>
    <row r="361" spans="1:5">
      <c r="A361" s="43" t="s">
        <v>208</v>
      </c>
      <c r="B361" s="43" t="s">
        <v>28</v>
      </c>
      <c r="C361" s="43" t="s">
        <v>17</v>
      </c>
      <c r="D361" s="43" t="s">
        <v>27</v>
      </c>
      <c r="E361" s="52">
        <v>1641500</v>
      </c>
    </row>
    <row r="362" spans="1:5">
      <c r="A362" s="45" t="s">
        <v>391</v>
      </c>
      <c r="B362" s="45" t="s">
        <v>469</v>
      </c>
      <c r="C362" s="45" t="s">
        <v>17</v>
      </c>
      <c r="D362" s="45" t="s">
        <v>27</v>
      </c>
      <c r="E362" s="53">
        <v>1625000</v>
      </c>
    </row>
    <row r="363" spans="1:5">
      <c r="A363" s="43" t="s">
        <v>319</v>
      </c>
      <c r="B363" s="43" t="s">
        <v>469</v>
      </c>
      <c r="C363" s="43" t="s">
        <v>17</v>
      </c>
      <c r="D363" s="43" t="s">
        <v>27</v>
      </c>
      <c r="E363" s="52">
        <v>1610000</v>
      </c>
    </row>
    <row r="364" spans="1:5">
      <c r="A364" s="45" t="s">
        <v>392</v>
      </c>
      <c r="B364" s="45" t="s">
        <v>28</v>
      </c>
      <c r="C364" s="45" t="s">
        <v>17</v>
      </c>
      <c r="D364" s="45" t="s">
        <v>27</v>
      </c>
      <c r="E364" s="53">
        <v>1600000</v>
      </c>
    </row>
    <row r="365" spans="1:5">
      <c r="A365" s="43" t="s">
        <v>393</v>
      </c>
      <c r="B365" s="43" t="s">
        <v>469</v>
      </c>
      <c r="C365" s="43" t="s">
        <v>17</v>
      </c>
      <c r="D365" s="43" t="s">
        <v>27</v>
      </c>
      <c r="E365" s="52">
        <v>1560000</v>
      </c>
    </row>
    <row r="366" spans="1:5">
      <c r="A366" s="45" t="s">
        <v>394</v>
      </c>
      <c r="B366" s="45" t="s">
        <v>28</v>
      </c>
      <c r="C366" s="45" t="s">
        <v>17</v>
      </c>
      <c r="D366" s="45" t="s">
        <v>27</v>
      </c>
      <c r="E366" s="53">
        <v>1552000</v>
      </c>
    </row>
    <row r="367" spans="1:5">
      <c r="A367" s="43" t="s">
        <v>257</v>
      </c>
      <c r="B367" s="43" t="s">
        <v>28</v>
      </c>
      <c r="C367" s="43" t="s">
        <v>17</v>
      </c>
      <c r="D367" s="43" t="s">
        <v>27</v>
      </c>
      <c r="E367" s="52">
        <v>1506500</v>
      </c>
    </row>
    <row r="368" spans="1:5">
      <c r="A368" s="45" t="s">
        <v>258</v>
      </c>
      <c r="B368" s="45" t="s">
        <v>28</v>
      </c>
      <c r="C368" s="45" t="s">
        <v>17</v>
      </c>
      <c r="D368" s="45" t="s">
        <v>27</v>
      </c>
      <c r="E368" s="53">
        <v>1506500</v>
      </c>
    </row>
    <row r="369" spans="1:5">
      <c r="A369" s="43" t="s">
        <v>395</v>
      </c>
      <c r="B369" s="43" t="s">
        <v>28</v>
      </c>
      <c r="C369" s="43" t="s">
        <v>17</v>
      </c>
      <c r="D369" s="43" t="s">
        <v>27</v>
      </c>
      <c r="E369" s="52">
        <v>1503000</v>
      </c>
    </row>
    <row r="370" spans="1:5">
      <c r="A370" s="45" t="s">
        <v>286</v>
      </c>
      <c r="B370" s="45" t="s">
        <v>48</v>
      </c>
      <c r="C370" s="45" t="s">
        <v>17</v>
      </c>
      <c r="D370" s="45" t="s">
        <v>27</v>
      </c>
      <c r="E370" s="53">
        <v>1500000</v>
      </c>
    </row>
    <row r="371" spans="1:5">
      <c r="A371" s="43" t="s">
        <v>287</v>
      </c>
      <c r="B371" s="43" t="s">
        <v>48</v>
      </c>
      <c r="C371" s="43" t="s">
        <v>17</v>
      </c>
      <c r="D371" s="43" t="s">
        <v>27</v>
      </c>
      <c r="E371" s="52">
        <v>1500000</v>
      </c>
    </row>
    <row r="372" spans="1:5">
      <c r="A372" s="45" t="s">
        <v>268</v>
      </c>
      <c r="B372" s="45" t="s">
        <v>48</v>
      </c>
      <c r="C372" s="45" t="s">
        <v>17</v>
      </c>
      <c r="D372" s="45" t="s">
        <v>27</v>
      </c>
      <c r="E372" s="53">
        <v>1500000</v>
      </c>
    </row>
    <row r="373" spans="1:5">
      <c r="A373" s="43" t="s">
        <v>129</v>
      </c>
      <c r="B373" s="43" t="s">
        <v>48</v>
      </c>
      <c r="C373" s="43" t="s">
        <v>17</v>
      </c>
      <c r="D373" s="43" t="s">
        <v>27</v>
      </c>
      <c r="E373" s="52">
        <v>1500000</v>
      </c>
    </row>
    <row r="374" spans="1:5">
      <c r="A374" s="45" t="s">
        <v>170</v>
      </c>
      <c r="B374" s="45" t="s">
        <v>48</v>
      </c>
      <c r="C374" s="45" t="s">
        <v>17</v>
      </c>
      <c r="D374" s="45" t="s">
        <v>27</v>
      </c>
      <c r="E374" s="53">
        <v>1500000</v>
      </c>
    </row>
    <row r="375" spans="1:5">
      <c r="A375" s="43" t="s">
        <v>396</v>
      </c>
      <c r="B375" s="43" t="s">
        <v>28</v>
      </c>
      <c r="C375" s="43" t="s">
        <v>17</v>
      </c>
      <c r="D375" s="43" t="s">
        <v>27</v>
      </c>
      <c r="E375" s="52">
        <v>1500000</v>
      </c>
    </row>
    <row r="376" spans="1:5">
      <c r="A376" s="45" t="s">
        <v>397</v>
      </c>
      <c r="B376" s="45" t="s">
        <v>28</v>
      </c>
      <c r="C376" s="45" t="s">
        <v>17</v>
      </c>
      <c r="D376" s="45" t="s">
        <v>27</v>
      </c>
      <c r="E376" s="53">
        <v>1500000</v>
      </c>
    </row>
    <row r="377" spans="1:5">
      <c r="A377" s="43" t="s">
        <v>272</v>
      </c>
      <c r="B377" s="43" t="s">
        <v>48</v>
      </c>
      <c r="C377" s="43" t="s">
        <v>17</v>
      </c>
      <c r="D377" s="43" t="s">
        <v>27</v>
      </c>
      <c r="E377" s="52">
        <v>1500000</v>
      </c>
    </row>
    <row r="378" spans="1:5">
      <c r="A378" s="45" t="s">
        <v>284</v>
      </c>
      <c r="B378" s="45" t="s">
        <v>48</v>
      </c>
      <c r="C378" s="45" t="s">
        <v>17</v>
      </c>
      <c r="D378" s="45" t="s">
        <v>27</v>
      </c>
      <c r="E378" s="53">
        <v>1500000</v>
      </c>
    </row>
    <row r="379" spans="1:5">
      <c r="A379" s="43" t="s">
        <v>267</v>
      </c>
      <c r="B379" s="43" t="s">
        <v>48</v>
      </c>
      <c r="C379" s="43" t="s">
        <v>17</v>
      </c>
      <c r="D379" s="43" t="s">
        <v>27</v>
      </c>
      <c r="E379" s="52">
        <v>1500000</v>
      </c>
    </row>
    <row r="380" spans="1:5">
      <c r="A380" s="45" t="s">
        <v>313</v>
      </c>
      <c r="B380" s="45" t="s">
        <v>48</v>
      </c>
      <c r="C380" s="45" t="s">
        <v>17</v>
      </c>
      <c r="D380" s="45" t="s">
        <v>27</v>
      </c>
      <c r="E380" s="53">
        <v>1500000</v>
      </c>
    </row>
    <row r="381" spans="1:5">
      <c r="A381" s="43" t="s">
        <v>293</v>
      </c>
      <c r="B381" s="43" t="s">
        <v>48</v>
      </c>
      <c r="C381" s="43" t="s">
        <v>17</v>
      </c>
      <c r="D381" s="43" t="s">
        <v>27</v>
      </c>
      <c r="E381" s="52">
        <v>1500000</v>
      </c>
    </row>
    <row r="382" spans="1:5">
      <c r="A382" s="45" t="s">
        <v>259</v>
      </c>
      <c r="B382" s="45" t="s">
        <v>48</v>
      </c>
      <c r="C382" s="45" t="s">
        <v>17</v>
      </c>
      <c r="D382" s="45" t="s">
        <v>27</v>
      </c>
      <c r="E382" s="53">
        <v>1500000</v>
      </c>
    </row>
    <row r="383" spans="1:5">
      <c r="A383" s="43" t="s">
        <v>274</v>
      </c>
      <c r="B383" s="43" t="s">
        <v>48</v>
      </c>
      <c r="C383" s="43" t="s">
        <v>17</v>
      </c>
      <c r="D383" s="43" t="s">
        <v>27</v>
      </c>
      <c r="E383" s="52">
        <v>1500000</v>
      </c>
    </row>
    <row r="384" spans="1:5">
      <c r="A384" s="45" t="s">
        <v>282</v>
      </c>
      <c r="B384" s="45" t="s">
        <v>48</v>
      </c>
      <c r="C384" s="45" t="s">
        <v>17</v>
      </c>
      <c r="D384" s="45" t="s">
        <v>27</v>
      </c>
      <c r="E384" s="53">
        <v>1500000</v>
      </c>
    </row>
    <row r="385" spans="1:5">
      <c r="A385" s="43" t="s">
        <v>398</v>
      </c>
      <c r="B385" s="43" t="s">
        <v>48</v>
      </c>
      <c r="C385" s="43" t="s">
        <v>17</v>
      </c>
      <c r="D385" s="43" t="s">
        <v>27</v>
      </c>
      <c r="E385" s="52">
        <v>1500000</v>
      </c>
    </row>
    <row r="386" spans="1:5">
      <c r="A386" s="45" t="s">
        <v>276</v>
      </c>
      <c r="B386" s="45" t="s">
        <v>48</v>
      </c>
      <c r="C386" s="45" t="s">
        <v>17</v>
      </c>
      <c r="D386" s="45" t="s">
        <v>27</v>
      </c>
      <c r="E386" s="53">
        <v>1500000</v>
      </c>
    </row>
    <row r="387" spans="1:5">
      <c r="A387" s="43" t="s">
        <v>275</v>
      </c>
      <c r="B387" s="43" t="s">
        <v>48</v>
      </c>
      <c r="C387" s="43" t="s">
        <v>17</v>
      </c>
      <c r="D387" s="43" t="s">
        <v>27</v>
      </c>
      <c r="E387" s="52">
        <v>1500000</v>
      </c>
    </row>
    <row r="388" spans="1:5">
      <c r="A388" s="45" t="s">
        <v>277</v>
      </c>
      <c r="B388" s="45" t="s">
        <v>48</v>
      </c>
      <c r="C388" s="45" t="s">
        <v>17</v>
      </c>
      <c r="D388" s="45" t="s">
        <v>27</v>
      </c>
      <c r="E388" s="53">
        <v>1500000</v>
      </c>
    </row>
    <row r="389" spans="1:5">
      <c r="A389" s="43" t="s">
        <v>399</v>
      </c>
      <c r="B389" s="43" t="s">
        <v>469</v>
      </c>
      <c r="C389" s="43" t="s">
        <v>17</v>
      </c>
      <c r="D389" s="43" t="s">
        <v>27</v>
      </c>
      <c r="E389" s="52">
        <v>1500000</v>
      </c>
    </row>
    <row r="390" spans="1:5">
      <c r="A390" s="45" t="s">
        <v>260</v>
      </c>
      <c r="B390" s="45" t="s">
        <v>48</v>
      </c>
      <c r="C390" s="45" t="s">
        <v>17</v>
      </c>
      <c r="D390" s="45" t="s">
        <v>27</v>
      </c>
      <c r="E390" s="53">
        <v>1500000</v>
      </c>
    </row>
    <row r="391" spans="1:5">
      <c r="A391" s="43" t="s">
        <v>266</v>
      </c>
      <c r="B391" s="43" t="s">
        <v>48</v>
      </c>
      <c r="C391" s="43" t="s">
        <v>17</v>
      </c>
      <c r="D391" s="43" t="s">
        <v>27</v>
      </c>
      <c r="E391" s="52">
        <v>1500000</v>
      </c>
    </row>
    <row r="392" spans="1:5">
      <c r="A392" s="45" t="s">
        <v>279</v>
      </c>
      <c r="B392" s="45" t="s">
        <v>48</v>
      </c>
      <c r="C392" s="45" t="s">
        <v>17</v>
      </c>
      <c r="D392" s="45" t="s">
        <v>27</v>
      </c>
      <c r="E392" s="53">
        <v>1500000</v>
      </c>
    </row>
    <row r="393" spans="1:5">
      <c r="A393" s="43" t="s">
        <v>271</v>
      </c>
      <c r="B393" s="43" t="s">
        <v>48</v>
      </c>
      <c r="C393" s="43" t="s">
        <v>17</v>
      </c>
      <c r="D393" s="43" t="s">
        <v>27</v>
      </c>
      <c r="E393" s="52">
        <v>1500000</v>
      </c>
    </row>
    <row r="394" spans="1:5">
      <c r="A394" s="45" t="s">
        <v>261</v>
      </c>
      <c r="B394" s="45" t="s">
        <v>48</v>
      </c>
      <c r="C394" s="45" t="s">
        <v>17</v>
      </c>
      <c r="D394" s="45" t="s">
        <v>27</v>
      </c>
      <c r="E394" s="53">
        <v>1500000</v>
      </c>
    </row>
    <row r="395" spans="1:5">
      <c r="A395" s="43" t="s">
        <v>262</v>
      </c>
      <c r="B395" s="43" t="s">
        <v>48</v>
      </c>
      <c r="C395" s="43" t="s">
        <v>17</v>
      </c>
      <c r="D395" s="43" t="s">
        <v>27</v>
      </c>
      <c r="E395" s="52">
        <v>1500000</v>
      </c>
    </row>
    <row r="396" spans="1:5">
      <c r="A396" s="45" t="s">
        <v>269</v>
      </c>
      <c r="B396" s="45" t="s">
        <v>48</v>
      </c>
      <c r="C396" s="45" t="s">
        <v>17</v>
      </c>
      <c r="D396" s="45" t="s">
        <v>27</v>
      </c>
      <c r="E396" s="53">
        <v>1500000</v>
      </c>
    </row>
    <row r="397" spans="1:5">
      <c r="A397" s="43" t="s">
        <v>263</v>
      </c>
      <c r="B397" s="43" t="s">
        <v>48</v>
      </c>
      <c r="C397" s="43" t="s">
        <v>17</v>
      </c>
      <c r="D397" s="43" t="s">
        <v>27</v>
      </c>
      <c r="E397" s="52">
        <v>1500000</v>
      </c>
    </row>
    <row r="398" spans="1:5">
      <c r="A398" s="45" t="s">
        <v>281</v>
      </c>
      <c r="B398" s="45" t="s">
        <v>48</v>
      </c>
      <c r="C398" s="45" t="s">
        <v>17</v>
      </c>
      <c r="D398" s="45" t="s">
        <v>27</v>
      </c>
      <c r="E398" s="53">
        <v>1500000</v>
      </c>
    </row>
    <row r="399" spans="1:5">
      <c r="A399" s="43" t="s">
        <v>273</v>
      </c>
      <c r="B399" s="43" t="s">
        <v>48</v>
      </c>
      <c r="C399" s="43" t="s">
        <v>17</v>
      </c>
      <c r="D399" s="43" t="s">
        <v>27</v>
      </c>
      <c r="E399" s="52">
        <v>1500000</v>
      </c>
    </row>
    <row r="400" spans="1:5">
      <c r="A400" s="45" t="s">
        <v>280</v>
      </c>
      <c r="B400" s="45" t="s">
        <v>48</v>
      </c>
      <c r="C400" s="45" t="s">
        <v>17</v>
      </c>
      <c r="D400" s="45" t="s">
        <v>27</v>
      </c>
      <c r="E400" s="53">
        <v>1500000</v>
      </c>
    </row>
    <row r="401" spans="1:5">
      <c r="A401" s="43" t="s">
        <v>265</v>
      </c>
      <c r="B401" s="43" t="s">
        <v>48</v>
      </c>
      <c r="C401" s="43" t="s">
        <v>17</v>
      </c>
      <c r="D401" s="43" t="s">
        <v>27</v>
      </c>
      <c r="E401" s="52">
        <v>1500000</v>
      </c>
    </row>
    <row r="402" spans="1:5">
      <c r="A402" s="45" t="s">
        <v>264</v>
      </c>
      <c r="B402" s="45" t="s">
        <v>48</v>
      </c>
      <c r="C402" s="45" t="s">
        <v>17</v>
      </c>
      <c r="D402" s="45" t="s">
        <v>27</v>
      </c>
      <c r="E402" s="53">
        <v>1500000</v>
      </c>
    </row>
    <row r="403" spans="1:5">
      <c r="A403" s="43" t="s">
        <v>270</v>
      </c>
      <c r="B403" s="43" t="s">
        <v>48</v>
      </c>
      <c r="C403" s="43" t="s">
        <v>17</v>
      </c>
      <c r="D403" s="43" t="s">
        <v>27</v>
      </c>
      <c r="E403" s="52">
        <v>1500000</v>
      </c>
    </row>
    <row r="404" spans="1:5">
      <c r="A404" s="45" t="s">
        <v>210</v>
      </c>
      <c r="B404" s="45" t="s">
        <v>48</v>
      </c>
      <c r="C404" s="45" t="s">
        <v>17</v>
      </c>
      <c r="D404" s="45" t="s">
        <v>27</v>
      </c>
      <c r="E404" s="53">
        <v>1500000</v>
      </c>
    </row>
    <row r="405" spans="1:5">
      <c r="A405" s="43" t="s">
        <v>400</v>
      </c>
      <c r="B405" s="43" t="s">
        <v>28</v>
      </c>
      <c r="C405" s="43" t="s">
        <v>17</v>
      </c>
      <c r="D405" s="43" t="s">
        <v>27</v>
      </c>
      <c r="E405" s="52">
        <v>1500000</v>
      </c>
    </row>
    <row r="406" spans="1:5">
      <c r="A406" s="45" t="s">
        <v>401</v>
      </c>
      <c r="B406" s="45" t="s">
        <v>469</v>
      </c>
      <c r="C406" s="45" t="s">
        <v>17</v>
      </c>
      <c r="D406" s="45" t="s">
        <v>27</v>
      </c>
      <c r="E406" s="53">
        <v>1497300</v>
      </c>
    </row>
    <row r="407" spans="1:5">
      <c r="A407" s="43" t="s">
        <v>110</v>
      </c>
      <c r="B407" s="43" t="s">
        <v>28</v>
      </c>
      <c r="C407" s="43" t="s">
        <v>17</v>
      </c>
      <c r="D407" s="43" t="s">
        <v>27</v>
      </c>
      <c r="E407" s="52">
        <v>1491250</v>
      </c>
    </row>
    <row r="408" spans="1:5">
      <c r="A408" s="45" t="s">
        <v>162</v>
      </c>
      <c r="B408" s="45" t="s">
        <v>28</v>
      </c>
      <c r="C408" s="45" t="s">
        <v>17</v>
      </c>
      <c r="D408" s="45" t="s">
        <v>27</v>
      </c>
      <c r="E408" s="53">
        <v>1487500</v>
      </c>
    </row>
    <row r="409" spans="1:5">
      <c r="A409" s="43" t="s">
        <v>402</v>
      </c>
      <c r="B409" s="43" t="s">
        <v>469</v>
      </c>
      <c r="C409" s="43" t="s">
        <v>17</v>
      </c>
      <c r="D409" s="43" t="s">
        <v>27</v>
      </c>
      <c r="E409" s="52">
        <v>1411800</v>
      </c>
    </row>
    <row r="410" spans="1:5">
      <c r="A410" s="45" t="s">
        <v>403</v>
      </c>
      <c r="B410" s="45" t="s">
        <v>28</v>
      </c>
      <c r="C410" s="45" t="s">
        <v>17</v>
      </c>
      <c r="D410" s="45" t="s">
        <v>27</v>
      </c>
      <c r="E410" s="53">
        <v>1408000</v>
      </c>
    </row>
    <row r="411" spans="1:5">
      <c r="A411" s="43" t="s">
        <v>283</v>
      </c>
      <c r="B411" s="43" t="s">
        <v>28</v>
      </c>
      <c r="C411" s="43" t="s">
        <v>17</v>
      </c>
      <c r="D411" s="43" t="s">
        <v>27</v>
      </c>
      <c r="E411" s="52">
        <v>1378000</v>
      </c>
    </row>
    <row r="412" spans="1:5">
      <c r="A412" s="45" t="s">
        <v>404</v>
      </c>
      <c r="B412" s="45" t="s">
        <v>469</v>
      </c>
      <c r="C412" s="45" t="s">
        <v>17</v>
      </c>
      <c r="D412" s="45" t="s">
        <v>27</v>
      </c>
      <c r="E412" s="53">
        <v>1375650</v>
      </c>
    </row>
    <row r="413" spans="1:5">
      <c r="A413" s="43" t="s">
        <v>313</v>
      </c>
      <c r="B413" s="43" t="s">
        <v>28</v>
      </c>
      <c r="C413" s="43" t="s">
        <v>17</v>
      </c>
      <c r="D413" s="43" t="s">
        <v>27</v>
      </c>
      <c r="E413" s="52">
        <v>1374840</v>
      </c>
    </row>
    <row r="414" spans="1:5">
      <c r="A414" s="45" t="s">
        <v>405</v>
      </c>
      <c r="B414" s="45" t="s">
        <v>469</v>
      </c>
      <c r="C414" s="45" t="s">
        <v>17</v>
      </c>
      <c r="D414" s="45" t="s">
        <v>27</v>
      </c>
      <c r="E414" s="53">
        <v>1356000</v>
      </c>
    </row>
    <row r="415" spans="1:5">
      <c r="A415" s="43" t="s">
        <v>406</v>
      </c>
      <c r="B415" s="43" t="s">
        <v>469</v>
      </c>
      <c r="C415" s="43" t="s">
        <v>17</v>
      </c>
      <c r="D415" s="43" t="s">
        <v>27</v>
      </c>
      <c r="E415" s="52">
        <v>1342500</v>
      </c>
    </row>
    <row r="416" spans="1:5">
      <c r="A416" s="45" t="s">
        <v>407</v>
      </c>
      <c r="B416" s="45" t="s">
        <v>469</v>
      </c>
      <c r="C416" s="45" t="s">
        <v>17</v>
      </c>
      <c r="D416" s="45" t="s">
        <v>27</v>
      </c>
      <c r="E416" s="53">
        <v>1302000</v>
      </c>
    </row>
    <row r="417" spans="1:5">
      <c r="A417" s="43" t="s">
        <v>408</v>
      </c>
      <c r="B417" s="43" t="s">
        <v>469</v>
      </c>
      <c r="C417" s="43" t="s">
        <v>17</v>
      </c>
      <c r="D417" s="43" t="s">
        <v>27</v>
      </c>
      <c r="E417" s="52">
        <v>1300000</v>
      </c>
    </row>
    <row r="418" spans="1:5">
      <c r="A418" s="45" t="s">
        <v>305</v>
      </c>
      <c r="B418" s="45" t="s">
        <v>469</v>
      </c>
      <c r="C418" s="45" t="s">
        <v>17</v>
      </c>
      <c r="D418" s="45" t="s">
        <v>27</v>
      </c>
      <c r="E418" s="53">
        <v>1280000</v>
      </c>
    </row>
    <row r="419" spans="1:5">
      <c r="A419" s="43" t="s">
        <v>409</v>
      </c>
      <c r="B419" s="43" t="s">
        <v>469</v>
      </c>
      <c r="C419" s="43" t="s">
        <v>17</v>
      </c>
      <c r="D419" s="43" t="s">
        <v>27</v>
      </c>
      <c r="E419" s="52">
        <v>1272000</v>
      </c>
    </row>
    <row r="420" spans="1:5">
      <c r="A420" s="45" t="s">
        <v>171</v>
      </c>
      <c r="B420" s="45" t="s">
        <v>469</v>
      </c>
      <c r="C420" s="45" t="s">
        <v>17</v>
      </c>
      <c r="D420" s="45" t="s">
        <v>27</v>
      </c>
      <c r="E420" s="53">
        <v>1250000</v>
      </c>
    </row>
    <row r="421" spans="1:5">
      <c r="A421" s="43" t="s">
        <v>410</v>
      </c>
      <c r="B421" s="43" t="s">
        <v>469</v>
      </c>
      <c r="C421" s="43" t="s">
        <v>17</v>
      </c>
      <c r="D421" s="43" t="s">
        <v>27</v>
      </c>
      <c r="E421" s="52">
        <v>1250000</v>
      </c>
    </row>
    <row r="422" spans="1:5">
      <c r="A422" s="45" t="s">
        <v>411</v>
      </c>
      <c r="B422" s="45" t="s">
        <v>28</v>
      </c>
      <c r="C422" s="45" t="s">
        <v>17</v>
      </c>
      <c r="D422" s="45" t="s">
        <v>27</v>
      </c>
      <c r="E422" s="53">
        <v>1235200</v>
      </c>
    </row>
    <row r="423" spans="1:5">
      <c r="A423" s="43" t="s">
        <v>213</v>
      </c>
      <c r="B423" s="43" t="s">
        <v>28</v>
      </c>
      <c r="C423" s="43" t="s">
        <v>17</v>
      </c>
      <c r="D423" s="43" t="s">
        <v>27</v>
      </c>
      <c r="E423" s="52">
        <v>1216060</v>
      </c>
    </row>
    <row r="424" spans="1:5">
      <c r="A424" s="45" t="s">
        <v>412</v>
      </c>
      <c r="B424" s="45" t="s">
        <v>469</v>
      </c>
      <c r="C424" s="45" t="s">
        <v>17</v>
      </c>
      <c r="D424" s="45" t="s">
        <v>27</v>
      </c>
      <c r="E424" s="53">
        <v>1212900</v>
      </c>
    </row>
    <row r="425" spans="1:5">
      <c r="A425" s="43" t="s">
        <v>147</v>
      </c>
      <c r="B425" s="43" t="s">
        <v>48</v>
      </c>
      <c r="C425" s="43" t="s">
        <v>17</v>
      </c>
      <c r="D425" s="43" t="s">
        <v>27</v>
      </c>
      <c r="E425" s="52">
        <v>1188500</v>
      </c>
    </row>
    <row r="426" spans="1:5">
      <c r="A426" s="45" t="s">
        <v>413</v>
      </c>
      <c r="B426" s="45" t="s">
        <v>469</v>
      </c>
      <c r="C426" s="45" t="s">
        <v>17</v>
      </c>
      <c r="D426" s="45" t="s">
        <v>27</v>
      </c>
      <c r="E426" s="53">
        <v>1176000</v>
      </c>
    </row>
    <row r="427" spans="1:5">
      <c r="A427" s="43" t="s">
        <v>414</v>
      </c>
      <c r="B427" s="43" t="s">
        <v>469</v>
      </c>
      <c r="C427" s="43" t="s">
        <v>17</v>
      </c>
      <c r="D427" s="43" t="s">
        <v>27</v>
      </c>
      <c r="E427" s="52">
        <v>1160000</v>
      </c>
    </row>
    <row r="428" spans="1:5">
      <c r="A428" s="45" t="s">
        <v>489</v>
      </c>
      <c r="B428" s="45" t="s">
        <v>23</v>
      </c>
      <c r="C428" s="45" t="s">
        <v>17</v>
      </c>
      <c r="D428" s="45" t="s">
        <v>24</v>
      </c>
      <c r="E428" s="53">
        <v>1124509</v>
      </c>
    </row>
    <row r="429" spans="1:5">
      <c r="A429" s="43" t="s">
        <v>415</v>
      </c>
      <c r="B429" s="43" t="s">
        <v>28</v>
      </c>
      <c r="C429" s="43" t="s">
        <v>17</v>
      </c>
      <c r="D429" s="43" t="s">
        <v>27</v>
      </c>
      <c r="E429" s="52">
        <v>1112925</v>
      </c>
    </row>
    <row r="430" spans="1:5">
      <c r="A430" s="45" t="s">
        <v>416</v>
      </c>
      <c r="B430" s="45" t="s">
        <v>469</v>
      </c>
      <c r="C430" s="45" t="s">
        <v>17</v>
      </c>
      <c r="D430" s="45" t="s">
        <v>27</v>
      </c>
      <c r="E430" s="53">
        <v>1056000</v>
      </c>
    </row>
    <row r="431" spans="1:5">
      <c r="A431" s="43" t="s">
        <v>417</v>
      </c>
      <c r="B431" s="43" t="s">
        <v>469</v>
      </c>
      <c r="C431" s="43" t="s">
        <v>17</v>
      </c>
      <c r="D431" s="43" t="s">
        <v>27</v>
      </c>
      <c r="E431" s="52">
        <v>1040000</v>
      </c>
    </row>
    <row r="432" spans="1:5">
      <c r="A432" s="45" t="s">
        <v>418</v>
      </c>
      <c r="B432" s="45" t="s">
        <v>469</v>
      </c>
      <c r="C432" s="45" t="s">
        <v>17</v>
      </c>
      <c r="D432" s="45" t="s">
        <v>27</v>
      </c>
      <c r="E432" s="53">
        <v>1038000</v>
      </c>
    </row>
    <row r="433" spans="1:5">
      <c r="A433" s="43" t="s">
        <v>419</v>
      </c>
      <c r="B433" s="43" t="s">
        <v>28</v>
      </c>
      <c r="C433" s="43" t="s">
        <v>17</v>
      </c>
      <c r="D433" s="43" t="s">
        <v>27</v>
      </c>
      <c r="E433" s="52">
        <v>1035850</v>
      </c>
    </row>
    <row r="434" spans="1:5">
      <c r="A434" s="45" t="s">
        <v>490</v>
      </c>
      <c r="B434" s="45" t="s">
        <v>23</v>
      </c>
      <c r="C434" s="45" t="s">
        <v>17</v>
      </c>
      <c r="D434" s="45" t="s">
        <v>24</v>
      </c>
      <c r="E434" s="53">
        <v>1032851</v>
      </c>
    </row>
    <row r="435" spans="1:5">
      <c r="A435" s="43" t="s">
        <v>420</v>
      </c>
      <c r="B435" s="43" t="s">
        <v>469</v>
      </c>
      <c r="C435" s="43" t="s">
        <v>17</v>
      </c>
      <c r="D435" s="43" t="s">
        <v>27</v>
      </c>
      <c r="E435" s="52">
        <v>1028700</v>
      </c>
    </row>
    <row r="436" spans="1:5">
      <c r="A436" s="45" t="s">
        <v>363</v>
      </c>
      <c r="B436" s="45" t="s">
        <v>469</v>
      </c>
      <c r="C436" s="45" t="s">
        <v>17</v>
      </c>
      <c r="D436" s="45" t="s">
        <v>27</v>
      </c>
      <c r="E436" s="53">
        <v>1028700</v>
      </c>
    </row>
    <row r="437" spans="1:5">
      <c r="A437" s="43" t="s">
        <v>421</v>
      </c>
      <c r="B437" s="43" t="s">
        <v>469</v>
      </c>
      <c r="C437" s="43" t="s">
        <v>17</v>
      </c>
      <c r="D437" s="43" t="s">
        <v>27</v>
      </c>
      <c r="E437" s="52">
        <v>1020000</v>
      </c>
    </row>
    <row r="438" spans="1:5">
      <c r="A438" s="45" t="s">
        <v>364</v>
      </c>
      <c r="B438" s="45" t="s">
        <v>469</v>
      </c>
      <c r="C438" s="45" t="s">
        <v>17</v>
      </c>
      <c r="D438" s="45" t="s">
        <v>27</v>
      </c>
      <c r="E438" s="53">
        <v>1011300</v>
      </c>
    </row>
    <row r="439" spans="1:5">
      <c r="A439" s="43" t="s">
        <v>295</v>
      </c>
      <c r="B439" s="43" t="s">
        <v>28</v>
      </c>
      <c r="C439" s="43" t="s">
        <v>17</v>
      </c>
      <c r="D439" s="43" t="s">
        <v>27</v>
      </c>
      <c r="E439" s="52">
        <v>1011255</v>
      </c>
    </row>
    <row r="440" spans="1:5">
      <c r="A440" s="45" t="s">
        <v>422</v>
      </c>
      <c r="B440" s="45" t="s">
        <v>469</v>
      </c>
      <c r="C440" s="45" t="s">
        <v>17</v>
      </c>
      <c r="D440" s="45" t="s">
        <v>27</v>
      </c>
      <c r="E440" s="53">
        <v>1003500</v>
      </c>
    </row>
    <row r="441" spans="1:5">
      <c r="A441" s="43" t="s">
        <v>157</v>
      </c>
      <c r="B441" s="43" t="s">
        <v>28</v>
      </c>
      <c r="C441" s="43" t="s">
        <v>17</v>
      </c>
      <c r="D441" s="43" t="s">
        <v>27</v>
      </c>
      <c r="E441" s="52">
        <v>1000375</v>
      </c>
    </row>
    <row r="442" spans="1:5">
      <c r="A442" s="45" t="s">
        <v>423</v>
      </c>
      <c r="B442" s="45" t="s">
        <v>48</v>
      </c>
      <c r="C442" s="45" t="s">
        <v>17</v>
      </c>
      <c r="D442" s="45" t="s">
        <v>27</v>
      </c>
      <c r="E442" s="53">
        <v>1000000</v>
      </c>
    </row>
    <row r="443" spans="1:5">
      <c r="A443" s="43" t="s">
        <v>424</v>
      </c>
      <c r="B443" s="43" t="s">
        <v>469</v>
      </c>
      <c r="C443" s="43" t="s">
        <v>17</v>
      </c>
      <c r="D443" s="43" t="s">
        <v>27</v>
      </c>
      <c r="E443" s="52">
        <v>1000000</v>
      </c>
    </row>
    <row r="444" spans="1:5">
      <c r="A444" s="45" t="s">
        <v>365</v>
      </c>
      <c r="B444" s="45" t="s">
        <v>48</v>
      </c>
      <c r="C444" s="45" t="s">
        <v>17</v>
      </c>
      <c r="D444" s="45" t="s">
        <v>27</v>
      </c>
      <c r="E444" s="53">
        <v>1000000</v>
      </c>
    </row>
    <row r="445" spans="1:5">
      <c r="A445" s="43" t="s">
        <v>365</v>
      </c>
      <c r="B445" s="43" t="s">
        <v>469</v>
      </c>
      <c r="C445" s="43" t="s">
        <v>17</v>
      </c>
      <c r="D445" s="43" t="s">
        <v>27</v>
      </c>
      <c r="E445" s="52">
        <v>1000000</v>
      </c>
    </row>
    <row r="446" spans="1:5">
      <c r="A446" s="45" t="s">
        <v>110</v>
      </c>
      <c r="B446" s="45" t="s">
        <v>48</v>
      </c>
      <c r="C446" s="45" t="s">
        <v>17</v>
      </c>
      <c r="D446" s="45" t="s">
        <v>27</v>
      </c>
      <c r="E446" s="53">
        <v>1000000</v>
      </c>
    </row>
    <row r="447" spans="1:5">
      <c r="A447" s="43" t="s">
        <v>425</v>
      </c>
      <c r="B447" s="43" t="s">
        <v>48</v>
      </c>
      <c r="C447" s="43" t="s">
        <v>17</v>
      </c>
      <c r="D447" s="43" t="s">
        <v>27</v>
      </c>
      <c r="E447" s="52">
        <v>1000000</v>
      </c>
    </row>
    <row r="448" spans="1:5">
      <c r="A448" s="45" t="s">
        <v>198</v>
      </c>
      <c r="B448" s="45" t="s">
        <v>48</v>
      </c>
      <c r="C448" s="45" t="s">
        <v>17</v>
      </c>
      <c r="D448" s="45" t="s">
        <v>27</v>
      </c>
      <c r="E448" s="53">
        <v>1000000</v>
      </c>
    </row>
    <row r="449" spans="1:5">
      <c r="A449" s="43" t="s">
        <v>426</v>
      </c>
      <c r="B449" s="43" t="s">
        <v>48</v>
      </c>
      <c r="C449" s="43" t="s">
        <v>17</v>
      </c>
      <c r="D449" s="43" t="s">
        <v>27</v>
      </c>
      <c r="E449" s="52">
        <v>1000000</v>
      </c>
    </row>
    <row r="450" spans="1:5">
      <c r="A450" s="45" t="s">
        <v>126</v>
      </c>
      <c r="B450" s="45" t="s">
        <v>48</v>
      </c>
      <c r="C450" s="45" t="s">
        <v>17</v>
      </c>
      <c r="D450" s="45" t="s">
        <v>27</v>
      </c>
      <c r="E450" s="53">
        <v>1000000</v>
      </c>
    </row>
    <row r="451" spans="1:5">
      <c r="A451" s="43" t="s">
        <v>223</v>
      </c>
      <c r="B451" s="43" t="s">
        <v>48</v>
      </c>
      <c r="C451" s="43" t="s">
        <v>17</v>
      </c>
      <c r="D451" s="43" t="s">
        <v>27</v>
      </c>
      <c r="E451" s="52">
        <v>1000000</v>
      </c>
    </row>
    <row r="452" spans="1:5">
      <c r="A452" s="45" t="s">
        <v>245</v>
      </c>
      <c r="B452" s="45" t="s">
        <v>48</v>
      </c>
      <c r="C452" s="45" t="s">
        <v>17</v>
      </c>
      <c r="D452" s="45" t="s">
        <v>27</v>
      </c>
      <c r="E452" s="53">
        <v>1000000</v>
      </c>
    </row>
    <row r="453" spans="1:5">
      <c r="A453" s="43" t="s">
        <v>427</v>
      </c>
      <c r="B453" s="43" t="s">
        <v>48</v>
      </c>
      <c r="C453" s="43" t="s">
        <v>17</v>
      </c>
      <c r="D453" s="43" t="s">
        <v>27</v>
      </c>
      <c r="E453" s="52">
        <v>1000000</v>
      </c>
    </row>
    <row r="454" spans="1:5">
      <c r="A454" s="45" t="s">
        <v>205</v>
      </c>
      <c r="B454" s="45" t="s">
        <v>48</v>
      </c>
      <c r="C454" s="45" t="s">
        <v>17</v>
      </c>
      <c r="D454" s="45" t="s">
        <v>27</v>
      </c>
      <c r="E454" s="53">
        <v>1000000</v>
      </c>
    </row>
    <row r="455" spans="1:5">
      <c r="A455" s="43" t="s">
        <v>164</v>
      </c>
      <c r="B455" s="43" t="s">
        <v>48</v>
      </c>
      <c r="C455" s="43" t="s">
        <v>17</v>
      </c>
      <c r="D455" s="43" t="s">
        <v>27</v>
      </c>
      <c r="E455" s="52">
        <v>1000000</v>
      </c>
    </row>
    <row r="456" spans="1:5">
      <c r="A456" s="45" t="s">
        <v>203</v>
      </c>
      <c r="B456" s="45" t="s">
        <v>48</v>
      </c>
      <c r="C456" s="45" t="s">
        <v>17</v>
      </c>
      <c r="D456" s="45" t="s">
        <v>27</v>
      </c>
      <c r="E456" s="53">
        <v>1000000</v>
      </c>
    </row>
    <row r="457" spans="1:5">
      <c r="A457" s="43" t="s">
        <v>193</v>
      </c>
      <c r="B457" s="43" t="s">
        <v>48</v>
      </c>
      <c r="C457" s="43" t="s">
        <v>17</v>
      </c>
      <c r="D457" s="43" t="s">
        <v>27</v>
      </c>
      <c r="E457" s="52">
        <v>1000000</v>
      </c>
    </row>
    <row r="458" spans="1:5">
      <c r="A458" s="45" t="s">
        <v>428</v>
      </c>
      <c r="B458" s="45" t="s">
        <v>469</v>
      </c>
      <c r="C458" s="45" t="s">
        <v>17</v>
      </c>
      <c r="D458" s="45" t="s">
        <v>27</v>
      </c>
      <c r="E458" s="53">
        <v>1000000</v>
      </c>
    </row>
    <row r="459" spans="1:5">
      <c r="A459" s="43" t="s">
        <v>429</v>
      </c>
      <c r="B459" s="43" t="s">
        <v>48</v>
      </c>
      <c r="C459" s="43" t="s">
        <v>17</v>
      </c>
      <c r="D459" s="43" t="s">
        <v>27</v>
      </c>
      <c r="E459" s="52">
        <v>1000000</v>
      </c>
    </row>
    <row r="460" spans="1:5">
      <c r="A460" s="45" t="s">
        <v>180</v>
      </c>
      <c r="B460" s="45" t="s">
        <v>48</v>
      </c>
      <c r="C460" s="45" t="s">
        <v>17</v>
      </c>
      <c r="D460" s="45" t="s">
        <v>27</v>
      </c>
      <c r="E460" s="53">
        <v>1000000</v>
      </c>
    </row>
    <row r="461" spans="1:5">
      <c r="A461" s="43" t="s">
        <v>363</v>
      </c>
      <c r="B461" s="43" t="s">
        <v>48</v>
      </c>
      <c r="C461" s="43" t="s">
        <v>17</v>
      </c>
      <c r="D461" s="43" t="s">
        <v>27</v>
      </c>
      <c r="E461" s="52">
        <v>1000000</v>
      </c>
    </row>
    <row r="462" spans="1:5">
      <c r="A462" s="45" t="s">
        <v>430</v>
      </c>
      <c r="B462" s="45" t="s">
        <v>48</v>
      </c>
      <c r="C462" s="45" t="s">
        <v>17</v>
      </c>
      <c r="D462" s="45" t="s">
        <v>27</v>
      </c>
      <c r="E462" s="53">
        <v>1000000</v>
      </c>
    </row>
    <row r="463" spans="1:5">
      <c r="A463" s="43" t="s">
        <v>431</v>
      </c>
      <c r="B463" s="43" t="s">
        <v>48</v>
      </c>
      <c r="C463" s="43" t="s">
        <v>17</v>
      </c>
      <c r="D463" s="43" t="s">
        <v>27</v>
      </c>
      <c r="E463" s="52">
        <v>1000000</v>
      </c>
    </row>
    <row r="464" spans="1:5">
      <c r="A464" s="45" t="s">
        <v>432</v>
      </c>
      <c r="B464" s="45" t="s">
        <v>48</v>
      </c>
      <c r="C464" s="45" t="s">
        <v>17</v>
      </c>
      <c r="D464" s="45" t="s">
        <v>27</v>
      </c>
      <c r="E464" s="53">
        <v>1000000</v>
      </c>
    </row>
    <row r="465" spans="1:5">
      <c r="A465" s="43" t="s">
        <v>319</v>
      </c>
      <c r="B465" s="43" t="s">
        <v>48</v>
      </c>
      <c r="C465" s="43" t="s">
        <v>17</v>
      </c>
      <c r="D465" s="43" t="s">
        <v>27</v>
      </c>
      <c r="E465" s="52">
        <v>1000000</v>
      </c>
    </row>
    <row r="466" spans="1:5">
      <c r="A466" s="45" t="s">
        <v>433</v>
      </c>
      <c r="B466" s="45" t="s">
        <v>48</v>
      </c>
      <c r="C466" s="45" t="s">
        <v>17</v>
      </c>
      <c r="D466" s="45" t="s">
        <v>27</v>
      </c>
      <c r="E466" s="53">
        <v>1000000</v>
      </c>
    </row>
    <row r="467" spans="1:5">
      <c r="A467" s="43" t="s">
        <v>434</v>
      </c>
      <c r="B467" s="43" t="s">
        <v>48</v>
      </c>
      <c r="C467" s="43" t="s">
        <v>17</v>
      </c>
      <c r="D467" s="43" t="s">
        <v>27</v>
      </c>
      <c r="E467" s="52">
        <v>1000000</v>
      </c>
    </row>
    <row r="468" spans="1:5">
      <c r="A468" s="45" t="s">
        <v>435</v>
      </c>
      <c r="B468" s="45" t="s">
        <v>48</v>
      </c>
      <c r="C468" s="45" t="s">
        <v>17</v>
      </c>
      <c r="D468" s="45" t="s">
        <v>27</v>
      </c>
      <c r="E468" s="53">
        <v>1000000</v>
      </c>
    </row>
    <row r="469" spans="1:5">
      <c r="A469" s="43" t="s">
        <v>436</v>
      </c>
      <c r="B469" s="43" t="s">
        <v>48</v>
      </c>
      <c r="C469" s="43" t="s">
        <v>17</v>
      </c>
      <c r="D469" s="43" t="s">
        <v>27</v>
      </c>
      <c r="E469" s="52">
        <v>1000000</v>
      </c>
    </row>
    <row r="470" spans="1:5">
      <c r="A470" s="45" t="s">
        <v>437</v>
      </c>
      <c r="B470" s="45" t="s">
        <v>469</v>
      </c>
      <c r="C470" s="45" t="s">
        <v>17</v>
      </c>
      <c r="D470" s="45" t="s">
        <v>27</v>
      </c>
      <c r="E470" s="53">
        <v>1000000</v>
      </c>
    </row>
    <row r="471" spans="1:5">
      <c r="A471" s="43" t="s">
        <v>438</v>
      </c>
      <c r="B471" s="43" t="s">
        <v>48</v>
      </c>
      <c r="C471" s="43" t="s">
        <v>17</v>
      </c>
      <c r="D471" s="43" t="s">
        <v>27</v>
      </c>
      <c r="E471" s="52">
        <v>1000000</v>
      </c>
    </row>
    <row r="472" spans="1:5">
      <c r="A472" s="45" t="s">
        <v>255</v>
      </c>
      <c r="B472" s="45" t="s">
        <v>48</v>
      </c>
      <c r="C472" s="45" t="s">
        <v>17</v>
      </c>
      <c r="D472" s="45" t="s">
        <v>27</v>
      </c>
      <c r="E472" s="53">
        <v>1000000</v>
      </c>
    </row>
    <row r="473" spans="1:5">
      <c r="A473" s="43" t="s">
        <v>364</v>
      </c>
      <c r="B473" s="43" t="s">
        <v>48</v>
      </c>
      <c r="C473" s="43" t="s">
        <v>17</v>
      </c>
      <c r="D473" s="43" t="s">
        <v>27</v>
      </c>
      <c r="E473" s="52">
        <v>1000000</v>
      </c>
    </row>
    <row r="474" spans="1:5">
      <c r="A474" s="45" t="s">
        <v>439</v>
      </c>
      <c r="B474" s="45" t="s">
        <v>48</v>
      </c>
      <c r="C474" s="45" t="s">
        <v>17</v>
      </c>
      <c r="D474" s="45" t="s">
        <v>27</v>
      </c>
      <c r="E474" s="53">
        <v>1000000</v>
      </c>
    </row>
    <row r="475" spans="1:5">
      <c r="A475" s="43" t="s">
        <v>440</v>
      </c>
      <c r="B475" s="43" t="s">
        <v>48</v>
      </c>
      <c r="C475" s="43" t="s">
        <v>17</v>
      </c>
      <c r="D475" s="43" t="s">
        <v>27</v>
      </c>
      <c r="E475" s="52">
        <v>1000000</v>
      </c>
    </row>
    <row r="476" spans="1:5">
      <c r="A476" s="45" t="s">
        <v>183</v>
      </c>
      <c r="B476" s="45" t="s">
        <v>48</v>
      </c>
      <c r="C476" s="45" t="s">
        <v>17</v>
      </c>
      <c r="D476" s="45" t="s">
        <v>27</v>
      </c>
      <c r="E476" s="53">
        <v>1000000</v>
      </c>
    </row>
    <row r="477" spans="1:5">
      <c r="A477" s="43" t="s">
        <v>176</v>
      </c>
      <c r="B477" s="43" t="s">
        <v>48</v>
      </c>
      <c r="C477" s="43" t="s">
        <v>17</v>
      </c>
      <c r="D477" s="43" t="s">
        <v>27</v>
      </c>
      <c r="E477" s="52">
        <v>1000000</v>
      </c>
    </row>
    <row r="478" spans="1:5">
      <c r="A478" s="45" t="s">
        <v>441</v>
      </c>
      <c r="B478" s="45" t="s">
        <v>48</v>
      </c>
      <c r="C478" s="45" t="s">
        <v>17</v>
      </c>
      <c r="D478" s="45" t="s">
        <v>27</v>
      </c>
      <c r="E478" s="53">
        <v>1000000</v>
      </c>
    </row>
    <row r="479" spans="1:5">
      <c r="A479" s="43" t="s">
        <v>194</v>
      </c>
      <c r="B479" s="43" t="s">
        <v>48</v>
      </c>
      <c r="C479" s="43" t="s">
        <v>17</v>
      </c>
      <c r="D479" s="43" t="s">
        <v>27</v>
      </c>
      <c r="E479" s="52">
        <v>1000000</v>
      </c>
    </row>
    <row r="480" spans="1:5">
      <c r="A480" s="45" t="s">
        <v>370</v>
      </c>
      <c r="B480" s="45" t="s">
        <v>48</v>
      </c>
      <c r="C480" s="45" t="s">
        <v>17</v>
      </c>
      <c r="D480" s="45" t="s">
        <v>27</v>
      </c>
      <c r="E480" s="53">
        <v>1000000</v>
      </c>
    </row>
    <row r="481" spans="1:5">
      <c r="A481" s="43" t="s">
        <v>370</v>
      </c>
      <c r="B481" s="43" t="s">
        <v>469</v>
      </c>
      <c r="C481" s="43" t="s">
        <v>17</v>
      </c>
      <c r="D481" s="43" t="s">
        <v>27</v>
      </c>
      <c r="E481" s="52">
        <v>1000000</v>
      </c>
    </row>
    <row r="482" spans="1:5">
      <c r="A482" s="45" t="s">
        <v>442</v>
      </c>
      <c r="B482" s="45" t="s">
        <v>48</v>
      </c>
      <c r="C482" s="45" t="s">
        <v>17</v>
      </c>
      <c r="D482" s="45" t="s">
        <v>27</v>
      </c>
      <c r="E482" s="53">
        <v>1000000</v>
      </c>
    </row>
    <row r="483" spans="1:5">
      <c r="A483" s="43" t="s">
        <v>443</v>
      </c>
      <c r="B483" s="43" t="s">
        <v>48</v>
      </c>
      <c r="C483" s="43" t="s">
        <v>17</v>
      </c>
      <c r="D483" s="43" t="s">
        <v>27</v>
      </c>
      <c r="E483" s="52">
        <v>1000000</v>
      </c>
    </row>
    <row r="484" spans="1:5">
      <c r="A484" s="45" t="s">
        <v>173</v>
      </c>
      <c r="B484" s="45" t="s">
        <v>48</v>
      </c>
      <c r="C484" s="45" t="s">
        <v>17</v>
      </c>
      <c r="D484" s="45" t="s">
        <v>27</v>
      </c>
      <c r="E484" s="53">
        <v>1000000</v>
      </c>
    </row>
    <row r="485" spans="1:5">
      <c r="A485" s="43" t="s">
        <v>444</v>
      </c>
      <c r="B485" s="43" t="s">
        <v>48</v>
      </c>
      <c r="C485" s="43" t="s">
        <v>17</v>
      </c>
      <c r="D485" s="43" t="s">
        <v>27</v>
      </c>
      <c r="E485" s="52">
        <v>1000000</v>
      </c>
    </row>
    <row r="486" spans="1:5">
      <c r="A486" s="45" t="s">
        <v>290</v>
      </c>
      <c r="B486" s="45" t="s">
        <v>48</v>
      </c>
      <c r="C486" s="45" t="s">
        <v>17</v>
      </c>
      <c r="D486" s="45" t="s">
        <v>27</v>
      </c>
      <c r="E486" s="53">
        <v>1000000</v>
      </c>
    </row>
    <row r="487" spans="1:5">
      <c r="A487" s="43" t="s">
        <v>204</v>
      </c>
      <c r="B487" s="43" t="s">
        <v>48</v>
      </c>
      <c r="C487" s="43" t="s">
        <v>17</v>
      </c>
      <c r="D487" s="43" t="s">
        <v>27</v>
      </c>
      <c r="E487" s="52">
        <v>1000000</v>
      </c>
    </row>
    <row r="488" spans="1:5">
      <c r="A488" s="45" t="s">
        <v>445</v>
      </c>
      <c r="B488" s="45" t="s">
        <v>469</v>
      </c>
      <c r="C488" s="45" t="s">
        <v>17</v>
      </c>
      <c r="D488" s="45" t="s">
        <v>27</v>
      </c>
      <c r="E488" s="53">
        <v>1000000</v>
      </c>
    </row>
    <row r="489" spans="1:5">
      <c r="A489" s="43" t="s">
        <v>446</v>
      </c>
      <c r="B489" s="43" t="s">
        <v>48</v>
      </c>
      <c r="C489" s="43" t="s">
        <v>17</v>
      </c>
      <c r="D489" s="43" t="s">
        <v>27</v>
      </c>
      <c r="E489" s="52">
        <v>1000000</v>
      </c>
    </row>
    <row r="490" spans="1:5">
      <c r="A490" s="45" t="s">
        <v>142</v>
      </c>
      <c r="B490" s="45" t="s">
        <v>48</v>
      </c>
      <c r="C490" s="45" t="s">
        <v>17</v>
      </c>
      <c r="D490" s="45" t="s">
        <v>27</v>
      </c>
      <c r="E490" s="53">
        <v>1000000</v>
      </c>
    </row>
    <row r="491" spans="1:5">
      <c r="A491" s="43" t="s">
        <v>140</v>
      </c>
      <c r="B491" s="43" t="s">
        <v>48</v>
      </c>
      <c r="C491" s="43" t="s">
        <v>17</v>
      </c>
      <c r="D491" s="43" t="s">
        <v>27</v>
      </c>
      <c r="E491" s="52">
        <v>1000000</v>
      </c>
    </row>
    <row r="492" spans="1:5">
      <c r="A492" s="45" t="s">
        <v>447</v>
      </c>
      <c r="B492" s="45" t="s">
        <v>48</v>
      </c>
      <c r="C492" s="45" t="s">
        <v>17</v>
      </c>
      <c r="D492" s="45" t="s">
        <v>27</v>
      </c>
      <c r="E492" s="53">
        <v>1000000</v>
      </c>
    </row>
    <row r="493" spans="1:5">
      <c r="A493" s="43" t="s">
        <v>200</v>
      </c>
      <c r="B493" s="43" t="s">
        <v>48</v>
      </c>
      <c r="C493" s="43" t="s">
        <v>17</v>
      </c>
      <c r="D493" s="43" t="s">
        <v>27</v>
      </c>
      <c r="E493" s="52">
        <v>1000000</v>
      </c>
    </row>
    <row r="494" spans="1:5">
      <c r="A494" s="45" t="s">
        <v>373</v>
      </c>
      <c r="B494" s="45" t="s">
        <v>48</v>
      </c>
      <c r="C494" s="45" t="s">
        <v>17</v>
      </c>
      <c r="D494" s="45" t="s">
        <v>27</v>
      </c>
      <c r="E494" s="53">
        <v>1000000</v>
      </c>
    </row>
    <row r="495" spans="1:5">
      <c r="A495" s="43" t="s">
        <v>373</v>
      </c>
      <c r="B495" s="43" t="s">
        <v>469</v>
      </c>
      <c r="C495" s="43" t="s">
        <v>17</v>
      </c>
      <c r="D495" s="43" t="s">
        <v>27</v>
      </c>
      <c r="E495" s="52">
        <v>1000000</v>
      </c>
    </row>
    <row r="496" spans="1:5">
      <c r="A496" s="45" t="s">
        <v>448</v>
      </c>
      <c r="B496" s="45" t="s">
        <v>48</v>
      </c>
      <c r="C496" s="45" t="s">
        <v>17</v>
      </c>
      <c r="D496" s="45" t="s">
        <v>27</v>
      </c>
      <c r="E496" s="53">
        <v>1000000</v>
      </c>
    </row>
    <row r="497" spans="1:5">
      <c r="A497" s="43" t="s">
        <v>218</v>
      </c>
      <c r="B497" s="43" t="s">
        <v>48</v>
      </c>
      <c r="C497" s="43" t="s">
        <v>17</v>
      </c>
      <c r="D497" s="43" t="s">
        <v>27</v>
      </c>
      <c r="E497" s="52">
        <v>1000000</v>
      </c>
    </row>
    <row r="498" spans="1:5">
      <c r="A498" s="45" t="s">
        <v>229</v>
      </c>
      <c r="B498" s="45" t="s">
        <v>48</v>
      </c>
      <c r="C498" s="45" t="s">
        <v>17</v>
      </c>
      <c r="D498" s="45" t="s">
        <v>27</v>
      </c>
      <c r="E498" s="53">
        <v>1000000</v>
      </c>
    </row>
    <row r="499" spans="1:5">
      <c r="A499" s="43" t="s">
        <v>449</v>
      </c>
      <c r="B499" s="43" t="s">
        <v>469</v>
      </c>
      <c r="C499" s="43" t="s">
        <v>17</v>
      </c>
      <c r="D499" s="43" t="s">
        <v>27</v>
      </c>
      <c r="E499" s="52">
        <v>1000000</v>
      </c>
    </row>
    <row r="500" spans="1:5">
      <c r="A500" s="45" t="s">
        <v>228</v>
      </c>
      <c r="B500" s="45" t="s">
        <v>48</v>
      </c>
      <c r="C500" s="45" t="s">
        <v>17</v>
      </c>
      <c r="D500" s="45" t="s">
        <v>27</v>
      </c>
      <c r="E500" s="53">
        <v>1000000</v>
      </c>
    </row>
    <row r="501" spans="1:5">
      <c r="A501" s="43" t="s">
        <v>450</v>
      </c>
      <c r="B501" s="43" t="s">
        <v>48</v>
      </c>
      <c r="C501" s="43" t="s">
        <v>17</v>
      </c>
      <c r="D501" s="43" t="s">
        <v>27</v>
      </c>
      <c r="E501" s="52">
        <v>1000000</v>
      </c>
    </row>
    <row r="502" spans="1:5">
      <c r="A502" s="45" t="s">
        <v>451</v>
      </c>
      <c r="B502" s="45" t="s">
        <v>48</v>
      </c>
      <c r="C502" s="45" t="s">
        <v>17</v>
      </c>
      <c r="D502" s="45" t="s">
        <v>27</v>
      </c>
      <c r="E502" s="53">
        <v>1000000</v>
      </c>
    </row>
    <row r="503" spans="1:5">
      <c r="A503" s="43" t="s">
        <v>206</v>
      </c>
      <c r="B503" s="43" t="s">
        <v>48</v>
      </c>
      <c r="C503" s="43" t="s">
        <v>17</v>
      </c>
      <c r="D503" s="43" t="s">
        <v>27</v>
      </c>
      <c r="E503" s="52">
        <v>1000000</v>
      </c>
    </row>
    <row r="504" spans="1:5">
      <c r="A504" s="45" t="s">
        <v>452</v>
      </c>
      <c r="B504" s="45" t="s">
        <v>469</v>
      </c>
      <c r="C504" s="45" t="s">
        <v>17</v>
      </c>
      <c r="D504" s="45" t="s">
        <v>27</v>
      </c>
      <c r="E504" s="53">
        <v>1000000</v>
      </c>
    </row>
    <row r="505" spans="1:5">
      <c r="A505" s="43" t="s">
        <v>141</v>
      </c>
      <c r="B505" s="43" t="s">
        <v>48</v>
      </c>
      <c r="C505" s="43" t="s">
        <v>17</v>
      </c>
      <c r="D505" s="43" t="s">
        <v>27</v>
      </c>
      <c r="E505" s="52">
        <v>1000000</v>
      </c>
    </row>
    <row r="506" spans="1:5">
      <c r="A506" s="45" t="s">
        <v>453</v>
      </c>
      <c r="B506" s="45" t="s">
        <v>48</v>
      </c>
      <c r="C506" s="45" t="s">
        <v>17</v>
      </c>
      <c r="D506" s="45" t="s">
        <v>27</v>
      </c>
      <c r="E506" s="53">
        <v>1000000</v>
      </c>
    </row>
    <row r="507" spans="1:5">
      <c r="A507" s="43" t="s">
        <v>454</v>
      </c>
      <c r="B507" s="43" t="s">
        <v>469</v>
      </c>
      <c r="C507" s="43" t="s">
        <v>17</v>
      </c>
      <c r="D507" s="43" t="s">
        <v>27</v>
      </c>
      <c r="E507" s="52">
        <v>1000000</v>
      </c>
    </row>
    <row r="508" spans="1:5">
      <c r="A508" s="45" t="s">
        <v>455</v>
      </c>
      <c r="B508" s="45" t="s">
        <v>48</v>
      </c>
      <c r="C508" s="45" t="s">
        <v>17</v>
      </c>
      <c r="D508" s="45" t="s">
        <v>27</v>
      </c>
      <c r="E508" s="53">
        <v>1000000</v>
      </c>
    </row>
    <row r="509" spans="1:5">
      <c r="A509" s="43" t="s">
        <v>456</v>
      </c>
      <c r="B509" s="43" t="s">
        <v>469</v>
      </c>
      <c r="C509" s="43" t="s">
        <v>17</v>
      </c>
      <c r="D509" s="43" t="s">
        <v>27</v>
      </c>
      <c r="E509" s="52">
        <v>1000000</v>
      </c>
    </row>
    <row r="510" spans="1:5">
      <c r="A510" s="45" t="s">
        <v>457</v>
      </c>
      <c r="B510" s="45" t="s">
        <v>469</v>
      </c>
      <c r="C510" s="45" t="s">
        <v>17</v>
      </c>
      <c r="D510" s="45" t="s">
        <v>27</v>
      </c>
      <c r="E510" s="53">
        <v>1000000</v>
      </c>
    </row>
    <row r="511" spans="1:5">
      <c r="A511" s="43" t="s">
        <v>458</v>
      </c>
      <c r="B511" s="43" t="s">
        <v>48</v>
      </c>
      <c r="C511" s="43" t="s">
        <v>17</v>
      </c>
      <c r="D511" s="43" t="s">
        <v>27</v>
      </c>
      <c r="E511" s="52">
        <v>1000000</v>
      </c>
    </row>
    <row r="512" spans="1:5">
      <c r="A512" s="45" t="s">
        <v>459</v>
      </c>
      <c r="B512" s="45" t="s">
        <v>48</v>
      </c>
      <c r="C512" s="45" t="s">
        <v>17</v>
      </c>
      <c r="D512" s="45" t="s">
        <v>27</v>
      </c>
      <c r="E512" s="53">
        <v>1000000</v>
      </c>
    </row>
    <row r="513" spans="1:5">
      <c r="A513" s="43" t="s">
        <v>246</v>
      </c>
      <c r="B513" s="43" t="s">
        <v>48</v>
      </c>
      <c r="C513" s="43" t="s">
        <v>17</v>
      </c>
      <c r="D513" s="43" t="s">
        <v>27</v>
      </c>
      <c r="E513" s="52">
        <v>1000000</v>
      </c>
    </row>
    <row r="514" spans="1:5">
      <c r="A514" s="45" t="s">
        <v>460</v>
      </c>
      <c r="B514" s="45" t="s">
        <v>48</v>
      </c>
      <c r="C514" s="45" t="s">
        <v>17</v>
      </c>
      <c r="D514" s="45" t="s">
        <v>27</v>
      </c>
      <c r="E514" s="53">
        <v>1000000</v>
      </c>
    </row>
    <row r="515" spans="1:5">
      <c r="A515" s="43" t="s">
        <v>120</v>
      </c>
      <c r="B515" s="43" t="s">
        <v>28</v>
      </c>
      <c r="C515" s="43" t="s">
        <v>17</v>
      </c>
      <c r="D515" s="43" t="s">
        <v>27</v>
      </c>
      <c r="E515" s="52">
        <v>1000000</v>
      </c>
    </row>
    <row r="516" spans="1:5">
      <c r="A516" s="45" t="s">
        <v>461</v>
      </c>
      <c r="B516" s="45" t="s">
        <v>48</v>
      </c>
      <c r="C516" s="45" t="s">
        <v>17</v>
      </c>
      <c r="D516" s="45" t="s">
        <v>27</v>
      </c>
      <c r="E516" s="53">
        <v>1000000</v>
      </c>
    </row>
    <row r="517" spans="1:5">
      <c r="A517" s="43" t="s">
        <v>462</v>
      </c>
      <c r="B517" s="43" t="s">
        <v>48</v>
      </c>
      <c r="C517" s="43" t="s">
        <v>17</v>
      </c>
      <c r="D517" s="43" t="s">
        <v>27</v>
      </c>
      <c r="E517" s="52">
        <v>1000000</v>
      </c>
    </row>
    <row r="518" spans="1:5">
      <c r="A518" s="45" t="s">
        <v>215</v>
      </c>
      <c r="B518" s="45" t="s">
        <v>48</v>
      </c>
      <c r="C518" s="45" t="s">
        <v>17</v>
      </c>
      <c r="D518" s="45" t="s">
        <v>27</v>
      </c>
      <c r="E518" s="53">
        <v>1000000</v>
      </c>
    </row>
    <row r="519" spans="1:5">
      <c r="A519" s="43" t="s">
        <v>491</v>
      </c>
      <c r="B519" s="43" t="s">
        <v>23</v>
      </c>
      <c r="C519" s="43" t="s">
        <v>17</v>
      </c>
      <c r="D519" s="43" t="s">
        <v>24</v>
      </c>
      <c r="E519" s="52">
        <v>623972</v>
      </c>
    </row>
    <row r="520" spans="1:5">
      <c r="A520" s="45" t="s">
        <v>492</v>
      </c>
      <c r="B520" s="45" t="s">
        <v>23</v>
      </c>
      <c r="C520" s="45" t="s">
        <v>17</v>
      </c>
      <c r="D520" s="45" t="s">
        <v>24</v>
      </c>
      <c r="E520" s="53">
        <v>575414</v>
      </c>
    </row>
    <row r="521" spans="1:5">
      <c r="A521" s="43" t="s">
        <v>105</v>
      </c>
      <c r="B521" s="43" t="s">
        <v>472</v>
      </c>
      <c r="C521" s="43" t="s">
        <v>17</v>
      </c>
      <c r="D521" s="43" t="s">
        <v>19</v>
      </c>
      <c r="E521" s="52">
        <v>314845</v>
      </c>
    </row>
    <row r="522" spans="1:5">
      <c r="A522" s="45" t="s">
        <v>493</v>
      </c>
      <c r="B522" s="45" t="s">
        <v>23</v>
      </c>
      <c r="C522" s="45" t="s">
        <v>17</v>
      </c>
      <c r="D522" s="45" t="s">
        <v>24</v>
      </c>
      <c r="E522" s="53">
        <v>1890</v>
      </c>
    </row>
    <row r="523" spans="1:5" ht="13.5" thickBot="1"/>
    <row r="524" spans="1:5" ht="14" thickTop="1" thickBot="1">
      <c r="B524" s="47"/>
      <c r="C524" s="47" t="s">
        <v>464</v>
      </c>
      <c r="D524" s="40"/>
      <c r="E524" s="40">
        <f>SUM(E5:E523)</f>
        <v>22563146975</v>
      </c>
    </row>
    <row r="525" spans="1:5" ht="13.5" thickTop="1"/>
  </sheetData>
  <autoFilter ref="A4:E225" xr:uid="{D2E48560-7DFB-4EA2-8CD5-BB90A9FFEF06}"/>
  <hyperlinks>
    <hyperlink ref="A1" location="Sommaire!A1" display="Sommaire!A1" xr:uid="{45698D88-94C0-432D-AC9B-7F636B63BC92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E389A-B4BF-4BDA-84E3-9974787D9F7F}">
  <sheetPr>
    <tabColor rgb="FF00B050"/>
  </sheetPr>
  <dimension ref="A1:F71"/>
  <sheetViews>
    <sheetView topLeftCell="A59" workbookViewId="0">
      <selection activeCell="B21" sqref="B21"/>
    </sheetView>
  </sheetViews>
  <sheetFormatPr baseColWidth="10" defaultColWidth="11" defaultRowHeight="13"/>
  <cols>
    <col min="1" max="1" width="2.81640625" style="54" bestFit="1" customWidth="1"/>
    <col min="2" max="2" width="7.36328125" style="57" customWidth="1"/>
    <col min="3" max="3" width="70.90625" style="87" bestFit="1" customWidth="1"/>
    <col min="4" max="6" width="13.453125" style="56" customWidth="1"/>
    <col min="7" max="16384" width="11" style="56"/>
  </cols>
  <sheetData>
    <row r="1" spans="1:6" ht="14.5">
      <c r="B1" s="21" t="s">
        <v>0</v>
      </c>
      <c r="C1" s="55"/>
    </row>
    <row r="2" spans="1:6" ht="18.5">
      <c r="B2" s="48" t="s">
        <v>502</v>
      </c>
      <c r="C2" s="55"/>
    </row>
    <row r="3" spans="1:6" ht="13.5">
      <c r="C3" s="55"/>
    </row>
    <row r="4" spans="1:6" ht="27.5" thickBot="1">
      <c r="B4" s="58" t="s">
        <v>503</v>
      </c>
      <c r="C4" s="59" t="s">
        <v>9</v>
      </c>
      <c r="D4" s="59" t="s">
        <v>504</v>
      </c>
      <c r="E4" s="59" t="s">
        <v>505</v>
      </c>
      <c r="F4" s="59" t="s">
        <v>506</v>
      </c>
    </row>
    <row r="5" spans="1:6" ht="14.5" thickTop="1" thickBot="1">
      <c r="B5" s="60" t="s">
        <v>507</v>
      </c>
      <c r="C5" s="61"/>
      <c r="D5" s="61"/>
      <c r="E5" s="61"/>
      <c r="F5" s="61"/>
    </row>
    <row r="6" spans="1:6" ht="13.5" thickTop="1">
      <c r="B6" s="62">
        <v>1</v>
      </c>
      <c r="C6" s="63" t="s">
        <v>508</v>
      </c>
      <c r="D6" s="63"/>
      <c r="E6" s="63"/>
      <c r="F6" s="64"/>
    </row>
    <row r="7" spans="1:6" ht="13.5" thickBot="1">
      <c r="B7" s="65">
        <v>2</v>
      </c>
      <c r="C7" s="66" t="s">
        <v>509</v>
      </c>
      <c r="D7" s="66"/>
      <c r="E7" s="66"/>
      <c r="F7" s="67"/>
    </row>
    <row r="8" spans="1:6" ht="14.5" thickTop="1" thickBot="1">
      <c r="B8" s="60" t="s">
        <v>510</v>
      </c>
      <c r="C8" s="61"/>
      <c r="D8" s="61"/>
      <c r="E8" s="61"/>
      <c r="F8" s="61"/>
    </row>
    <row r="9" spans="1:6" ht="13.5" thickTop="1">
      <c r="A9" s="68">
        <v>3</v>
      </c>
      <c r="B9" s="62">
        <v>3</v>
      </c>
      <c r="C9" s="63" t="s">
        <v>26</v>
      </c>
      <c r="D9" s="63" t="s">
        <v>511</v>
      </c>
      <c r="E9" s="63"/>
      <c r="F9" s="64"/>
    </row>
    <row r="10" spans="1:6">
      <c r="A10" s="68">
        <v>4</v>
      </c>
      <c r="B10" s="69">
        <v>4</v>
      </c>
      <c r="C10" s="54" t="s">
        <v>47</v>
      </c>
      <c r="D10" s="54" t="s">
        <v>511</v>
      </c>
      <c r="E10" s="54"/>
      <c r="F10" s="70"/>
    </row>
    <row r="11" spans="1:6">
      <c r="A11" s="68">
        <v>5</v>
      </c>
      <c r="B11" s="71">
        <v>5</v>
      </c>
      <c r="C11" s="72" t="s">
        <v>48</v>
      </c>
      <c r="D11" s="72" t="s">
        <v>511</v>
      </c>
      <c r="E11" s="72"/>
      <c r="F11" s="73"/>
    </row>
    <row r="12" spans="1:6">
      <c r="A12" s="68">
        <v>6</v>
      </c>
      <c r="B12" s="69">
        <v>6</v>
      </c>
      <c r="C12" s="54" t="s">
        <v>512</v>
      </c>
      <c r="D12" s="54" t="s">
        <v>511</v>
      </c>
      <c r="E12" s="54"/>
      <c r="F12" s="70"/>
    </row>
    <row r="13" spans="1:6" ht="13.5" thickBot="1">
      <c r="A13" s="68">
        <v>7</v>
      </c>
      <c r="B13" s="74">
        <v>7</v>
      </c>
      <c r="C13" s="75" t="s">
        <v>28</v>
      </c>
      <c r="D13" s="75" t="s">
        <v>511</v>
      </c>
      <c r="E13" s="75"/>
      <c r="F13" s="76"/>
    </row>
    <row r="14" spans="1:6" ht="13.5" thickTop="1">
      <c r="A14" s="68">
        <v>8</v>
      </c>
      <c r="B14" s="77">
        <v>8</v>
      </c>
      <c r="C14" s="78" t="s">
        <v>513</v>
      </c>
      <c r="D14" s="78" t="s">
        <v>89</v>
      </c>
      <c r="E14" s="78"/>
      <c r="F14" s="79"/>
    </row>
    <row r="15" spans="1:6">
      <c r="A15" s="68">
        <v>9</v>
      </c>
      <c r="B15" s="71">
        <v>9</v>
      </c>
      <c r="C15" s="72" t="s">
        <v>514</v>
      </c>
      <c r="D15" s="72" t="s">
        <v>89</v>
      </c>
      <c r="E15" s="72"/>
      <c r="F15" s="73"/>
    </row>
    <row r="16" spans="1:6">
      <c r="A16" s="68"/>
      <c r="B16" s="69">
        <v>10</v>
      </c>
      <c r="C16" s="54" t="s">
        <v>88</v>
      </c>
      <c r="D16" s="54" t="s">
        <v>89</v>
      </c>
      <c r="E16" s="54"/>
      <c r="F16" s="70"/>
    </row>
    <row r="17" spans="1:6">
      <c r="A17" s="68">
        <v>11</v>
      </c>
      <c r="B17" s="71">
        <v>11</v>
      </c>
      <c r="C17" s="72" t="s">
        <v>515</v>
      </c>
      <c r="D17" s="72" t="s">
        <v>89</v>
      </c>
      <c r="E17" s="72"/>
      <c r="F17" s="73"/>
    </row>
    <row r="18" spans="1:6">
      <c r="A18" s="68">
        <v>12</v>
      </c>
      <c r="B18" s="69">
        <v>12</v>
      </c>
      <c r="C18" s="54" t="s">
        <v>516</v>
      </c>
      <c r="D18" s="54" t="s">
        <v>89</v>
      </c>
      <c r="E18" s="54"/>
      <c r="F18" s="70"/>
    </row>
    <row r="19" spans="1:6">
      <c r="A19" s="68">
        <v>13</v>
      </c>
      <c r="B19" s="71">
        <v>13</v>
      </c>
      <c r="C19" s="72" t="s">
        <v>92</v>
      </c>
      <c r="D19" s="72" t="s">
        <v>89</v>
      </c>
      <c r="E19" s="72"/>
      <c r="F19" s="73"/>
    </row>
    <row r="20" spans="1:6">
      <c r="A20" s="68">
        <v>14</v>
      </c>
      <c r="B20" s="69">
        <v>14</v>
      </c>
      <c r="C20" s="54" t="s">
        <v>517</v>
      </c>
      <c r="D20" s="54" t="s">
        <v>89</v>
      </c>
      <c r="E20" s="54"/>
      <c r="F20" s="70"/>
    </row>
    <row r="21" spans="1:6">
      <c r="A21" s="68">
        <v>15</v>
      </c>
      <c r="B21" s="71">
        <v>15</v>
      </c>
      <c r="C21" s="72" t="s">
        <v>518</v>
      </c>
      <c r="D21" s="72" t="s">
        <v>89</v>
      </c>
      <c r="E21" s="72"/>
      <c r="F21" s="73"/>
    </row>
    <row r="22" spans="1:6" ht="13.5" thickBot="1">
      <c r="A22" s="68">
        <v>16</v>
      </c>
      <c r="B22" s="65">
        <v>16</v>
      </c>
      <c r="C22" s="66" t="s">
        <v>519</v>
      </c>
      <c r="D22" s="66" t="s">
        <v>89</v>
      </c>
      <c r="E22" s="66"/>
      <c r="F22" s="67"/>
    </row>
    <row r="23" spans="1:6" ht="13.5" thickTop="1">
      <c r="A23" s="68">
        <v>17</v>
      </c>
      <c r="B23" s="62">
        <v>17</v>
      </c>
      <c r="C23" s="63" t="s">
        <v>520</v>
      </c>
      <c r="D23" s="63" t="s">
        <v>30</v>
      </c>
      <c r="E23" s="63"/>
      <c r="F23" s="64"/>
    </row>
    <row r="24" spans="1:6">
      <c r="A24" s="68">
        <v>18</v>
      </c>
      <c r="B24" s="69">
        <v>18</v>
      </c>
      <c r="C24" s="54" t="s">
        <v>29</v>
      </c>
      <c r="D24" s="54" t="s">
        <v>30</v>
      </c>
      <c r="E24" s="54"/>
      <c r="F24" s="70"/>
    </row>
    <row r="25" spans="1:6">
      <c r="A25" s="68">
        <v>19</v>
      </c>
      <c r="B25" s="71">
        <v>19</v>
      </c>
      <c r="C25" s="72" t="s">
        <v>521</v>
      </c>
      <c r="D25" s="72" t="s">
        <v>30</v>
      </c>
      <c r="E25" s="72"/>
      <c r="F25" s="73"/>
    </row>
    <row r="26" spans="1:6">
      <c r="A26" s="68">
        <v>20</v>
      </c>
      <c r="B26" s="69">
        <v>20</v>
      </c>
      <c r="C26" s="54" t="s">
        <v>522</v>
      </c>
      <c r="D26" s="54" t="s">
        <v>30</v>
      </c>
      <c r="E26" s="54"/>
      <c r="F26" s="70"/>
    </row>
    <row r="27" spans="1:6">
      <c r="A27" s="68">
        <v>21</v>
      </c>
      <c r="B27" s="71">
        <v>21</v>
      </c>
      <c r="C27" s="72" t="s">
        <v>31</v>
      </c>
      <c r="D27" s="72" t="s">
        <v>30</v>
      </c>
      <c r="E27" s="72"/>
      <c r="F27" s="73"/>
    </row>
    <row r="28" spans="1:6">
      <c r="A28" s="68">
        <v>22</v>
      </c>
      <c r="B28" s="69">
        <v>22</v>
      </c>
      <c r="C28" s="54" t="s">
        <v>523</v>
      </c>
      <c r="D28" s="54" t="s">
        <v>30</v>
      </c>
      <c r="E28" s="54"/>
      <c r="F28" s="70"/>
    </row>
    <row r="29" spans="1:6">
      <c r="A29" s="68">
        <v>23</v>
      </c>
      <c r="B29" s="71">
        <v>23</v>
      </c>
      <c r="C29" s="72" t="s">
        <v>49</v>
      </c>
      <c r="D29" s="72" t="s">
        <v>30</v>
      </c>
      <c r="E29" s="72"/>
      <c r="F29" s="73"/>
    </row>
    <row r="30" spans="1:6">
      <c r="A30" s="68">
        <v>24</v>
      </c>
      <c r="B30" s="69">
        <v>24</v>
      </c>
      <c r="C30" s="54" t="s">
        <v>68</v>
      </c>
      <c r="D30" s="54" t="s">
        <v>30</v>
      </c>
      <c r="E30" s="54"/>
      <c r="F30" s="70"/>
    </row>
    <row r="31" spans="1:6" s="80" customFormat="1">
      <c r="A31" s="68">
        <v>25</v>
      </c>
      <c r="B31" s="71">
        <v>25</v>
      </c>
      <c r="C31" s="72" t="s">
        <v>524</v>
      </c>
      <c r="D31" s="72" t="s">
        <v>30</v>
      </c>
      <c r="E31" s="72"/>
      <c r="F31" s="73"/>
    </row>
    <row r="32" spans="1:6" ht="13.5" thickBot="1">
      <c r="A32" s="68">
        <v>26</v>
      </c>
      <c r="B32" s="65">
        <v>26</v>
      </c>
      <c r="C32" s="66" t="s">
        <v>66</v>
      </c>
      <c r="D32" s="66" t="s">
        <v>30</v>
      </c>
      <c r="E32" s="66"/>
      <c r="F32" s="67"/>
    </row>
    <row r="33" spans="1:6" ht="13.5" thickTop="1">
      <c r="A33" s="68">
        <v>27</v>
      </c>
      <c r="B33" s="62">
        <v>27</v>
      </c>
      <c r="C33" s="63" t="s">
        <v>32</v>
      </c>
      <c r="D33" s="63" t="s">
        <v>19</v>
      </c>
      <c r="E33" s="63"/>
      <c r="F33" s="64"/>
    </row>
    <row r="34" spans="1:6">
      <c r="A34" s="68">
        <v>28</v>
      </c>
      <c r="B34" s="69">
        <v>28</v>
      </c>
      <c r="C34" s="54" t="s">
        <v>18</v>
      </c>
      <c r="D34" s="54" t="s">
        <v>19</v>
      </c>
      <c r="E34" s="54"/>
      <c r="F34" s="70"/>
    </row>
    <row r="35" spans="1:6">
      <c r="A35" s="68">
        <v>29</v>
      </c>
      <c r="B35" s="71">
        <v>29</v>
      </c>
      <c r="C35" s="72" t="s">
        <v>50</v>
      </c>
      <c r="D35" s="72" t="s">
        <v>19</v>
      </c>
      <c r="E35" s="72"/>
      <c r="F35" s="73"/>
    </row>
    <row r="36" spans="1:6">
      <c r="A36" s="68">
        <v>30</v>
      </c>
      <c r="B36" s="69">
        <v>30</v>
      </c>
      <c r="C36" s="54" t="s">
        <v>51</v>
      </c>
      <c r="D36" s="54" t="s">
        <v>19</v>
      </c>
      <c r="E36" s="54"/>
      <c r="F36" s="70"/>
    </row>
    <row r="37" spans="1:6">
      <c r="A37" s="68">
        <v>31</v>
      </c>
      <c r="B37" s="71">
        <v>31</v>
      </c>
      <c r="C37" s="72" t="s">
        <v>52</v>
      </c>
      <c r="D37" s="72" t="s">
        <v>19</v>
      </c>
      <c r="E37" s="72"/>
      <c r="F37" s="73"/>
    </row>
    <row r="38" spans="1:6">
      <c r="A38" s="68">
        <v>32</v>
      </c>
      <c r="B38" s="69">
        <v>32</v>
      </c>
      <c r="C38" s="54" t="s">
        <v>53</v>
      </c>
      <c r="D38" s="54" t="s">
        <v>19</v>
      </c>
      <c r="E38" s="54"/>
      <c r="F38" s="70"/>
    </row>
    <row r="39" spans="1:6">
      <c r="A39" s="68">
        <v>33</v>
      </c>
      <c r="B39" s="71">
        <v>33</v>
      </c>
      <c r="C39" s="72" t="s">
        <v>81</v>
      </c>
      <c r="D39" s="72" t="s">
        <v>19</v>
      </c>
      <c r="E39" s="72"/>
      <c r="F39" s="73"/>
    </row>
    <row r="40" spans="1:6">
      <c r="A40" s="68">
        <v>34</v>
      </c>
      <c r="B40" s="69">
        <v>34</v>
      </c>
      <c r="C40" s="54" t="s">
        <v>20</v>
      </c>
      <c r="D40" s="54" t="s">
        <v>19</v>
      </c>
      <c r="E40" s="54"/>
      <c r="F40" s="70"/>
    </row>
    <row r="41" spans="1:6">
      <c r="A41" s="68">
        <v>35</v>
      </c>
      <c r="B41" s="71">
        <v>35</v>
      </c>
      <c r="C41" s="72" t="s">
        <v>33</v>
      </c>
      <c r="D41" s="72" t="s">
        <v>19</v>
      </c>
      <c r="E41" s="72"/>
      <c r="F41" s="73"/>
    </row>
    <row r="42" spans="1:6">
      <c r="A42" s="68">
        <v>36</v>
      </c>
      <c r="B42" s="69">
        <v>36</v>
      </c>
      <c r="C42" s="54" t="s">
        <v>525</v>
      </c>
      <c r="D42" s="54" t="s">
        <v>19</v>
      </c>
      <c r="E42" s="54"/>
      <c r="F42" s="70"/>
    </row>
    <row r="43" spans="1:6">
      <c r="A43" s="68">
        <v>37</v>
      </c>
      <c r="B43" s="71">
        <v>37</v>
      </c>
      <c r="C43" s="72" t="s">
        <v>76</v>
      </c>
      <c r="D43" s="72" t="s">
        <v>19</v>
      </c>
      <c r="E43" s="72"/>
      <c r="F43" s="73"/>
    </row>
    <row r="44" spans="1:6">
      <c r="A44" s="68">
        <v>38</v>
      </c>
      <c r="B44" s="69">
        <v>38</v>
      </c>
      <c r="C44" s="54" t="s">
        <v>64</v>
      </c>
      <c r="D44" s="54" t="s">
        <v>19</v>
      </c>
      <c r="E44" s="54"/>
      <c r="F44" s="70"/>
    </row>
    <row r="45" spans="1:6">
      <c r="A45" s="68">
        <v>39</v>
      </c>
      <c r="B45" s="71">
        <v>39</v>
      </c>
      <c r="C45" s="72" t="s">
        <v>54</v>
      </c>
      <c r="D45" s="72" t="s">
        <v>19</v>
      </c>
      <c r="E45" s="72"/>
      <c r="F45" s="73"/>
    </row>
    <row r="46" spans="1:6">
      <c r="A46" s="68">
        <v>40</v>
      </c>
      <c r="B46" s="69">
        <v>40</v>
      </c>
      <c r="C46" s="54" t="s">
        <v>34</v>
      </c>
      <c r="D46" s="54" t="s">
        <v>19</v>
      </c>
      <c r="E46" s="54"/>
      <c r="F46" s="70"/>
    </row>
    <row r="47" spans="1:6">
      <c r="A47" s="68">
        <v>41</v>
      </c>
      <c r="B47" s="71">
        <v>41</v>
      </c>
      <c r="C47" s="72" t="s">
        <v>526</v>
      </c>
      <c r="D47" s="72" t="s">
        <v>19</v>
      </c>
      <c r="E47" s="72"/>
      <c r="F47" s="73"/>
    </row>
    <row r="48" spans="1:6" ht="13.5" thickBot="1">
      <c r="A48" s="68"/>
      <c r="B48" s="65">
        <v>42</v>
      </c>
      <c r="C48" s="66" t="s">
        <v>35</v>
      </c>
      <c r="D48" s="66" t="s">
        <v>19</v>
      </c>
      <c r="E48" s="66"/>
      <c r="F48" s="67"/>
    </row>
    <row r="49" spans="1:6" ht="13.5" thickTop="1">
      <c r="A49" s="68">
        <v>43</v>
      </c>
      <c r="B49" s="62">
        <v>43</v>
      </c>
      <c r="C49" s="63" t="s">
        <v>36</v>
      </c>
      <c r="D49" s="63" t="s">
        <v>37</v>
      </c>
      <c r="E49" s="63"/>
      <c r="F49" s="64"/>
    </row>
    <row r="50" spans="1:6">
      <c r="A50" s="68">
        <v>44</v>
      </c>
      <c r="B50" s="69">
        <v>44</v>
      </c>
      <c r="C50" s="54" t="s">
        <v>38</v>
      </c>
      <c r="D50" s="54" t="s">
        <v>37</v>
      </c>
      <c r="E50" s="54"/>
      <c r="F50" s="70"/>
    </row>
    <row r="51" spans="1:6">
      <c r="A51" s="68"/>
      <c r="B51" s="71">
        <v>45</v>
      </c>
      <c r="C51" s="72" t="s">
        <v>39</v>
      </c>
      <c r="D51" s="72" t="s">
        <v>37</v>
      </c>
      <c r="E51" s="72"/>
      <c r="F51" s="73"/>
    </row>
    <row r="52" spans="1:6">
      <c r="A52" s="68"/>
      <c r="B52" s="69">
        <v>46</v>
      </c>
      <c r="C52" s="54" t="s">
        <v>40</v>
      </c>
      <c r="D52" s="54" t="s">
        <v>37</v>
      </c>
      <c r="E52" s="54"/>
      <c r="F52" s="70"/>
    </row>
    <row r="53" spans="1:6">
      <c r="A53" s="68"/>
      <c r="B53" s="71">
        <v>47</v>
      </c>
      <c r="C53" s="72" t="s">
        <v>41</v>
      </c>
      <c r="D53" s="72" t="s">
        <v>37</v>
      </c>
      <c r="E53" s="72"/>
      <c r="F53" s="73"/>
    </row>
    <row r="54" spans="1:6">
      <c r="A54" s="68"/>
      <c r="B54" s="69">
        <v>48</v>
      </c>
      <c r="C54" s="54" t="s">
        <v>42</v>
      </c>
      <c r="D54" s="54" t="s">
        <v>37</v>
      </c>
      <c r="E54" s="54"/>
      <c r="F54" s="70"/>
    </row>
    <row r="55" spans="1:6">
      <c r="A55" s="68"/>
      <c r="B55" s="71">
        <v>49</v>
      </c>
      <c r="C55" s="72" t="s">
        <v>55</v>
      </c>
      <c r="D55" s="72" t="s">
        <v>37</v>
      </c>
      <c r="E55" s="72"/>
      <c r="F55" s="73"/>
    </row>
    <row r="56" spans="1:6">
      <c r="A56" s="68"/>
      <c r="B56" s="69">
        <v>50</v>
      </c>
      <c r="C56" s="54" t="s">
        <v>43</v>
      </c>
      <c r="D56" s="54" t="s">
        <v>37</v>
      </c>
      <c r="E56" s="54"/>
      <c r="F56" s="70"/>
    </row>
    <row r="57" spans="1:6" ht="13.5" thickBot="1">
      <c r="A57" s="68"/>
      <c r="B57" s="74">
        <v>51</v>
      </c>
      <c r="C57" s="75" t="s">
        <v>56</v>
      </c>
      <c r="D57" s="75" t="s">
        <v>37</v>
      </c>
      <c r="E57" s="75"/>
      <c r="F57" s="76"/>
    </row>
    <row r="58" spans="1:6" ht="13.5" thickTop="1">
      <c r="A58" s="68">
        <v>52</v>
      </c>
      <c r="B58" s="77">
        <v>52</v>
      </c>
      <c r="C58" s="78" t="s">
        <v>44</v>
      </c>
      <c r="D58" s="78" t="s">
        <v>527</v>
      </c>
      <c r="E58" s="78"/>
      <c r="F58" s="79"/>
    </row>
    <row r="59" spans="1:6">
      <c r="A59" s="68">
        <v>53</v>
      </c>
      <c r="B59" s="71">
        <v>53</v>
      </c>
      <c r="C59" s="72" t="s">
        <v>70</v>
      </c>
      <c r="D59" s="72" t="s">
        <v>527</v>
      </c>
      <c r="E59" s="72"/>
      <c r="F59" s="73"/>
    </row>
    <row r="60" spans="1:6" ht="13.5" thickBot="1">
      <c r="A60" s="68">
        <v>54</v>
      </c>
      <c r="B60" s="65">
        <v>54</v>
      </c>
      <c r="C60" s="66" t="s">
        <v>62</v>
      </c>
      <c r="D60" s="66" t="s">
        <v>527</v>
      </c>
      <c r="E60" s="66"/>
      <c r="F60" s="67"/>
    </row>
    <row r="61" spans="1:6" ht="13.5" thickTop="1">
      <c r="A61" s="68"/>
      <c r="B61" s="62">
        <v>55</v>
      </c>
      <c r="C61" s="63" t="s">
        <v>74</v>
      </c>
      <c r="D61" s="63" t="s">
        <v>58</v>
      </c>
      <c r="E61" s="63"/>
      <c r="F61" s="64"/>
    </row>
    <row r="62" spans="1:6" ht="13.5" thickBot="1">
      <c r="A62" s="68"/>
      <c r="B62" s="65">
        <v>56</v>
      </c>
      <c r="C62" s="66" t="s">
        <v>57</v>
      </c>
      <c r="D62" s="66" t="s">
        <v>58</v>
      </c>
      <c r="E62" s="66"/>
      <c r="F62" s="67"/>
    </row>
    <row r="63" spans="1:6" ht="14" thickTop="1" thickBot="1">
      <c r="A63" s="68">
        <v>57</v>
      </c>
      <c r="B63" s="81">
        <v>57</v>
      </c>
      <c r="C63" s="82" t="s">
        <v>21</v>
      </c>
      <c r="D63" s="82" t="s">
        <v>22</v>
      </c>
      <c r="E63" s="82"/>
      <c r="F63" s="83"/>
    </row>
    <row r="64" spans="1:6" ht="14" thickTop="1" thickBot="1">
      <c r="A64" s="68">
        <v>58</v>
      </c>
      <c r="B64" s="84">
        <v>58</v>
      </c>
      <c r="C64" s="85" t="s">
        <v>23</v>
      </c>
      <c r="D64" s="85" t="s">
        <v>24</v>
      </c>
      <c r="E64" s="85"/>
      <c r="F64" s="86"/>
    </row>
    <row r="65" spans="1:6" ht="14" thickTop="1" thickBot="1">
      <c r="A65" s="68"/>
      <c r="B65" s="81">
        <v>59</v>
      </c>
      <c r="C65" s="82" t="s">
        <v>528</v>
      </c>
      <c r="D65" s="82" t="s">
        <v>529</v>
      </c>
      <c r="E65" s="82"/>
      <c r="F65" s="83"/>
    </row>
    <row r="66" spans="1:6" ht="14" thickTop="1" thickBot="1">
      <c r="A66" s="68">
        <v>60</v>
      </c>
      <c r="B66" s="84">
        <v>60</v>
      </c>
      <c r="C66" s="85" t="s">
        <v>530</v>
      </c>
      <c r="D66" s="85" t="s">
        <v>531</v>
      </c>
      <c r="E66" s="85"/>
      <c r="F66" s="86"/>
    </row>
    <row r="67" spans="1:6" ht="14" thickTop="1" thickBot="1">
      <c r="B67" s="81">
        <v>61</v>
      </c>
      <c r="C67" s="82" t="s">
        <v>470</v>
      </c>
      <c r="D67" s="82" t="s">
        <v>532</v>
      </c>
      <c r="E67" s="82"/>
      <c r="F67" s="83"/>
    </row>
    <row r="68" spans="1:6" ht="13.5" thickTop="1">
      <c r="B68" s="77">
        <v>62</v>
      </c>
      <c r="C68" s="78" t="s">
        <v>495</v>
      </c>
      <c r="D68" s="78" t="s">
        <v>532</v>
      </c>
      <c r="E68" s="78"/>
      <c r="F68" s="79"/>
    </row>
    <row r="69" spans="1:6">
      <c r="B69" s="71">
        <v>63</v>
      </c>
      <c r="C69" s="72" t="s">
        <v>497</v>
      </c>
      <c r="D69" s="72" t="s">
        <v>532</v>
      </c>
      <c r="E69" s="72"/>
      <c r="F69" s="73"/>
    </row>
    <row r="70" spans="1:6" ht="13.5" thickBot="1">
      <c r="B70" s="65">
        <v>64</v>
      </c>
      <c r="C70" s="66" t="s">
        <v>499</v>
      </c>
      <c r="D70" s="66" t="s">
        <v>532</v>
      </c>
      <c r="E70" s="66"/>
      <c r="F70" s="67"/>
    </row>
    <row r="71" spans="1:6" ht="13.5" thickTop="1"/>
  </sheetData>
  <hyperlinks>
    <hyperlink ref="B1" location="Sommaire!A1" display="Sommaire!A1" xr:uid="{078DAE23-FD9E-48AE-9C66-01CFA3A947D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11</vt:lpstr>
      <vt:lpstr>12</vt:lpstr>
      <vt:lpstr>13</vt:lpstr>
      <vt:lpstr>14</vt:lpstr>
      <vt:lpstr>15</vt:lpstr>
      <vt:lpstr>16</vt:lpstr>
      <vt:lpstr>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sie rachid traore</dc:creator>
  <cp:lastModifiedBy>sie rachid traore</cp:lastModifiedBy>
  <dcterms:created xsi:type="dcterms:W3CDTF">2026-07-16T11:13:20Z</dcterms:created>
  <dcterms:modified xsi:type="dcterms:W3CDTF">2026-07-16T11:56:00Z</dcterms:modified>
</cp:coreProperties>
</file>